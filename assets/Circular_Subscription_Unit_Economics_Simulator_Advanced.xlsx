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Lookups" sheetId="3" state="visible" r:id="rId3"/>
    <sheet xmlns:r="http://schemas.openxmlformats.org/officeDocument/2006/relationships" name="Scenarios" sheetId="4" state="visible" r:id="rId4"/>
    <sheet xmlns:r="http://schemas.openxmlformats.org/officeDocument/2006/relationships" name="UnitEconomics" sheetId="5" state="visible" r:id="rId5"/>
    <sheet xmlns:r="http://schemas.openxmlformats.org/officeDocument/2006/relationships" name="Scale" sheetId="6" state="visible" r:id="rId6"/>
    <sheet xmlns:r="http://schemas.openxmlformats.org/officeDocument/2006/relationships" name="Cohorts" sheetId="7" state="visible" r:id="rId7"/>
    <sheet xmlns:r="http://schemas.openxmlformats.org/officeDocument/2006/relationships" name="CapacityPlan" sheetId="8" state="visible" r:id="rId8"/>
    <sheet xmlns:r="http://schemas.openxmlformats.org/officeDocument/2006/relationships" name="Trajectory" sheetId="9" state="visible" r:id="rId9"/>
    <sheet xmlns:r="http://schemas.openxmlformats.org/officeDocument/2006/relationships" name="MonteCarlo" sheetId="10" state="visible" r:id="rId10"/>
    <sheet xmlns:r="http://schemas.openxmlformats.org/officeDocument/2006/relationships" name="KillCondition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$#,##0.00"/>
    <numFmt numFmtId="165" formatCode="0.0%"/>
    <numFmt numFmtId="166" formatCode="$#,##0.00_);[Red]($#,##0.00);&quot;-&quot;_);@"/>
    <numFmt numFmtId="167" formatCode="$#,##0_);[Red]($#,##0);&quot;-&quot;_);@"/>
    <numFmt numFmtId="168" formatCode="$#,##0"/>
    <numFmt numFmtId="169" formatCode="0.0"/>
    <numFmt numFmtId="170" formatCode="#,##0.0"/>
    <numFmt numFmtId="171" formatCode="0.000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FF"/>
      <sz val="10"/>
    </font>
    <font>
      <name val="Calibri"/>
      <color rgb="00000000"/>
      <sz val="10"/>
    </font>
    <font>
      <name val="Calibri"/>
      <b val="1"/>
      <color rgb="000B3D91"/>
      <sz val="18"/>
    </font>
    <font>
      <b val="1"/>
      <color rgb="000B3D91"/>
    </font>
    <font>
      <b val="1"/>
    </font>
  </fonts>
  <fills count="6">
    <fill>
      <patternFill/>
    </fill>
    <fill>
      <patternFill patternType="gray125"/>
    </fill>
    <fill>
      <patternFill patternType="solid">
        <fgColor rgb="000B3D91"/>
      </patternFill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E7F3FF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  <xf numFmtId="0" fontId="0" fillId="2" borderId="1" pivotButton="0" quotePrefix="0" xfId="0"/>
    <xf numFmtId="0" fontId="0" fillId="0" borderId="1" applyAlignment="1" pivotButton="0" quotePrefix="0" xfId="0">
      <alignment horizontal="left" vertical="center" wrapText="1"/>
    </xf>
    <xf numFmtId="1" fontId="2" fillId="3" borderId="1" applyAlignment="1" pivotButton="0" quotePrefix="0" xfId="0">
      <alignment horizontal="right" vertical="center" wrapText="1"/>
    </xf>
    <xf numFmtId="0" fontId="1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164" fontId="2" fillId="3" borderId="1" applyAlignment="1" pivotButton="0" quotePrefix="0" xfId="0">
      <alignment horizontal="right" vertical="center" wrapText="1"/>
    </xf>
    <xf numFmtId="164" fontId="3" fillId="0" borderId="1" applyAlignment="1" pivotButton="0" quotePrefix="0" xfId="0">
      <alignment horizontal="right" vertical="center" wrapText="1"/>
    </xf>
    <xf numFmtId="165" fontId="2" fillId="3" borderId="1" applyAlignment="1" pivotButton="0" quotePrefix="0" xfId="0">
      <alignment horizontal="right" vertical="center" wrapText="1"/>
    </xf>
    <xf numFmtId="165" fontId="3" fillId="0" borderId="1" applyAlignment="1" pivotButton="0" quotePrefix="0" xfId="0">
      <alignment horizontal="right" vertical="center" wrapText="1"/>
    </xf>
    <xf numFmtId="2" fontId="2" fillId="3" borderId="1" applyAlignment="1" pivotButton="0" quotePrefix="0" xfId="0">
      <alignment horizontal="right" vertical="center" wrapText="1"/>
    </xf>
    <xf numFmtId="2" fontId="3" fillId="0" borderId="1" applyAlignment="1" pivotButton="0" quotePrefix="0" xfId="0">
      <alignment horizontal="right" vertical="center" wrapText="1"/>
    </xf>
    <xf numFmtId="1" fontId="3" fillId="0" borderId="1" applyAlignment="1" pivotButton="0" quotePrefix="0" xfId="0">
      <alignment horizontal="right" vertical="center" wrapText="1"/>
    </xf>
    <xf numFmtId="3" fontId="2" fillId="3" borderId="1" applyAlignment="1" pivotButton="0" quotePrefix="0" xfId="0">
      <alignment horizontal="right" vertical="center" wrapText="1"/>
    </xf>
    <xf numFmtId="3" fontId="3" fillId="0" borderId="1" applyAlignment="1" pivotButton="0" quotePrefix="0" xfId="0">
      <alignment horizontal="right" vertical="center" wrapText="1"/>
    </xf>
    <xf numFmtId="164" fontId="0" fillId="0" borderId="1" applyAlignment="1" pivotButton="0" quotePrefix="0" xfId="0">
      <alignment horizontal="right" vertical="center" wrapText="1"/>
    </xf>
    <xf numFmtId="165" fontId="0" fillId="0" borderId="1" applyAlignment="1" pivotButton="0" quotePrefix="0" xfId="0">
      <alignment horizontal="right" vertical="center" wrapText="1"/>
    </xf>
    <xf numFmtId="2" fontId="0" fillId="0" borderId="1" applyAlignment="1" pivotButton="0" quotePrefix="0" xfId="0">
      <alignment horizontal="right" vertical="center" wrapText="1"/>
    </xf>
    <xf numFmtId="1" fontId="0" fillId="0" borderId="1" applyAlignment="1" pivotButton="0" quotePrefix="0" xfId="0">
      <alignment horizontal="right" vertical="center" wrapText="1"/>
    </xf>
    <xf numFmtId="0" fontId="1" fillId="2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166" fontId="5" fillId="5" borderId="1" applyAlignment="1" pivotButton="0" quotePrefix="0" xfId="0">
      <alignment horizontal="right" vertical="center" wrapText="1"/>
    </xf>
    <xf numFmtId="0" fontId="5" fillId="0" borderId="0" pivotButton="0" quotePrefix="0" xfId="0"/>
    <xf numFmtId="165" fontId="5" fillId="5" borderId="1" applyAlignment="1" pivotButton="0" quotePrefix="0" xfId="0">
      <alignment horizontal="right" vertical="center" wrapText="1"/>
    </xf>
    <xf numFmtId="166" fontId="3" fillId="0" borderId="1" applyAlignment="1" pivotButton="0" quotePrefix="0" xfId="0">
      <alignment horizontal="right" vertical="center" wrapText="1"/>
    </xf>
    <xf numFmtId="167" fontId="3" fillId="0" borderId="1" applyAlignment="1" pivotButton="0" quotePrefix="0" xfId="0">
      <alignment horizontal="right" vertical="center" wrapText="1"/>
    </xf>
    <xf numFmtId="168" fontId="3" fillId="0" borderId="1" applyAlignment="1" pivotButton="0" quotePrefix="0" xfId="0">
      <alignment horizontal="right" vertical="center" wrapText="1"/>
    </xf>
    <xf numFmtId="169" fontId="3" fillId="0" borderId="1" applyAlignment="1" pivotButton="0" quotePrefix="0" xfId="0">
      <alignment horizontal="right" vertical="center" wrapText="1"/>
    </xf>
    <xf numFmtId="170" fontId="3" fillId="0" borderId="1" applyAlignment="1" pivotButton="0" quotePrefix="0" xfId="0">
      <alignment horizontal="right" vertical="center" wrapText="1"/>
    </xf>
    <xf numFmtId="166" fontId="1" fillId="4" borderId="1" applyAlignment="1" pivotButton="0" quotePrefix="0" xfId="0">
      <alignment horizontal="center" vertical="center" wrapText="1"/>
    </xf>
    <xf numFmtId="2" fontId="3" fillId="5" borderId="1" applyAlignment="1" pivotButton="0" quotePrefix="0" xfId="0">
      <alignment horizontal="right" vertical="center" wrapText="1"/>
    </xf>
    <xf numFmtId="1" fontId="3" fillId="5" borderId="1" applyAlignment="1" pivotButton="0" quotePrefix="0" xfId="0">
      <alignment horizontal="right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166" fontId="5" fillId="5" borderId="1" applyAlignment="1" pivotButton="0" quotePrefix="0" xfId="0">
      <alignment horizontal="right" vertical="center" wrapText="1"/>
    </xf>
    <xf numFmtId="166" fontId="3" fillId="0" borderId="1" applyAlignment="1" pivotButton="0" quotePrefix="0" xfId="0">
      <alignment horizontal="right" vertical="center" wrapText="1"/>
    </xf>
    <xf numFmtId="167" fontId="3" fillId="0" borderId="1" applyAlignment="1" pivotButton="0" quotePrefix="0" xfId="0">
      <alignment horizontal="right" vertical="center" wrapText="1"/>
    </xf>
    <xf numFmtId="168" fontId="3" fillId="0" borderId="1" applyAlignment="1" pivotButton="0" quotePrefix="0" xfId="0">
      <alignment horizontal="right" vertical="center" wrapText="1"/>
    </xf>
    <xf numFmtId="169" fontId="3" fillId="0" borderId="1" applyAlignment="1" pivotButton="0" quotePrefix="0" xfId="0">
      <alignment horizontal="right" vertical="center" wrapText="1"/>
    </xf>
    <xf numFmtId="170" fontId="3" fillId="0" borderId="1" applyAlignment="1" pivotButton="0" quotePrefix="0" xfId="0">
      <alignment horizontal="right" vertical="center" wrapText="1"/>
    </xf>
    <xf numFmtId="166" fontId="1" fillId="4" borderId="1" applyAlignment="1" pivotButton="0" quotePrefix="0" xfId="0">
      <alignment horizontal="center" vertical="center" wrapText="1"/>
    </xf>
    <xf numFmtId="168" fontId="2" fillId="3" borderId="1" applyAlignment="1" pivotButton="0" quotePrefix="0" xfId="0">
      <alignment horizontal="right" vertical="center" wrapText="1"/>
    </xf>
    <xf numFmtId="0" fontId="1" fillId="4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right" vertical="center"/>
    </xf>
    <xf numFmtId="171" fontId="3" fillId="0" borderId="1" applyAlignment="1" pivotButton="0" quotePrefix="0" xfId="0">
      <alignment horizontal="right" vertical="center"/>
    </xf>
    <xf numFmtId="3" fontId="0" fillId="0" borderId="1" applyAlignment="1" pivotButton="0" quotePrefix="0" xfId="0">
      <alignment horizontal="right" vertical="center" wrapText="1"/>
    </xf>
    <xf numFmtId="3" fontId="0" fillId="0" borderId="0" applyAlignment="1" pivotButton="0" quotePrefix="0" xfId="0">
      <alignment horizontal="right" vertical="center"/>
    </xf>
    <xf numFmtId="165" fontId="0" fillId="0" borderId="0" applyAlignment="1" pivotButton="0" quotePrefix="0" xfId="0">
      <alignment horizontal="right" vertical="center"/>
    </xf>
    <xf numFmtId="168" fontId="0" fillId="0" borderId="0" applyAlignment="1" pivotButton="0" quotePrefix="0" xfId="0">
      <alignment horizontal="right" vertical="center"/>
    </xf>
    <xf numFmtId="1" fontId="0" fillId="0" borderId="0" applyAlignment="1" pivotButton="0" quotePrefix="0" xfId="0">
      <alignment horizontal="right" vertical="center"/>
    </xf>
    <xf numFmtId="2" fontId="0" fillId="0" borderId="0" applyAlignment="1" pivotButton="0" quotePrefix="0" xfId="0">
      <alignment horizontal="right" vertical="center"/>
    </xf>
    <xf numFmtId="1" fontId="3" fillId="0" borderId="1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dxfs count="2">
    <dxf>
      <fill>
        <patternFill patternType="solid">
          <fgColor rgb="00F8CBAD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Per-cycle Cost Breakdown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'UnitEconomics'!$A$19:$A$31</f>
            </numRef>
          </cat>
          <val>
            <numRef>
              <f>'UnitEconomics'!$B$19:$B$31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 per cycle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Profit vs Active Users (weekly)</a:t>
            </a:r>
          </a:p>
        </rich>
      </tx>
    </title>
    <plotArea>
      <lineChart>
        <grouping val="standard"/>
        <ser>
          <idx val="0"/>
          <order val="0"/>
          <tx>
            <strRef>
              <f>'Scale'!G3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'Scale'!$F$4:$F$22</f>
            </numRef>
          </cat>
          <val>
            <numRef>
              <f>'Scale'!$G$4:$G$22</f>
            </numRef>
          </val>
        </ser>
        <ser>
          <idx val="1"/>
          <order val="1"/>
          <tx>
            <strRef>
              <f>'Scale'!H3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'Scale'!$F$4:$F$22</f>
            </numRef>
          </cat>
          <val>
            <numRef>
              <f>'Scale'!$H$4:$H$22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Active users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 / week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Model</author>
  </authors>
  <commentList>
    <comment ref="A62" authorId="0" shapeId="0">
      <text>
        <t>simulation horizon in weeks</t>
      </text>
    </comment>
    <comment ref="A63" authorId="0" shapeId="0">
      <text>
        <t>starting active users (week 1)</t>
      </text>
    </comment>
    <comment ref="A64" authorId="0" shapeId="0">
      <text>
        <t>gross new users per week before churn</t>
      </text>
    </comment>
    <comment ref="A65" authorId="0" shapeId="0">
      <text>
        <t>acquisition cost per new user</t>
      </text>
    </comment>
    <comment ref="A66" authorId="0" shapeId="0">
      <text>
        <t>baseline weekly churn</t>
      </text>
    </comment>
    <comment ref="A67" authorId="0" shapeId="0">
      <text>
        <t>adds to churn proportional to refund rate</t>
      </text>
    </comment>
    <comment ref="A68" authorId="0" shapeId="0">
      <text>
        <t>adds to churn proportional to (1-fulfill rate)</t>
      </text>
    </comment>
    <comment ref="A69" authorId="0" shapeId="0">
      <text>
        <t>adds to churn proportional to late return probability</t>
      </text>
    </comment>
    <comment ref="A70" authorId="0" shapeId="0">
      <text>
        <t>refund add-on multiplier for stockouts</t>
      </text>
    </comment>
    <comment ref="A71" authorId="0" shapeId="0">
      <text>
        <t>variable cost penalty per unfulfilled cycle</t>
      </text>
    </comment>
    <comment ref="A72" authorId="0" shapeId="0">
      <text>
        <t>starting cash balance</t>
      </text>
    </comment>
    <comment ref="A73" authorId="0" shapeId="0">
      <text>
        <t>procurement lead time for replacement garments</t>
      </text>
    </comment>
    <comment ref="A74" authorId="0" shapeId="0">
      <text>
        <t>target buffer above required garments</t>
      </text>
    </comment>
    <comment ref="A75" authorId="0" shapeId="0">
      <text>
        <t>lead time to bring a new site online</t>
      </text>
    </comment>
    <comment ref="A76" authorId="0" shapeId="0">
      <text>
        <t>starting sites online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37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17</row>
      <rowOff>0</rowOff>
    </from>
    <ext cx="792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zoomScale="110" workbookViewId="0">
      <selection activeCell="A1" sqref="A1"/>
    </sheetView>
  </sheetViews>
  <sheetFormatPr baseColWidth="8" defaultRowHeight="15"/>
  <cols>
    <col width="20" customWidth="1" min="1" max="1"/>
    <col width="110" customWidth="1" min="2" max="2"/>
  </cols>
  <sheetData>
    <row r="1" ht="28" customHeight="1">
      <c r="A1" s="1" t="inlineStr">
        <is>
          <t>Circular Subscription Unit-Economics Simulation Model (Weekly Apparel)</t>
        </is>
      </c>
    </row>
    <row r="3">
      <c r="A3" s="2" t="inlineStr">
        <is>
          <t>Purpose: model weekly apparel subscription economics where revenue is time-based (user-week) and costs accrue per reuse cycle with explicit logistics, cleaning, labor, loss/damage, and retirement.</t>
        </is>
      </c>
    </row>
    <row r="4">
      <c r="A4" s="2" t="inlineStr"/>
    </row>
    <row r="5">
      <c r="A5" s="2" t="inlineStr">
        <is>
          <t>How to use:</t>
        </is>
      </c>
    </row>
    <row r="6">
      <c r="A6" s="2" t="inlineStr">
        <is>
          <t>1) Inputs: adjust blue manual assumptions OR set Scenario_Mode=1 and choose Scenario_Select (1=Best, 2=Base, 3=Failure).</t>
        </is>
      </c>
    </row>
    <row r="7">
      <c r="A7" s="2" t="inlineStr">
        <is>
          <t>2) Scale: set Active_Users and review contribution, break-even, inventory required, capital, and replacement flow.</t>
        </is>
      </c>
    </row>
    <row r="8">
      <c r="A8" s="2" t="inlineStr">
        <is>
          <t>3) UnitEconomics: review per-cycle revenue, cost stack, and contribution margin (with/without capital charge).</t>
        </is>
      </c>
    </row>
    <row r="9">
      <c r="A9" s="2" t="inlineStr">
        <is>
          <t>4) MonteCarlo: review distribution of per-cycle CM under variance and discrete friction events.</t>
        </is>
      </c>
    </row>
    <row r="10">
      <c r="A10" s="2" t="inlineStr">
        <is>
          <t>5) KillConditions: check structural viability flags.</t>
        </is>
      </c>
    </row>
    <row r="11">
      <c r="A11" s="2" t="inlineStr">
        <is>
          <t>6) Trajectory: simulate week-by-week dynamics (growth, churn, capacity steps, inventory ordering, and cash runway).</t>
        </is>
      </c>
    </row>
    <row r="12">
      <c r="A12" s="2" t="inlineStr">
        <is>
          <t>Notes:</t>
        </is>
      </c>
    </row>
    <row r="13">
      <c r="A13" s="2" t="inlineStr">
        <is>
          <t>- This workbook models friction explicitly (mis-ships, late returns, loss, damage, repairs) and includes safety stock inflation from cycle-time variance.</t>
        </is>
      </c>
    </row>
    <row r="14">
      <c r="A14" s="2" t="inlineStr">
        <is>
          <t>- Scale effects are optional and controlled by ENABLE_SCALE_EFFECTS.</t>
        </is>
      </c>
    </row>
    <row r="15">
      <c r="A15" s="2" t="inlineStr">
        <is>
          <t>- RAND()-based Monte Carlo will change on recalculation; copy/paste values if you want to freeze a run.</t>
        </is>
      </c>
    </row>
  </sheetData>
  <mergeCells count="14">
    <mergeCell ref="A4:B4"/>
    <mergeCell ref="A15:B15"/>
    <mergeCell ref="A7:B7"/>
    <mergeCell ref="A11:B11"/>
    <mergeCell ref="A10:B10"/>
    <mergeCell ref="A5:B5"/>
    <mergeCell ref="A13:B13"/>
    <mergeCell ref="A14:B14"/>
    <mergeCell ref="A1:B1"/>
    <mergeCell ref="A9:B9"/>
    <mergeCell ref="A8:B8"/>
    <mergeCell ref="A3:B3"/>
    <mergeCell ref="A6:B6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5"/>
  <sheetViews>
    <sheetView showGridLines="0" zoomScale="11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18" customWidth="1" min="3" max="3"/>
    <col width="34" customWidth="1" min="4" max="4"/>
    <col width="42" customWidth="1" min="5" max="5"/>
  </cols>
  <sheetData>
    <row r="1" ht="20" customHeight="1">
      <c r="A1" s="3" t="inlineStr">
        <is>
          <t>Inputs (blue = editable manual). Effective values feed the model.</t>
        </is>
      </c>
      <c r="B1" s="36" t="n"/>
      <c r="C1" s="36" t="n"/>
      <c r="D1" s="36" t="n"/>
      <c r="E1" s="37" t="n"/>
    </row>
    <row r="3">
      <c r="A3" s="5" t="inlineStr">
        <is>
          <t>Scenario_Mode (0=Manual, 1=Use Scenario Library)</t>
        </is>
      </c>
      <c r="B3" s="6" t="n">
        <v>1</v>
      </c>
    </row>
    <row r="4">
      <c r="A4" s="5" t="inlineStr">
        <is>
          <t>Scenario_Select (1=Best, 2=Base, 3=Failure)</t>
        </is>
      </c>
      <c r="B4" s="6" t="n">
        <v>2</v>
      </c>
    </row>
    <row r="6">
      <c r="A6" s="7" t="inlineStr">
        <is>
          <t>Parameter</t>
        </is>
      </c>
      <c r="B6" s="7" t="inlineStr">
        <is>
          <t>Manual</t>
        </is>
      </c>
      <c r="C6" s="7" t="inlineStr">
        <is>
          <t>Effective</t>
        </is>
      </c>
      <c r="D6" s="7" t="inlineStr">
        <is>
          <t>Units</t>
        </is>
      </c>
      <c r="E6" s="7" t="inlineStr">
        <is>
          <t>Notes</t>
        </is>
      </c>
    </row>
    <row r="7">
      <c r="A7" s="8" t="inlineStr">
        <is>
          <t>PRICE_WEEKLY_USD</t>
        </is>
      </c>
      <c r="B7" s="9" t="n">
        <v>39</v>
      </c>
      <c r="C7" s="10">
        <f>IF($B$3=0,B7,VLOOKUP(A7,Scenarios!$A$4:$D$200,1+$B$4,FALSE))</f>
        <v/>
      </c>
      <c r="D7" s="5" t="inlineStr">
        <is>
          <t>USD</t>
        </is>
      </c>
      <c r="E7" s="5" t="inlineStr">
        <is>
          <t>Subscription price per active user-week</t>
        </is>
      </c>
    </row>
    <row r="8">
      <c r="A8" s="8" t="inlineStr">
        <is>
          <t>DISCOUNT_RATE</t>
        </is>
      </c>
      <c r="B8" s="11" t="n">
        <v>0.08</v>
      </c>
      <c r="C8" s="12">
        <f>IF($B$3=0,B8,VLOOKUP(A8,Scenarios!$A$4:$D$200,1+$B$4,FALSE))</f>
        <v/>
      </c>
      <c r="D8" s="5" t="inlineStr">
        <is>
          <t>%</t>
        </is>
      </c>
      <c r="E8" s="5" t="inlineStr">
        <is>
          <t>Average discount rate (0-1)</t>
        </is>
      </c>
    </row>
    <row r="9">
      <c r="A9" s="8" t="inlineStr">
        <is>
          <t>BASE_RETURN_LATENCY_WEEKS</t>
        </is>
      </c>
      <c r="B9" s="13" t="n">
        <v>1.05</v>
      </c>
      <c r="C9" s="14">
        <f>IF($B$3=0,B9,VLOOKUP(A9,Scenarios!$A$4:$D$200,1+$B$4,FALSE))</f>
        <v/>
      </c>
      <c r="D9" s="5" t="inlineStr">
        <is>
          <t>weeks</t>
        </is>
      </c>
      <c r="E9" s="5" t="inlineStr">
        <is>
          <t>Outbound-to-inbound latency excluding cleaning</t>
        </is>
      </c>
    </row>
    <row r="10">
      <c r="A10" s="8" t="inlineStr">
        <is>
          <t>LATE_RETURN_PROB</t>
        </is>
      </c>
      <c r="B10" s="11" t="n">
        <v>0.18</v>
      </c>
      <c r="C10" s="12">
        <f>IF($B$3=0,B10,VLOOKUP(A10,Scenarios!$A$4:$D$200,1+$B$4,FALSE))</f>
        <v/>
      </c>
      <c r="D10" s="5" t="inlineStr">
        <is>
          <t>%</t>
        </is>
      </c>
      <c r="E10" s="5" t="inlineStr">
        <is>
          <t>Probability return exceeds target window</t>
        </is>
      </c>
    </row>
    <row r="11">
      <c r="A11" s="8" t="inlineStr">
        <is>
          <t>LATE_RETURN_EXTRA_WEEKS</t>
        </is>
      </c>
      <c r="B11" s="13" t="n">
        <v>0.55</v>
      </c>
      <c r="C11" s="14">
        <f>IF($B$3=0,B11,VLOOKUP(A11,Scenarios!$A$4:$D$200,1+$B$4,FALSE))</f>
        <v/>
      </c>
      <c r="D11" s="5" t="inlineStr">
        <is>
          <t>weeks</t>
        </is>
      </c>
      <c r="E11" s="5" t="inlineStr">
        <is>
          <t>Additional weeks conditional on late return</t>
        </is>
      </c>
    </row>
    <row r="12">
      <c r="A12" s="8" t="inlineStr">
        <is>
          <t>CLEAN_TAT_WEEKS</t>
        </is>
      </c>
      <c r="B12" s="13" t="n">
        <v>0.35</v>
      </c>
      <c r="C12" s="14">
        <f>IF($B$3=0,B12,VLOOKUP(A12,Scenarios!$A$4:$D$200,1+$B$4,FALSE))</f>
        <v/>
      </c>
      <c r="D12" s="5" t="inlineStr">
        <is>
          <t>weeks</t>
        </is>
      </c>
      <c r="E12" s="5" t="inlineStr">
        <is>
          <t>Cleaning + QA turnaround time</t>
        </is>
      </c>
    </row>
    <row r="13">
      <c r="A13" s="8" t="inlineStr">
        <is>
          <t>SIGMA_RETURN_WEEKS</t>
        </is>
      </c>
      <c r="B13" s="13" t="n">
        <v>0.3</v>
      </c>
      <c r="C13" s="14">
        <f>IF($B$3=0,B13,VLOOKUP(A13,Scenarios!$A$4:$D$200,1+$B$4,FALSE))</f>
        <v/>
      </c>
      <c r="D13" s="5" t="inlineStr">
        <is>
          <t>weeks</t>
        </is>
      </c>
      <c r="E13" s="5" t="inlineStr">
        <is>
          <t>Std dev of return latency</t>
        </is>
      </c>
    </row>
    <row r="14">
      <c r="A14" s="8" t="inlineStr">
        <is>
          <t>SIGMA_CLEAN_WEEKS</t>
        </is>
      </c>
      <c r="B14" s="13" t="n">
        <v>0.1</v>
      </c>
      <c r="C14" s="14">
        <f>IF($B$3=0,B14,VLOOKUP(A14,Scenarios!$A$4:$D$200,1+$B$4,FALSE))</f>
        <v/>
      </c>
      <c r="D14" s="5" t="inlineStr">
        <is>
          <t>weeks</t>
        </is>
      </c>
      <c r="E14" s="5" t="inlineStr">
        <is>
          <t>Std dev of cleaning TAT</t>
        </is>
      </c>
    </row>
    <row r="15">
      <c r="A15" s="8" t="inlineStr">
        <is>
          <t>SERVICE_LEVEL</t>
        </is>
      </c>
      <c r="B15" s="11" t="n">
        <v>0.95</v>
      </c>
      <c r="C15" s="12">
        <f>IF($B$3=0,B15,VLOOKUP(A15,Scenarios!$A$4:$D$200,1+$B$4,FALSE))</f>
        <v/>
      </c>
      <c r="D15" s="5" t="inlineStr">
        <is>
          <t>%</t>
        </is>
      </c>
      <c r="E15" s="5" t="inlineStr">
        <is>
          <t>Service level target for safety stock factor</t>
        </is>
      </c>
    </row>
    <row r="16">
      <c r="A16" s="8" t="inlineStr">
        <is>
          <t>ITEMS_PER_BOX</t>
        </is>
      </c>
      <c r="B16" s="13" t="n">
        <v>4</v>
      </c>
      <c r="C16" s="14">
        <f>IF($B$3=0,B16,VLOOKUP(A16,Scenarios!$A$4:$D$200,1+$B$4,FALSE))</f>
        <v/>
      </c>
      <c r="D16" s="5" t="inlineStr"/>
      <c r="E16" s="5" t="inlineStr">
        <is>
          <t>Average garments per shipment</t>
        </is>
      </c>
    </row>
    <row r="17">
      <c r="A17" s="8" t="inlineStr">
        <is>
          <t>GARMENT_ACQ_COST_USD</t>
        </is>
      </c>
      <c r="B17" s="9" t="n">
        <v>25</v>
      </c>
      <c r="C17" s="10">
        <f>IF($B$3=0,B17,VLOOKUP(A17,Scenarios!$A$4:$D$200,1+$B$4,FALSE))</f>
        <v/>
      </c>
      <c r="D17" s="5" t="inlineStr">
        <is>
          <t>USD</t>
        </is>
      </c>
      <c r="E17" s="5" t="inlineStr">
        <is>
          <t>Weighted avg acquisition cost per garment</t>
        </is>
      </c>
    </row>
    <row r="18">
      <c r="A18" s="8" t="inlineStr">
        <is>
          <t>GARMENT_LIFE_CYCLES_WEAR</t>
        </is>
      </c>
      <c r="B18" s="6" t="n">
        <v>28</v>
      </c>
      <c r="C18" s="15">
        <f>IF($B$3=0,B18,VLOOKUP(A18,Scenarios!$A$4:$D$200,1+$B$4,FALSE))</f>
        <v/>
      </c>
      <c r="D18" s="5" t="inlineStr">
        <is>
          <t>cycles</t>
        </is>
      </c>
      <c r="E18" s="5" t="inlineStr">
        <is>
          <t>Wear-out cycles excluding loss/damage</t>
        </is>
      </c>
    </row>
    <row r="19">
      <c r="A19" s="8" t="inlineStr">
        <is>
          <t>LOSS_PROB</t>
        </is>
      </c>
      <c r="B19" s="11" t="n">
        <v>0.008999999999999999</v>
      </c>
      <c r="C19" s="12">
        <f>IF($B$3=0,B19,VLOOKUP(A19,Scenarios!$A$4:$D$200,1+$B$4,FALSE))</f>
        <v/>
      </c>
      <c r="D19" s="5" t="inlineStr">
        <is>
          <t>%</t>
        </is>
      </c>
      <c r="E19" s="5" t="inlineStr">
        <is>
          <t>Permanent loss probability per garment-cycle</t>
        </is>
      </c>
    </row>
    <row r="20">
      <c r="A20" s="8" t="inlineStr">
        <is>
          <t>DAMAGE_PROB</t>
        </is>
      </c>
      <c r="B20" s="11" t="n">
        <v>0.055</v>
      </c>
      <c r="C20" s="12">
        <f>IF($B$3=0,B20,VLOOKUP(A20,Scenarios!$A$4:$D$200,1+$B$4,FALSE))</f>
        <v/>
      </c>
      <c r="D20" s="5" t="inlineStr">
        <is>
          <t>%</t>
        </is>
      </c>
      <c r="E20" s="5" t="inlineStr">
        <is>
          <t>Damage probability per garment-cycle</t>
        </is>
      </c>
    </row>
    <row r="21">
      <c r="A21" s="8" t="inlineStr">
        <is>
          <t>DAMAGE_RETIRE_PROB</t>
        </is>
      </c>
      <c r="B21" s="11" t="n">
        <v>0.35</v>
      </c>
      <c r="C21" s="12">
        <f>IF($B$3=0,B21,VLOOKUP(A21,Scenarios!$A$4:$D$200,1+$B$4,FALSE))</f>
        <v/>
      </c>
      <c r="D21" s="5" t="inlineStr">
        <is>
          <t>%</t>
        </is>
      </c>
      <c r="E21" s="5" t="inlineStr">
        <is>
          <t>Share of damaged garments retired</t>
        </is>
      </c>
    </row>
    <row r="22">
      <c r="A22" s="8" t="inlineStr">
        <is>
          <t>REPAIR_COST_USD</t>
        </is>
      </c>
      <c r="B22" s="9" t="n">
        <v>6.5</v>
      </c>
      <c r="C22" s="10">
        <f>IF($B$3=0,B22,VLOOKUP(A22,Scenarios!$A$4:$D$200,1+$B$4,FALSE))</f>
        <v/>
      </c>
      <c r="D22" s="5" t="inlineStr">
        <is>
          <t>USD</t>
        </is>
      </c>
      <c r="E22" s="5" t="inlineStr">
        <is>
          <t>Repair cost conditional on repairable damage</t>
        </is>
      </c>
    </row>
    <row r="23">
      <c r="A23" s="8" t="inlineStr">
        <is>
          <t>CLEAN_COST_USD</t>
        </is>
      </c>
      <c r="B23" s="9" t="n">
        <v>2.6</v>
      </c>
      <c r="C23" s="10">
        <f>IF($B$3=0,B23,VLOOKUP(A23,Scenarios!$A$4:$D$200,1+$B$4,FALSE))</f>
        <v/>
      </c>
      <c r="D23" s="5" t="inlineStr">
        <is>
          <t>USD</t>
        </is>
      </c>
      <c r="E23" s="5" t="inlineStr">
        <is>
          <t>Cleaning/finishing cost per garment-cycle</t>
        </is>
      </c>
    </row>
    <row r="24">
      <c r="A24" s="8" t="inlineStr">
        <is>
          <t>QA_COST_USD</t>
        </is>
      </c>
      <c r="B24" s="9" t="n">
        <v>0.75</v>
      </c>
      <c r="C24" s="10">
        <f>IF($B$3=0,B24,VLOOKUP(A24,Scenarios!$A$4:$D$200,1+$B$4,FALSE))</f>
        <v/>
      </c>
      <c r="D24" s="5" t="inlineStr">
        <is>
          <t>USD</t>
        </is>
      </c>
      <c r="E24" s="5" t="inlineStr">
        <is>
          <t>QA/rebag cost per garment-cycle</t>
        </is>
      </c>
    </row>
    <row r="25">
      <c r="A25" s="8" t="inlineStr">
        <is>
          <t>OUTBOUND_SHIP_USD</t>
        </is>
      </c>
      <c r="B25" s="9" t="n">
        <v>8.199999999999999</v>
      </c>
      <c r="C25" s="10">
        <f>IF($B$3=0,B25,VLOOKUP(A25,Scenarios!$A$4:$D$200,1+$B$4,FALSE))</f>
        <v/>
      </c>
      <c r="D25" s="5" t="inlineStr">
        <is>
          <t>USD</t>
        </is>
      </c>
      <c r="E25" s="5" t="inlineStr">
        <is>
          <t>Outbound shipping cost per box</t>
        </is>
      </c>
    </row>
    <row r="26">
      <c r="A26" s="8" t="inlineStr">
        <is>
          <t>INBOUND_SHIP_USD</t>
        </is>
      </c>
      <c r="B26" s="9" t="n">
        <v>6.8</v>
      </c>
      <c r="C26" s="10">
        <f>IF($B$3=0,B26,VLOOKUP(A26,Scenarios!$A$4:$D$200,1+$B$4,FALSE))</f>
        <v/>
      </c>
      <c r="D26" s="5" t="inlineStr">
        <is>
          <t>USD</t>
        </is>
      </c>
      <c r="E26" s="5" t="inlineStr">
        <is>
          <t>Inbound shipping cost per box</t>
        </is>
      </c>
    </row>
    <row r="27">
      <c r="A27" s="8" t="inlineStr">
        <is>
          <t>PACKAGING_DEP_USD</t>
        </is>
      </c>
      <c r="B27" s="9" t="n">
        <v>1.1</v>
      </c>
      <c r="C27" s="10">
        <f>IF($B$3=0,B27,VLOOKUP(A27,Scenarios!$A$4:$D$200,1+$B$4,FALSE))</f>
        <v/>
      </c>
      <c r="D27" s="5" t="inlineStr">
        <is>
          <t>USD</t>
        </is>
      </c>
      <c r="E27" s="5" t="inlineStr">
        <is>
          <t>Packaging depreciation per cycle</t>
        </is>
      </c>
    </row>
    <row r="28">
      <c r="A28" s="8" t="inlineStr">
        <is>
          <t>PICKPACK_LABOR_USD</t>
        </is>
      </c>
      <c r="B28" s="9" t="n">
        <v>3.1</v>
      </c>
      <c r="C28" s="10">
        <f>IF($B$3=0,B28,VLOOKUP(A28,Scenarios!$A$4:$D$200,1+$B$4,FALSE))</f>
        <v/>
      </c>
      <c r="D28" s="5" t="inlineStr">
        <is>
          <t>USD</t>
        </is>
      </c>
      <c r="E28" s="5" t="inlineStr">
        <is>
          <t>Pick/pack labor per box-cycle</t>
        </is>
      </c>
    </row>
    <row r="29">
      <c r="A29" s="8" t="inlineStr">
        <is>
          <t>INBOUND_PROCESS_LABOR_USD</t>
        </is>
      </c>
      <c r="B29" s="9" t="n">
        <v>2.6</v>
      </c>
      <c r="C29" s="10">
        <f>IF($B$3=0,B29,VLOOKUP(A29,Scenarios!$A$4:$D$200,1+$B$4,FALSE))</f>
        <v/>
      </c>
      <c r="D29" s="5" t="inlineStr">
        <is>
          <t>USD</t>
        </is>
      </c>
      <c r="E29" s="5" t="inlineStr">
        <is>
          <t>Inbound receiving/sort per box-cycle</t>
        </is>
      </c>
    </row>
    <row r="30">
      <c r="A30" s="8" t="inlineStr">
        <is>
          <t>CUSTOMER_SUPPORT_USD</t>
        </is>
      </c>
      <c r="B30" s="9" t="n">
        <v>0.85</v>
      </c>
      <c r="C30" s="10">
        <f>IF($B$3=0,B30,VLOOKUP(A30,Scenarios!$A$4:$D$200,1+$B$4,FALSE))</f>
        <v/>
      </c>
      <c r="D30" s="5" t="inlineStr">
        <is>
          <t>USD</t>
        </is>
      </c>
      <c r="E30" s="5" t="inlineStr">
        <is>
          <t>Variable support per user-week</t>
        </is>
      </c>
    </row>
    <row r="31">
      <c r="A31" s="8" t="inlineStr">
        <is>
          <t>PAYMENT_FEE_RATE</t>
        </is>
      </c>
      <c r="B31" s="11" t="n">
        <v>0.029</v>
      </c>
      <c r="C31" s="12">
        <f>IF($B$3=0,B31,VLOOKUP(A31,Scenarios!$A$4:$D$200,1+$B$4,FALSE))</f>
        <v/>
      </c>
      <c r="D31" s="5" t="inlineStr">
        <is>
          <t>%</t>
        </is>
      </c>
      <c r="E31" s="5" t="inlineStr">
        <is>
          <t>Processor % fee</t>
        </is>
      </c>
    </row>
    <row r="32">
      <c r="A32" s="8" t="inlineStr">
        <is>
          <t>PAYMENT_FEE_FIXED_USD</t>
        </is>
      </c>
      <c r="B32" s="9" t="n">
        <v>0.3</v>
      </c>
      <c r="C32" s="10">
        <f>IF($B$3=0,B32,VLOOKUP(A32,Scenarios!$A$4:$D$200,1+$B$4,FALSE))</f>
        <v/>
      </c>
      <c r="D32" s="5" t="inlineStr">
        <is>
          <t>USD</t>
        </is>
      </c>
      <c r="E32" s="5" t="inlineStr">
        <is>
          <t>Processor fixed fee per transaction</t>
        </is>
      </c>
    </row>
    <row r="33">
      <c r="A33" s="8" t="inlineStr">
        <is>
          <t>MISSHIP_PROB</t>
        </is>
      </c>
      <c r="B33" s="11" t="n">
        <v>0.028</v>
      </c>
      <c r="C33" s="12">
        <f>IF($B$3=0,B33,VLOOKUP(A33,Scenarios!$A$4:$D$200,1+$B$4,FALSE))</f>
        <v/>
      </c>
      <c r="D33" s="5" t="inlineStr">
        <is>
          <t>%</t>
        </is>
      </c>
      <c r="E33" s="5" t="inlineStr">
        <is>
          <t>Per-box mis-ship probability</t>
        </is>
      </c>
    </row>
    <row r="34">
      <c r="A34" s="8" t="inlineStr">
        <is>
          <t>MISSHIP_COST_USD</t>
        </is>
      </c>
      <c r="B34" s="9" t="n">
        <v>14</v>
      </c>
      <c r="C34" s="10">
        <f>IF($B$3=0,B34,VLOOKUP(A34,Scenarios!$A$4:$D$200,1+$B$4,FALSE))</f>
        <v/>
      </c>
      <c r="D34" s="5" t="inlineStr">
        <is>
          <t>USD</t>
        </is>
      </c>
      <c r="E34" s="5" t="inlineStr">
        <is>
          <t>Incremental cost conditional on mis-ship</t>
        </is>
      </c>
    </row>
    <row r="35">
      <c r="A35" s="8" t="inlineStr">
        <is>
          <t>EXCEPTION_HANDLING_USD</t>
        </is>
      </c>
      <c r="B35" s="9" t="n">
        <v>1.8</v>
      </c>
      <c r="C35" s="10">
        <f>IF($B$3=0,B35,VLOOKUP(A35,Scenarios!$A$4:$D$200,1+$B$4,FALSE))</f>
        <v/>
      </c>
      <c r="D35" s="5" t="inlineStr">
        <is>
          <t>USD</t>
        </is>
      </c>
      <c r="E35" s="5" t="inlineStr">
        <is>
          <t>Cost conditional on late return exception</t>
        </is>
      </c>
    </row>
    <row r="36">
      <c r="A36" s="8" t="inlineStr">
        <is>
          <t>REFUND_BASE</t>
        </is>
      </c>
      <c r="B36" s="11" t="n">
        <v>0.02</v>
      </c>
      <c r="C36" s="12">
        <f>IF($B$3=0,B36,VLOOKUP(A36,Scenarios!$A$4:$D$200,1+$B$4,FALSE))</f>
        <v/>
      </c>
      <c r="D36" s="5" t="inlineStr">
        <is>
          <t>%</t>
        </is>
      </c>
      <c r="E36" s="5" t="inlineStr">
        <is>
          <t>Base refunds/credits fraction</t>
        </is>
      </c>
    </row>
    <row r="37">
      <c r="A37" s="8" t="inlineStr">
        <is>
          <t>REFUND_GIVEN_MISHIP</t>
        </is>
      </c>
      <c r="B37" s="11" t="n">
        <v>0.35</v>
      </c>
      <c r="C37" s="12">
        <f>IF($B$3=0,B37,VLOOKUP(A37,Scenarios!$A$4:$D$200,1+$B$4,FALSE))</f>
        <v/>
      </c>
      <c r="D37" s="5" t="inlineStr">
        <is>
          <t>%</t>
        </is>
      </c>
      <c r="E37" s="5" t="inlineStr">
        <is>
          <t>Additional refund fraction conditional on mis-ship</t>
        </is>
      </c>
    </row>
    <row r="38">
      <c r="A38" s="8" t="inlineStr">
        <is>
          <t>REFUND_GIVEN_LATE</t>
        </is>
      </c>
      <c r="B38" s="11" t="n">
        <v>0.25</v>
      </c>
      <c r="C38" s="12">
        <f>IF($B$3=0,B38,VLOOKUP(A38,Scenarios!$A$4:$D$200,1+$B$4,FALSE))</f>
        <v/>
      </c>
      <c r="D38" s="5" t="inlineStr">
        <is>
          <t>%</t>
        </is>
      </c>
      <c r="E38" s="5" t="inlineStr">
        <is>
          <t>Additional refund fraction conditional on late return</t>
        </is>
      </c>
    </row>
    <row r="39">
      <c r="A39" s="8" t="inlineStr">
        <is>
          <t>CAPITAL_COST_RATE_WEEKLY</t>
        </is>
      </c>
      <c r="B39" s="9" t="n">
        <v>0.0025</v>
      </c>
      <c r="C39" s="10">
        <f>IF($B$3=0,B39,VLOOKUP(A39,Scenarios!$A$4:$D$200,1+$B$4,FALSE))</f>
        <v/>
      </c>
      <c r="D39" s="5" t="inlineStr">
        <is>
          <t>USD</t>
        </is>
      </c>
      <c r="E39" s="5" t="inlineStr">
        <is>
          <t>Weekly cost of capital</t>
        </is>
      </c>
    </row>
    <row r="40">
      <c r="A40" s="8" t="inlineStr">
        <is>
          <t>CORP_FIXED_OPEX_WEEKLY</t>
        </is>
      </c>
      <c r="B40" s="9" t="n">
        <v>70000</v>
      </c>
      <c r="C40" s="10">
        <f>IF($B$3=0,B40,VLOOKUP(A40,Scenarios!$A$4:$D$200,1+$B$4,FALSE))</f>
        <v/>
      </c>
      <c r="D40" s="5" t="inlineStr">
        <is>
          <t>USD</t>
        </is>
      </c>
      <c r="E40" s="5" t="inlineStr">
        <is>
          <t>Corporate fixed expense per week</t>
        </is>
      </c>
    </row>
    <row r="41">
      <c r="A41" s="8" t="inlineStr">
        <is>
          <t>SITE_FIXED_OPEX_WEEKLY</t>
        </is>
      </c>
      <c r="B41" s="9" t="n">
        <v>38000</v>
      </c>
      <c r="C41" s="10">
        <f>IF($B$3=0,B41,VLOOKUP(A41,Scenarios!$A$4:$D$200,1+$B$4,FALSE))</f>
        <v/>
      </c>
      <c r="D41" s="5" t="inlineStr">
        <is>
          <t>USD</t>
        </is>
      </c>
      <c r="E41" s="5" t="inlineStr">
        <is>
          <t>Per-site fixed expense per week</t>
        </is>
      </c>
    </row>
    <row r="42">
      <c r="A42" s="8" t="inlineStr">
        <is>
          <t>USERS_PER_SITE</t>
        </is>
      </c>
      <c r="B42" s="16" t="n">
        <v>3000</v>
      </c>
      <c r="C42" s="17">
        <f>IF($B$3=0,B42,VLOOKUP(A42,Scenarios!$A$4:$D$200,1+$B$4,FALSE))</f>
        <v/>
      </c>
      <c r="D42" s="5" t="inlineStr">
        <is>
          <t>users</t>
        </is>
      </c>
      <c r="E42" s="5" t="inlineStr">
        <is>
          <t>User capacity per site per week (step function)</t>
        </is>
      </c>
    </row>
    <row r="43">
      <c r="A43" s="8" t="inlineStr">
        <is>
          <t>ENABLE_SCALE_EFFECTS</t>
        </is>
      </c>
      <c r="B43" s="13" t="n">
        <v>1</v>
      </c>
      <c r="C43" s="14">
        <f>IF($B$3=0,B43,VLOOKUP(A43,Scenarios!$A$4:$D$200,1+$B$4,FALSE))</f>
        <v/>
      </c>
      <c r="D43" s="5" t="inlineStr">
        <is>
          <t>0/1</t>
        </is>
      </c>
      <c r="E43" s="5" t="inlineStr">
        <is>
          <t>Enable learning curves &amp; volume discounts</t>
        </is>
      </c>
    </row>
    <row r="44">
      <c r="A44" s="8" t="inlineStr">
        <is>
          <t>REF_USERS</t>
        </is>
      </c>
      <c r="B44" s="16" t="n">
        <v>5000</v>
      </c>
      <c r="C44" s="17">
        <f>IF($B$3=0,B44,VLOOKUP(A44,Scenarios!$A$4:$D$200,1+$B$4,FALSE))</f>
        <v/>
      </c>
      <c r="D44" s="5" t="inlineStr">
        <is>
          <t>users</t>
        </is>
      </c>
      <c r="E44" s="5" t="inlineStr">
        <is>
          <t>Reference scale for learning curves</t>
        </is>
      </c>
    </row>
    <row r="45">
      <c r="A45" s="8" t="inlineStr">
        <is>
          <t>CLEAN_COST_EXPONENT</t>
        </is>
      </c>
      <c r="B45" s="9" t="n">
        <v>-0.06</v>
      </c>
      <c r="C45" s="10">
        <f>IF($B$3=0,B45,VLOOKUP(A45,Scenarios!$A$4:$D$200,1+$B$4,FALSE))</f>
        <v/>
      </c>
      <c r="D45" s="5" t="inlineStr">
        <is>
          <t>exponent</t>
        </is>
      </c>
      <c r="E45" s="5" t="inlineStr">
        <is>
          <t>Per-garment cleaning cost ~ (users/ref)^exp</t>
        </is>
      </c>
    </row>
    <row r="46">
      <c r="A46" s="8" t="inlineStr">
        <is>
          <t>LABOR_EXPONENT</t>
        </is>
      </c>
      <c r="B46" s="13" t="n">
        <v>-0.08</v>
      </c>
      <c r="C46" s="14">
        <f>IF($B$3=0,B46,VLOOKUP(A46,Scenarios!$A$4:$D$200,1+$B$4,FALSE))</f>
        <v/>
      </c>
      <c r="D46" s="5" t="inlineStr">
        <is>
          <t>exponent</t>
        </is>
      </c>
      <c r="E46" s="5" t="inlineStr">
        <is>
          <t>Per-box labor cost ~ (users/ref)^exp</t>
        </is>
      </c>
    </row>
    <row r="47">
      <c r="A47" s="8" t="inlineStr">
        <is>
          <t>SUPPORT_EXPONENT</t>
        </is>
      </c>
      <c r="B47" s="13" t="n">
        <v>-0.1</v>
      </c>
      <c r="C47" s="14">
        <f>IF($B$3=0,B47,VLOOKUP(A47,Scenarios!$A$4:$D$200,1+$B$4,FALSE))</f>
        <v/>
      </c>
      <c r="D47" s="5" t="inlineStr">
        <is>
          <t>exponent</t>
        </is>
      </c>
      <c r="E47" s="5" t="inlineStr">
        <is>
          <t>Support cost ~ (users/ref)^exp</t>
        </is>
      </c>
    </row>
    <row r="48">
      <c r="A48" s="8" t="inlineStr">
        <is>
          <t>SHIP_MAX_DISCOUNT</t>
        </is>
      </c>
      <c r="B48" s="11" t="n">
        <v>0.18</v>
      </c>
      <c r="C48" s="12">
        <f>IF($B$3=0,B48,VLOOKUP(A48,Scenarios!$A$4:$D$200,1+$B$4,FALSE))</f>
        <v/>
      </c>
      <c r="D48" s="5" t="inlineStr">
        <is>
          <t>%</t>
        </is>
      </c>
      <c r="E48" s="5" t="inlineStr">
        <is>
          <t>Max % reduction at very large scale</t>
        </is>
      </c>
    </row>
    <row r="49">
      <c r="A49" s="8" t="inlineStr">
        <is>
          <t>SHIP_DISCOUNT_K</t>
        </is>
      </c>
      <c r="B49" s="11" t="n">
        <v>15000</v>
      </c>
      <c r="C49" s="12">
        <f>IF($B$3=0,B49,VLOOKUP(A49,Scenarios!$A$4:$D$200,1+$B$4,FALSE))</f>
        <v/>
      </c>
      <c r="D49" s="5" t="inlineStr">
        <is>
          <t>users</t>
        </is>
      </c>
      <c r="E49" s="5" t="inlineStr">
        <is>
          <t>Discount curve scale (higher = slower discount)</t>
        </is>
      </c>
    </row>
    <row r="50">
      <c r="A50" s="8" t="inlineStr">
        <is>
          <t>MISSHIP_FLOOR</t>
        </is>
      </c>
      <c r="B50" s="11" t="n">
        <v>0.008</v>
      </c>
      <c r="C50" s="12">
        <f>IF($B$3=0,B50,VLOOKUP(A50,Scenarios!$A$4:$D$200,1+$B$4,FALSE))</f>
        <v/>
      </c>
      <c r="D50" s="5" t="inlineStr">
        <is>
          <t>%</t>
        </is>
      </c>
      <c r="E50" s="5" t="inlineStr">
        <is>
          <t>Operational floor for mis-ship probability</t>
        </is>
      </c>
    </row>
    <row r="51">
      <c r="A51" s="8" t="inlineStr">
        <is>
          <t>MISSHIP_DECAY_K</t>
        </is>
      </c>
      <c r="B51" s="16" t="n">
        <v>12000</v>
      </c>
      <c r="C51" s="17">
        <f>IF($B$3=0,B51,VLOOKUP(A51,Scenarios!$A$4:$D$200,1+$B$4,FALSE))</f>
        <v/>
      </c>
      <c r="D51" s="5" t="inlineStr">
        <is>
          <t>users</t>
        </is>
      </c>
      <c r="E51" s="5" t="inlineStr">
        <is>
          <t>Experience curve parameter for mis-ship</t>
        </is>
      </c>
    </row>
    <row r="52">
      <c r="A52" s="8" t="inlineStr">
        <is>
          <t>PROCESS_BUFFER_EXTRA</t>
        </is>
      </c>
      <c r="B52" s="13" t="n">
        <v>0.1</v>
      </c>
      <c r="C52" s="14">
        <f>IF($B$3=0,B52,VLOOKUP(A52,Scenarios!$A$4:$D$200,1+$B$4,FALSE))</f>
        <v/>
      </c>
      <c r="D52" s="5" t="inlineStr">
        <is>
          <t>multiplier</t>
        </is>
      </c>
      <c r="E52" s="5" t="inlineStr">
        <is>
          <t>Additional safety stock buffer (human error, rewash, holds)</t>
        </is>
      </c>
    </row>
    <row r="53">
      <c r="A53" s="8" t="inlineStr">
        <is>
          <t>MAX_INVENTORY_MULTIPLE</t>
        </is>
      </c>
      <c r="B53" s="16" t="n">
        <v>14</v>
      </c>
      <c r="C53" s="17">
        <f>IF($B$3=0,B53,VLOOKUP(A53,Scenarios!$A$4:$D$200,1+$B$4,FALSE))</f>
        <v/>
      </c>
      <c r="D53" s="5" t="inlineStr">
        <is>
          <t>garments/user</t>
        </is>
      </c>
      <c r="E53" s="5" t="inlineStr">
        <is>
          <t>Kill threshold for garments required per user</t>
        </is>
      </c>
    </row>
    <row r="54">
      <c r="A54" s="8" t="inlineStr">
        <is>
          <t>MAX_LOGISTICS_SHARE</t>
        </is>
      </c>
      <c r="B54" s="11" t="n">
        <v>0.55</v>
      </c>
      <c r="C54" s="12">
        <f>IF($B$3=0,B54,VLOOKUP(A54,Scenarios!$A$4:$D$200,1+$B$4,FALSE))</f>
        <v/>
      </c>
      <c r="D54" s="5" t="inlineStr">
        <is>
          <t>% of revenue</t>
        </is>
      </c>
      <c r="E54" s="5" t="inlineStr">
        <is>
          <t>Kill threshold: ship+clean+labor share of revenue</t>
        </is>
      </c>
    </row>
    <row r="55">
      <c r="A55" s="8" t="inlineStr">
        <is>
          <t>MAX_REPLACEMENT_SHARE</t>
        </is>
      </c>
      <c r="B55" s="11" t="n">
        <v>0.3</v>
      </c>
      <c r="C55" s="12">
        <f>IF($B$3=0,B55,VLOOKUP(A55,Scenarios!$A$4:$D$200,1+$B$4,FALSE))</f>
        <v/>
      </c>
      <c r="D55" s="5" t="inlineStr">
        <is>
          <t>% of revenue</t>
        </is>
      </c>
      <c r="E55" s="5" t="inlineStr">
        <is>
          <t>Kill threshold: replacement spend share of revenue</t>
        </is>
      </c>
    </row>
    <row r="56">
      <c r="A56" s="8" t="inlineStr">
        <is>
          <t>MIN_FULFILL_RATE</t>
        </is>
      </c>
      <c r="B56" s="11" t="n">
        <v>0.98</v>
      </c>
      <c r="C56" s="12">
        <f>IF($B$3=0,B56,VLOOKUP(A56,Scenarios!$A$4:$D$200,1+$B$4,FALSE))</f>
        <v/>
      </c>
      <c r="D56" s="5" t="inlineStr">
        <is>
          <t>%</t>
        </is>
      </c>
      <c r="E56" s="5" t="inlineStr">
        <is>
          <t>Kill threshold: fulfillment reliability</t>
        </is>
      </c>
    </row>
    <row r="57">
      <c r="A57" s="8" t="inlineStr">
        <is>
          <t>FAILURE_PROB_KILL</t>
        </is>
      </c>
      <c r="B57" s="11" t="n">
        <v>0.2</v>
      </c>
      <c r="C57" s="12">
        <f>IF($B$3=0,B57,VLOOKUP(A57,Scenarios!$A$4:$D$200,1+$B$4,FALSE))</f>
        <v/>
      </c>
      <c r="D57" s="5" t="inlineStr">
        <is>
          <t>%</t>
        </is>
      </c>
      <c r="E57" s="5" t="inlineStr">
        <is>
          <t>Kill threshold: Monte Carlo Pr(CM&lt;0)</t>
        </is>
      </c>
    </row>
    <row r="60" ht="18" customHeight="1">
      <c r="A60" s="3" t="inlineStr">
        <is>
          <t>Trajectory &amp; Cash Simulation (week-by-week system dynamics)</t>
        </is>
      </c>
      <c r="B60" s="36" t="n"/>
      <c r="C60" s="37" t="n"/>
    </row>
    <row r="62">
      <c r="A62" s="8" t="inlineStr">
        <is>
          <t>HORIZON_WEEKS</t>
        </is>
      </c>
      <c r="B62" s="6" t="n">
        <v>104</v>
      </c>
      <c r="C62" s="15">
        <f>IF($B$3=0,B62,VLOOKUP(A62,Scenarios!$A$4:$D$400,1+$B$4,FALSE))</f>
        <v/>
      </c>
    </row>
    <row r="63">
      <c r="A63" s="8" t="inlineStr">
        <is>
          <t>START_ACTIVE_USERS</t>
        </is>
      </c>
      <c r="B63" s="16" t="n">
        <v>250</v>
      </c>
      <c r="C63" s="17">
        <f>IF($B$3=0,B63,VLOOKUP(A63,Scenarios!$A$4:$D$400,1+$B$4,FALSE))</f>
        <v/>
      </c>
    </row>
    <row r="64">
      <c r="A64" s="8" t="inlineStr">
        <is>
          <t>WEEKLY_NEW_USERS</t>
        </is>
      </c>
      <c r="B64" s="16" t="n">
        <v>20</v>
      </c>
      <c r="C64" s="17">
        <f>IF($B$3=0,B64,VLOOKUP(A64,Scenarios!$A$4:$D$400,1+$B$4,FALSE))</f>
        <v/>
      </c>
    </row>
    <row r="65">
      <c r="A65" s="8" t="inlineStr">
        <is>
          <t>CAC_USD</t>
        </is>
      </c>
      <c r="B65" s="9" t="n">
        <v>25</v>
      </c>
      <c r="C65" s="10">
        <f>IF($B$3=0,B65,VLOOKUP(A65,Scenarios!$A$4:$D$400,1+$B$4,FALSE))</f>
        <v/>
      </c>
    </row>
    <row r="66">
      <c r="A66" s="8" t="inlineStr">
        <is>
          <t>BASE_CHURN_WEEKLY</t>
        </is>
      </c>
      <c r="B66" s="11" t="n">
        <v>0.015</v>
      </c>
      <c r="C66" s="12">
        <f>IF($B$3=0,B66,VLOOKUP(A66,Scenarios!$A$4:$D$400,1+$B$4,FALSE))</f>
        <v/>
      </c>
    </row>
    <row r="67">
      <c r="A67" s="8" t="inlineStr">
        <is>
          <t>CHURN_SENS_REFUND</t>
        </is>
      </c>
      <c r="B67" s="13" t="n">
        <v>1.2</v>
      </c>
      <c r="C67" s="14">
        <f>IF($B$3=0,B67,VLOOKUP(A67,Scenarios!$A$4:$D$400,1+$B$4,FALSE))</f>
        <v/>
      </c>
    </row>
    <row r="68">
      <c r="A68" s="8" t="inlineStr">
        <is>
          <t>CHURN_SENS_STOCKOUT</t>
        </is>
      </c>
      <c r="B68" s="13" t="n">
        <v>0.5</v>
      </c>
      <c r="C68" s="14">
        <f>IF($B$3=0,B68,VLOOKUP(A68,Scenarios!$A$4:$D$400,1+$B$4,FALSE))</f>
        <v/>
      </c>
    </row>
    <row r="69">
      <c r="A69" s="8" t="inlineStr">
        <is>
          <t>CHURN_SENS_LATE</t>
        </is>
      </c>
      <c r="B69" s="13" t="n">
        <v>0.2</v>
      </c>
      <c r="C69" s="14">
        <f>IF($B$3=0,B69,VLOOKUP(A69,Scenarios!$A$4:$D$400,1+$B$4,FALSE))</f>
        <v/>
      </c>
    </row>
    <row r="70">
      <c r="A70" s="8" t="inlineStr">
        <is>
          <t>STOCKOUT_REFUND_ADD</t>
        </is>
      </c>
      <c r="B70" s="13" t="n">
        <v>0.8</v>
      </c>
      <c r="C70" s="14">
        <f>IF($B$3=0,B70,VLOOKUP(A70,Scenarios!$A$4:$D$400,1+$B$4,FALSE))</f>
        <v/>
      </c>
    </row>
    <row r="71">
      <c r="A71" s="8" t="inlineStr">
        <is>
          <t>STOCKOUT_PENALTY_USD</t>
        </is>
      </c>
      <c r="B71" s="9" t="n">
        <v>6</v>
      </c>
      <c r="C71" s="10">
        <f>IF($B$3=0,B71,VLOOKUP(A71,Scenarios!$A$4:$D$400,1+$B$4,FALSE))</f>
        <v/>
      </c>
    </row>
    <row r="72">
      <c r="A72" s="8" t="inlineStr">
        <is>
          <t>START_CASH_USD</t>
        </is>
      </c>
      <c r="B72" s="45" t="n">
        <v>150000</v>
      </c>
      <c r="C72" s="41">
        <f>IF($B$3=0,B72,VLOOKUP(A72,Scenarios!$A$4:$D$400,1+$B$4,FALSE))</f>
        <v/>
      </c>
    </row>
    <row r="73">
      <c r="A73" s="8" t="inlineStr">
        <is>
          <t>INVENTORY_LEAD_WEEKS</t>
        </is>
      </c>
      <c r="B73" s="6" t="n">
        <v>1</v>
      </c>
      <c r="C73" s="15">
        <f>IF($B$3=0,B73,VLOOKUP(A73,Scenarios!$A$4:$D$400,1+$B$4,FALSE))</f>
        <v/>
      </c>
    </row>
    <row r="74">
      <c r="A74" s="8" t="inlineStr">
        <is>
          <t>INVENTORY_REORDER_BUFFER</t>
        </is>
      </c>
      <c r="B74" s="11" t="n">
        <v>0.05</v>
      </c>
      <c r="C74" s="12">
        <f>IF($B$3=0,B74,VLOOKUP(A74,Scenarios!$A$4:$D$400,1+$B$4,FALSE))</f>
        <v/>
      </c>
    </row>
    <row r="75">
      <c r="A75" s="8" t="inlineStr">
        <is>
          <t>SITE_ADD_LEAD_WEEKS</t>
        </is>
      </c>
      <c r="B75" s="6" t="n">
        <v>2</v>
      </c>
      <c r="C75" s="15">
        <f>IF($B$3=0,B75,VLOOKUP(A75,Scenarios!$A$4:$D$400,1+$B$4,FALSE))</f>
        <v/>
      </c>
    </row>
    <row r="76">
      <c r="A76" s="8" t="inlineStr">
        <is>
          <t>INITIAL_SITES_ONLINE</t>
        </is>
      </c>
      <c r="B76" s="6" t="n">
        <v>1</v>
      </c>
      <c r="C76" s="15">
        <f>IF($B$3=0,B76,VLOOKUP(A76,Scenarios!$A$4:$D$400,1+$B$4,FALSE))</f>
        <v/>
      </c>
    </row>
    <row r="78">
      <c r="A78" s="3" t="inlineStr">
        <is>
          <t>Advanced Dynamics Extensions (cohorts, marketing saturation, ramping)</t>
        </is>
      </c>
      <c r="B78" s="3" t="n"/>
      <c r="C78" s="3" t="n"/>
    </row>
    <row r="80">
      <c r="A80" s="8" t="inlineStr">
        <is>
          <t>COHORT_MODEL_ON</t>
        </is>
      </c>
      <c r="B80" s="6" t="n">
        <v>1</v>
      </c>
      <c r="C80" s="15">
        <f>IF($B$3=0,B80,VLOOKUP(A80,Scenarios!$A$4:$D$600,1+$B$4,FALSE))</f>
        <v/>
      </c>
    </row>
    <row r="81">
      <c r="A81" s="8" t="inlineStr">
        <is>
          <t>MAX_COHORT_AGE_WEEKS</t>
        </is>
      </c>
      <c r="B81" s="6" t="n">
        <v>52</v>
      </c>
      <c r="C81" s="15">
        <f>IF($B$3=0,B81,VLOOKUP(A81,Scenarios!$A$4:$D$600,1+$B$4,FALSE))</f>
        <v/>
      </c>
      <c r="D81" t="inlineStr">
        <is>
          <t>weeks</t>
        </is>
      </c>
    </row>
    <row r="82">
      <c r="A82" s="8" t="inlineStr">
        <is>
          <t>COHORT_CHURN_BASE_WEEKLY</t>
        </is>
      </c>
      <c r="B82" s="11" t="n">
        <v>0.015</v>
      </c>
      <c r="C82" s="12">
        <f>IF($B$3=0,B82,VLOOKUP(A82,Scenarios!$A$4:$D$600,1+$B$4,FALSE))</f>
        <v/>
      </c>
      <c r="D82" t="inlineStr">
        <is>
          <t>%</t>
        </is>
      </c>
    </row>
    <row r="83">
      <c r="A83" s="8" t="inlineStr">
        <is>
          <t>EARLY_CHURN_PREMIUM</t>
        </is>
      </c>
      <c r="B83" s="6" t="n">
        <v>1.5</v>
      </c>
      <c r="C83" s="15">
        <f>IF($B$3=0,B83,VLOOKUP(A83,Scenarios!$A$4:$D$600,1+$B$4,FALSE))</f>
        <v/>
      </c>
      <c r="D83" t="inlineStr">
        <is>
          <t>mult</t>
        </is>
      </c>
    </row>
    <row r="84">
      <c r="A84" s="8" t="inlineStr">
        <is>
          <t>CHURN_DECAY_WEEKS</t>
        </is>
      </c>
      <c r="B84" s="6" t="n">
        <v>8</v>
      </c>
      <c r="C84" s="15">
        <f>IF($B$3=0,B84,VLOOKUP(A84,Scenarios!$A$4:$D$600,1+$B$4,FALSE))</f>
        <v/>
      </c>
      <c r="D84" t="inlineStr">
        <is>
          <t>weeks</t>
        </is>
      </c>
    </row>
    <row r="85">
      <c r="A85" s="8" t="inlineStr">
        <is>
          <t>MARKETING_MODE</t>
        </is>
      </c>
      <c r="B85" s="6" t="n">
        <v>1</v>
      </c>
      <c r="C85" s="15">
        <f>IF($B$3=0,B85,VLOOKUP(A85,Scenarios!$A$4:$D$600,1+$B$4,FALSE))</f>
        <v/>
      </c>
    </row>
    <row r="86">
      <c r="A86" s="8" t="inlineStr">
        <is>
          <t>WEEKLY_MKTG_BUDGET_USD</t>
        </is>
      </c>
      <c r="B86" s="45" t="n">
        <v>12000</v>
      </c>
      <c r="C86" s="41">
        <f>IF($B$3=0,B86,VLOOKUP(A86,Scenarios!$A$4:$D$600,1+$B$4,FALSE))</f>
        <v/>
      </c>
      <c r="D86" t="inlineStr">
        <is>
          <t>USD</t>
        </is>
      </c>
    </row>
    <row r="87">
      <c r="A87" s="8" t="inlineStr">
        <is>
          <t>MKTG_PCT_REVENUE_CAP</t>
        </is>
      </c>
      <c r="B87" s="11" t="n">
        <v>0.15</v>
      </c>
      <c r="C87" s="12">
        <f>IF($B$3=0,B87,VLOOKUP(A87,Scenarios!$A$4:$D$600,1+$B$4,FALSE))</f>
        <v/>
      </c>
      <c r="D87" t="inlineStr">
        <is>
          <t>%</t>
        </is>
      </c>
    </row>
    <row r="88">
      <c r="A88" s="8" t="inlineStr">
        <is>
          <t>TAM_USERS</t>
        </is>
      </c>
      <c r="B88" s="6" t="n">
        <v>2000000</v>
      </c>
      <c r="C88" s="15">
        <f>IF($B$3=0,B88,VLOOKUP(A88,Scenarios!$A$4:$D$600,1+$B$4,FALSE))</f>
        <v/>
      </c>
      <c r="D88" t="inlineStr">
        <is>
          <t>users</t>
        </is>
      </c>
    </row>
    <row r="89">
      <c r="A89" s="8" t="inlineStr">
        <is>
          <t>CAC_SATURATION_SENS</t>
        </is>
      </c>
      <c r="B89" s="6" t="n">
        <v>1</v>
      </c>
      <c r="C89" s="15">
        <f>IF($B$3=0,B89,VLOOKUP(A89,Scenarios!$A$4:$D$600,1+$B$4,FALSE))</f>
        <v/>
      </c>
      <c r="D89" t="inlineStr">
        <is>
          <t>mult</t>
        </is>
      </c>
    </row>
    <row r="90">
      <c r="A90" s="8" t="inlineStr">
        <is>
          <t>CAC_SATURATION_ELASTICITY</t>
        </is>
      </c>
      <c r="B90" s="6" t="n">
        <v>1.3</v>
      </c>
      <c r="C90" s="15">
        <f>IF($B$3=0,B90,VLOOKUP(A90,Scenarios!$A$4:$D$600,1+$B$4,FALSE))</f>
        <v/>
      </c>
      <c r="D90" t="inlineStr">
        <is>
          <t>power</t>
        </is>
      </c>
    </row>
    <row r="91">
      <c r="A91" s="8" t="inlineStr">
        <is>
          <t>MAX_NEW_USERS_PER_WEEK</t>
        </is>
      </c>
      <c r="B91" s="6" t="n">
        <v>800</v>
      </c>
      <c r="C91" s="15">
        <f>IF($B$3=0,B91,VLOOKUP(A91,Scenarios!$A$4:$D$600,1+$B$4,FALSE))</f>
        <v/>
      </c>
      <c r="D91" t="inlineStr">
        <is>
          <t>users/wk</t>
        </is>
      </c>
    </row>
    <row r="92">
      <c r="A92" s="8" t="inlineStr">
        <is>
          <t>CAPACITY_UTIL_TARGET</t>
        </is>
      </c>
      <c r="B92" s="11" t="n">
        <v>0.85</v>
      </c>
      <c r="C92" s="12">
        <f>IF($B$3=0,B92,VLOOKUP(A92,Scenarios!$A$4:$D$600,1+$B$4,FALSE))</f>
        <v/>
      </c>
      <c r="D92" t="inlineStr">
        <is>
          <t>%</t>
        </is>
      </c>
    </row>
    <row r="93">
      <c r="A93" s="8" t="inlineStr">
        <is>
          <t>RAMP_WEEKS</t>
        </is>
      </c>
      <c r="B93" s="6" t="n">
        <v>6</v>
      </c>
      <c r="C93" s="15">
        <f>IF($B$3=0,B93,VLOOKUP(A93,Scenarios!$A$4:$D$600,1+$B$4,FALSE))</f>
        <v/>
      </c>
      <c r="D93" t="inlineStr">
        <is>
          <t>weeks</t>
        </is>
      </c>
    </row>
    <row r="94">
      <c r="A94" s="8" t="inlineStr">
        <is>
          <t>RAMP_EFF_START</t>
        </is>
      </c>
      <c r="B94" s="11" t="n">
        <v>0.6</v>
      </c>
      <c r="C94" s="12">
        <f>IF($B$3=0,B94,VLOOKUP(A94,Scenarios!$A$4:$D$600,1+$B$4,FALSE))</f>
        <v/>
      </c>
      <c r="D94" t="inlineStr">
        <is>
          <t>%</t>
        </is>
      </c>
    </row>
    <row r="95">
      <c r="A95" s="8" t="inlineStr">
        <is>
          <t>RAMP_VAR_COST_MULT_MAX</t>
        </is>
      </c>
      <c r="B95" s="6" t="n">
        <v>1.35</v>
      </c>
      <c r="C95" s="15">
        <f>IF($B$3=0,B95,VLOOKUP(A95,Scenarios!$A$4:$D$600,1+$B$4,FALSE))</f>
        <v/>
      </c>
      <c r="D95" t="inlineStr">
        <is>
          <t>mult</t>
        </is>
      </c>
    </row>
  </sheetData>
  <mergeCells count="3">
    <mergeCell ref="A60:C60"/>
    <mergeCell ref="A1:E1"/>
    <mergeCell ref="A78:C78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18" customHeight="1">
      <c r="A1" s="46" t="inlineStr">
        <is>
          <t>Service_Level</t>
        </is>
      </c>
      <c r="B1" s="46" t="inlineStr">
        <is>
          <t>Z_Score</t>
        </is>
      </c>
    </row>
    <row r="2">
      <c r="A2" s="47" t="n">
        <v>0.8</v>
      </c>
      <c r="B2" s="48" t="n">
        <v>0.8416</v>
      </c>
    </row>
    <row r="3">
      <c r="A3" s="47" t="n">
        <v>0.85</v>
      </c>
      <c r="B3" s="48" t="n">
        <v>1.0364</v>
      </c>
    </row>
    <row r="4">
      <c r="A4" s="47" t="n">
        <v>0.9</v>
      </c>
      <c r="B4" s="48" t="n">
        <v>1.2816</v>
      </c>
    </row>
    <row r="5">
      <c r="A5" s="47" t="n">
        <v>0.92</v>
      </c>
      <c r="B5" s="48" t="n">
        <v>1.4051</v>
      </c>
    </row>
    <row r="6">
      <c r="A6" s="47" t="n">
        <v>0.9399999999999999</v>
      </c>
      <c r="B6" s="48" t="n">
        <v>1.5548</v>
      </c>
    </row>
    <row r="7">
      <c r="A7" s="47" t="n">
        <v>0.95</v>
      </c>
      <c r="B7" s="48" t="n">
        <v>1.6449</v>
      </c>
    </row>
    <row r="8">
      <c r="A8" s="47" t="n">
        <v>0.96</v>
      </c>
      <c r="B8" s="48" t="n">
        <v>1.7507</v>
      </c>
    </row>
    <row r="9">
      <c r="A9" s="47" t="n">
        <v>0.97</v>
      </c>
      <c r="B9" s="48" t="n">
        <v>1.8808</v>
      </c>
    </row>
    <row r="10">
      <c r="A10" s="47" t="n">
        <v>0.975</v>
      </c>
      <c r="B10" s="48" t="n">
        <v>1.96</v>
      </c>
    </row>
    <row r="11">
      <c r="A11" s="47" t="n">
        <v>0.98</v>
      </c>
      <c r="B11" s="48" t="n">
        <v>2.0537</v>
      </c>
    </row>
    <row r="12">
      <c r="A12" s="47" t="n">
        <v>0.985</v>
      </c>
      <c r="B12" s="48" t="n">
        <v>2.1701</v>
      </c>
    </row>
    <row r="13">
      <c r="A13" s="47" t="n">
        <v>0.99</v>
      </c>
      <c r="B13" s="48" t="n">
        <v>2.3263</v>
      </c>
    </row>
    <row r="14">
      <c r="A14" s="47" t="n">
        <v>0.995</v>
      </c>
      <c r="B14" s="48" t="n">
        <v>2.5758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0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42" customWidth="1" min="5" max="5"/>
  </cols>
  <sheetData>
    <row r="1" ht="20" customHeight="1">
      <c r="A1" s="3" t="inlineStr">
        <is>
          <t>Scenario Library (used when Scenario_Mode = 1)</t>
        </is>
      </c>
      <c r="B1" s="36" t="n"/>
      <c r="C1" s="36" t="n"/>
      <c r="D1" s="36" t="n"/>
      <c r="E1" s="37" t="n"/>
    </row>
    <row r="2"/>
    <row r="3">
      <c r="A3" s="7" t="inlineStr">
        <is>
          <t>Parameter</t>
        </is>
      </c>
      <c r="B3" s="7" t="inlineStr">
        <is>
          <t>Best</t>
        </is>
      </c>
      <c r="C3" s="7" t="inlineStr">
        <is>
          <t>Base</t>
        </is>
      </c>
      <c r="D3" s="7" t="inlineStr">
        <is>
          <t>Failure</t>
        </is>
      </c>
      <c r="E3" s="7" t="inlineStr">
        <is>
          <t>Notes</t>
        </is>
      </c>
    </row>
    <row r="4">
      <c r="A4" s="8" t="inlineStr">
        <is>
          <t>PRICE_WEEKLY_USD</t>
        </is>
      </c>
      <c r="B4" s="18" t="n">
        <v>49</v>
      </c>
      <c r="C4" s="18" t="n">
        <v>39</v>
      </c>
      <c r="D4" s="18" t="n">
        <v>29</v>
      </c>
      <c r="E4" s="5" t="inlineStr">
        <is>
          <t>Subscription price per active user-week</t>
        </is>
      </c>
    </row>
    <row r="5">
      <c r="A5" s="8" t="inlineStr">
        <is>
          <t>DISCOUNT_RATE</t>
        </is>
      </c>
      <c r="B5" s="19" t="n">
        <v>0.02</v>
      </c>
      <c r="C5" s="19" t="n">
        <v>0.08</v>
      </c>
      <c r="D5" s="19" t="n">
        <v>0.15</v>
      </c>
      <c r="E5" s="5" t="inlineStr">
        <is>
          <t>Average discount rate (0-1)</t>
        </is>
      </c>
    </row>
    <row r="6">
      <c r="A6" s="8" t="inlineStr">
        <is>
          <t>BASE_RETURN_LATENCY_WEEKS</t>
        </is>
      </c>
      <c r="B6" s="20" t="n">
        <v>0.85</v>
      </c>
      <c r="C6" s="20" t="n">
        <v>1.05</v>
      </c>
      <c r="D6" s="20" t="n">
        <v>1.35</v>
      </c>
      <c r="E6" s="5" t="inlineStr">
        <is>
          <t>Outbound-to-inbound latency excluding cleaning</t>
        </is>
      </c>
    </row>
    <row r="7">
      <c r="A7" s="8" t="inlineStr">
        <is>
          <t>LATE_RETURN_PROB</t>
        </is>
      </c>
      <c r="B7" s="19" t="n">
        <v>0.08</v>
      </c>
      <c r="C7" s="19" t="n">
        <v>0.18</v>
      </c>
      <c r="D7" s="19" t="n">
        <v>0.35</v>
      </c>
      <c r="E7" s="5" t="inlineStr">
        <is>
          <t>Probability return exceeds target window</t>
        </is>
      </c>
    </row>
    <row r="8">
      <c r="A8" s="8" t="inlineStr">
        <is>
          <t>LATE_RETURN_EXTRA_WEEKS</t>
        </is>
      </c>
      <c r="B8" s="20" t="n">
        <v>0.3</v>
      </c>
      <c r="C8" s="20" t="n">
        <v>0.55</v>
      </c>
      <c r="D8" s="20" t="n">
        <v>0.9</v>
      </c>
      <c r="E8" s="5" t="inlineStr">
        <is>
          <t>Additional weeks conditional on late return</t>
        </is>
      </c>
    </row>
    <row r="9">
      <c r="A9" s="8" t="inlineStr">
        <is>
          <t>CLEAN_TAT_WEEKS</t>
        </is>
      </c>
      <c r="B9" s="20" t="n">
        <v>0.25</v>
      </c>
      <c r="C9" s="20" t="n">
        <v>0.35</v>
      </c>
      <c r="D9" s="20" t="n">
        <v>0.55</v>
      </c>
      <c r="E9" s="5" t="inlineStr">
        <is>
          <t>Cleaning + QA turnaround time</t>
        </is>
      </c>
    </row>
    <row r="10">
      <c r="A10" s="8" t="inlineStr">
        <is>
          <t>SIGMA_RETURN_WEEKS</t>
        </is>
      </c>
      <c r="B10" s="20" t="n">
        <v>0.18</v>
      </c>
      <c r="C10" s="20" t="n">
        <v>0.3</v>
      </c>
      <c r="D10" s="20" t="n">
        <v>0.45</v>
      </c>
      <c r="E10" s="5" t="inlineStr">
        <is>
          <t>Std dev of return latency</t>
        </is>
      </c>
    </row>
    <row r="11">
      <c r="A11" s="8" t="inlineStr">
        <is>
          <t>SIGMA_CLEAN_WEEKS</t>
        </is>
      </c>
      <c r="B11" s="20" t="n">
        <v>0.06</v>
      </c>
      <c r="C11" s="20" t="n">
        <v>0.1</v>
      </c>
      <c r="D11" s="20" t="n">
        <v>0.18</v>
      </c>
      <c r="E11" s="5" t="inlineStr">
        <is>
          <t>Std dev of cleaning TAT</t>
        </is>
      </c>
    </row>
    <row r="12">
      <c r="A12" s="8" t="inlineStr">
        <is>
          <t>SERVICE_LEVEL</t>
        </is>
      </c>
      <c r="B12" s="19" t="n">
        <v>0.97</v>
      </c>
      <c r="C12" s="19" t="n">
        <v>0.95</v>
      </c>
      <c r="D12" s="19" t="n">
        <v>0.9</v>
      </c>
      <c r="E12" s="5" t="inlineStr">
        <is>
          <t>Service level target for safety stock factor</t>
        </is>
      </c>
    </row>
    <row r="13">
      <c r="A13" s="8" t="inlineStr">
        <is>
          <t>ITEMS_PER_BOX</t>
        </is>
      </c>
      <c r="B13" s="20" t="n">
        <v>4</v>
      </c>
      <c r="C13" s="20" t="n">
        <v>4</v>
      </c>
      <c r="D13" s="20" t="n">
        <v>4</v>
      </c>
      <c r="E13" s="5" t="inlineStr">
        <is>
          <t>Average garments per shipment</t>
        </is>
      </c>
    </row>
    <row r="14">
      <c r="A14" s="8" t="inlineStr">
        <is>
          <t>GARMENT_ACQ_COST_USD</t>
        </is>
      </c>
      <c r="B14" s="18" t="n">
        <v>22</v>
      </c>
      <c r="C14" s="18" t="n">
        <v>25</v>
      </c>
      <c r="D14" s="18" t="n">
        <v>28</v>
      </c>
      <c r="E14" s="5" t="inlineStr">
        <is>
          <t>Weighted avg acquisition cost per garment</t>
        </is>
      </c>
    </row>
    <row r="15">
      <c r="A15" s="8" t="inlineStr">
        <is>
          <t>GARMENT_LIFE_CYCLES_WEAR</t>
        </is>
      </c>
      <c r="B15" s="21" t="n">
        <v>35</v>
      </c>
      <c r="C15" s="21" t="n">
        <v>28</v>
      </c>
      <c r="D15" s="21" t="n">
        <v>18</v>
      </c>
      <c r="E15" s="5" t="inlineStr">
        <is>
          <t>Wear-out cycles excluding loss/damage</t>
        </is>
      </c>
    </row>
    <row r="16">
      <c r="A16" s="8" t="inlineStr">
        <is>
          <t>LOSS_PROB</t>
        </is>
      </c>
      <c r="B16" s="19" t="n">
        <v>0.004</v>
      </c>
      <c r="C16" s="19" t="n">
        <v>0.008999999999999999</v>
      </c>
      <c r="D16" s="19" t="n">
        <v>0.018</v>
      </c>
      <c r="E16" s="5" t="inlineStr">
        <is>
          <t>Permanent loss probability per garment-cycle</t>
        </is>
      </c>
    </row>
    <row r="17">
      <c r="A17" s="8" t="inlineStr">
        <is>
          <t>DAMAGE_PROB</t>
        </is>
      </c>
      <c r="B17" s="19" t="n">
        <v>0.03</v>
      </c>
      <c r="C17" s="19" t="n">
        <v>0.055</v>
      </c>
      <c r="D17" s="19" t="n">
        <v>0.08500000000000001</v>
      </c>
      <c r="E17" s="5" t="inlineStr">
        <is>
          <t>Damage probability per garment-cycle</t>
        </is>
      </c>
    </row>
    <row r="18">
      <c r="A18" s="8" t="inlineStr">
        <is>
          <t>DAMAGE_RETIRE_PROB</t>
        </is>
      </c>
      <c r="B18" s="19" t="n">
        <v>0.2</v>
      </c>
      <c r="C18" s="19" t="n">
        <v>0.35</v>
      </c>
      <c r="D18" s="19" t="n">
        <v>0.55</v>
      </c>
      <c r="E18" s="5" t="inlineStr">
        <is>
          <t>Share of damaged garments retired</t>
        </is>
      </c>
    </row>
    <row r="19">
      <c r="A19" s="8" t="inlineStr">
        <is>
          <t>REPAIR_COST_USD</t>
        </is>
      </c>
      <c r="B19" s="18" t="n">
        <v>4.5</v>
      </c>
      <c r="C19" s="18" t="n">
        <v>6.5</v>
      </c>
      <c r="D19" s="18" t="n">
        <v>8</v>
      </c>
      <c r="E19" s="5" t="inlineStr">
        <is>
          <t>Repair cost conditional on repairable damage</t>
        </is>
      </c>
    </row>
    <row r="20">
      <c r="A20" s="8" t="inlineStr">
        <is>
          <t>CLEAN_COST_USD</t>
        </is>
      </c>
      <c r="B20" s="18" t="n">
        <v>2.1</v>
      </c>
      <c r="C20" s="18" t="n">
        <v>2.6</v>
      </c>
      <c r="D20" s="18" t="n">
        <v>3.3</v>
      </c>
      <c r="E20" s="5" t="inlineStr">
        <is>
          <t>Cleaning/finishing cost per garment-cycle</t>
        </is>
      </c>
    </row>
    <row r="21">
      <c r="A21" s="8" t="inlineStr">
        <is>
          <t>QA_COST_USD</t>
        </is>
      </c>
      <c r="B21" s="18" t="n">
        <v>0.55</v>
      </c>
      <c r="C21" s="18" t="n">
        <v>0.75</v>
      </c>
      <c r="D21" s="18" t="n">
        <v>0.95</v>
      </c>
      <c r="E21" s="5" t="inlineStr">
        <is>
          <t>QA/rebag cost per garment-cycle</t>
        </is>
      </c>
    </row>
    <row r="22">
      <c r="A22" s="8" t="inlineStr">
        <is>
          <t>OUTBOUND_SHIP_USD</t>
        </is>
      </c>
      <c r="B22" s="18" t="n">
        <v>7.2</v>
      </c>
      <c r="C22" s="18" t="n">
        <v>8.199999999999999</v>
      </c>
      <c r="D22" s="18" t="n">
        <v>9.800000000000001</v>
      </c>
      <c r="E22" s="5" t="inlineStr">
        <is>
          <t>Outbound shipping cost per box</t>
        </is>
      </c>
    </row>
    <row r="23">
      <c r="A23" s="8" t="inlineStr">
        <is>
          <t>INBOUND_SHIP_USD</t>
        </is>
      </c>
      <c r="B23" s="18" t="n">
        <v>6</v>
      </c>
      <c r="C23" s="18" t="n">
        <v>6.8</v>
      </c>
      <c r="D23" s="18" t="n">
        <v>8.199999999999999</v>
      </c>
      <c r="E23" s="5" t="inlineStr">
        <is>
          <t>Inbound shipping cost per box</t>
        </is>
      </c>
    </row>
    <row r="24">
      <c r="A24" s="8" t="inlineStr">
        <is>
          <t>PACKAGING_DEP_USD</t>
        </is>
      </c>
      <c r="B24" s="18" t="n">
        <v>0.85</v>
      </c>
      <c r="C24" s="18" t="n">
        <v>1.1</v>
      </c>
      <c r="D24" s="18" t="n">
        <v>1.35</v>
      </c>
      <c r="E24" s="5" t="inlineStr">
        <is>
          <t>Packaging depreciation per cycle</t>
        </is>
      </c>
    </row>
    <row r="25">
      <c r="A25" s="8" t="inlineStr">
        <is>
          <t>PICKPACK_LABOR_USD</t>
        </is>
      </c>
      <c r="B25" s="18" t="n">
        <v>2.4</v>
      </c>
      <c r="C25" s="18" t="n">
        <v>3.1</v>
      </c>
      <c r="D25" s="18" t="n">
        <v>4.4</v>
      </c>
      <c r="E25" s="5" t="inlineStr">
        <is>
          <t>Pick/pack labor per box-cycle</t>
        </is>
      </c>
    </row>
    <row r="26">
      <c r="A26" s="8" t="inlineStr">
        <is>
          <t>INBOUND_PROCESS_LABOR_USD</t>
        </is>
      </c>
      <c r="B26" s="18" t="n">
        <v>1.9</v>
      </c>
      <c r="C26" s="18" t="n">
        <v>2.6</v>
      </c>
      <c r="D26" s="18" t="n">
        <v>3.9</v>
      </c>
      <c r="E26" s="5" t="inlineStr">
        <is>
          <t>Inbound receiving/sort per box-cycle</t>
        </is>
      </c>
    </row>
    <row r="27">
      <c r="A27" s="8" t="inlineStr">
        <is>
          <t>CUSTOMER_SUPPORT_USD</t>
        </is>
      </c>
      <c r="B27" s="18" t="n">
        <v>0.55</v>
      </c>
      <c r="C27" s="18" t="n">
        <v>0.85</v>
      </c>
      <c r="D27" s="18" t="n">
        <v>1.4</v>
      </c>
      <c r="E27" s="5" t="inlineStr">
        <is>
          <t>Variable support per user-week</t>
        </is>
      </c>
    </row>
    <row r="28">
      <c r="A28" s="8" t="inlineStr">
        <is>
          <t>PAYMENT_FEE_RATE</t>
        </is>
      </c>
      <c r="B28" s="19" t="n">
        <v>0.029</v>
      </c>
      <c r="C28" s="19" t="n">
        <v>0.029</v>
      </c>
      <c r="D28" s="19" t="n">
        <v>0.032</v>
      </c>
      <c r="E28" s="5" t="inlineStr">
        <is>
          <t>Processor % fee</t>
        </is>
      </c>
    </row>
    <row r="29">
      <c r="A29" s="8" t="inlineStr">
        <is>
          <t>PAYMENT_FEE_FIXED_USD</t>
        </is>
      </c>
      <c r="B29" s="18" t="n">
        <v>0.3</v>
      </c>
      <c r="C29" s="18" t="n">
        <v>0.3</v>
      </c>
      <c r="D29" s="18" t="n">
        <v>0.3</v>
      </c>
      <c r="E29" s="5" t="inlineStr">
        <is>
          <t>Processor fixed fee per transaction</t>
        </is>
      </c>
    </row>
    <row r="30">
      <c r="A30" s="8" t="inlineStr">
        <is>
          <t>MISSHIP_PROB</t>
        </is>
      </c>
      <c r="B30" s="19" t="n">
        <v>0.012</v>
      </c>
      <c r="C30" s="19" t="n">
        <v>0.028</v>
      </c>
      <c r="D30" s="19" t="n">
        <v>0.06</v>
      </c>
      <c r="E30" s="5" t="inlineStr">
        <is>
          <t>Per-box mis-ship probability</t>
        </is>
      </c>
    </row>
    <row r="31">
      <c r="A31" s="8" t="inlineStr">
        <is>
          <t>MISSHIP_COST_USD</t>
        </is>
      </c>
      <c r="B31" s="18" t="n">
        <v>10</v>
      </c>
      <c r="C31" s="18" t="n">
        <v>14</v>
      </c>
      <c r="D31" s="18" t="n">
        <v>22</v>
      </c>
      <c r="E31" s="5" t="inlineStr">
        <is>
          <t>Incremental cost conditional on mis-ship</t>
        </is>
      </c>
    </row>
    <row r="32">
      <c r="A32" s="8" t="inlineStr">
        <is>
          <t>EXCEPTION_HANDLING_USD</t>
        </is>
      </c>
      <c r="B32" s="18" t="n">
        <v>1.25</v>
      </c>
      <c r="C32" s="18" t="n">
        <v>1.8</v>
      </c>
      <c r="D32" s="18" t="n">
        <v>2.8</v>
      </c>
      <c r="E32" s="5" t="inlineStr">
        <is>
          <t>Cost conditional on late return exception</t>
        </is>
      </c>
    </row>
    <row r="33">
      <c r="A33" s="8" t="inlineStr">
        <is>
          <t>REFUND_BASE</t>
        </is>
      </c>
      <c r="B33" s="19" t="n">
        <v>0.01</v>
      </c>
      <c r="C33" s="19" t="n">
        <v>0.02</v>
      </c>
      <c r="D33" s="19" t="n">
        <v>0.05</v>
      </c>
      <c r="E33" s="5" t="inlineStr">
        <is>
          <t>Base refunds/credits fraction</t>
        </is>
      </c>
    </row>
    <row r="34">
      <c r="A34" s="8" t="inlineStr">
        <is>
          <t>REFUND_GIVEN_MISHIP</t>
        </is>
      </c>
      <c r="B34" s="19" t="n">
        <v>0.2</v>
      </c>
      <c r="C34" s="19" t="n">
        <v>0.35</v>
      </c>
      <c r="D34" s="19" t="n">
        <v>0.55</v>
      </c>
      <c r="E34" s="5" t="inlineStr">
        <is>
          <t>Additional refund fraction conditional on mis-ship</t>
        </is>
      </c>
    </row>
    <row r="35">
      <c r="A35" s="8" t="inlineStr">
        <is>
          <t>REFUND_GIVEN_LATE</t>
        </is>
      </c>
      <c r="B35" s="19" t="n">
        <v>0.1</v>
      </c>
      <c r="C35" s="19" t="n">
        <v>0.25</v>
      </c>
      <c r="D35" s="19" t="n">
        <v>0.45</v>
      </c>
      <c r="E35" s="5" t="inlineStr">
        <is>
          <t>Additional refund fraction conditional on late return</t>
        </is>
      </c>
    </row>
    <row r="36">
      <c r="A36" s="8" t="inlineStr">
        <is>
          <t>CAPITAL_COST_RATE_WEEKLY</t>
        </is>
      </c>
      <c r="B36" s="18" t="n">
        <v>0.002</v>
      </c>
      <c r="C36" s="18" t="n">
        <v>0.0025</v>
      </c>
      <c r="D36" s="18" t="n">
        <v>0.0035</v>
      </c>
      <c r="E36" s="5" t="inlineStr">
        <is>
          <t>Weekly cost of capital</t>
        </is>
      </c>
    </row>
    <row r="37">
      <c r="A37" s="8" t="inlineStr">
        <is>
          <t>CORP_FIXED_OPEX_WEEKLY</t>
        </is>
      </c>
      <c r="B37" s="18" t="n">
        <v>45000</v>
      </c>
      <c r="C37" s="18" t="n">
        <v>70000</v>
      </c>
      <c r="D37" s="18" t="n">
        <v>90000</v>
      </c>
      <c r="E37" s="5" t="inlineStr">
        <is>
          <t>Corporate fixed expense per week</t>
        </is>
      </c>
    </row>
    <row r="38">
      <c r="A38" s="8" t="inlineStr">
        <is>
          <t>SITE_FIXED_OPEX_WEEKLY</t>
        </is>
      </c>
      <c r="B38" s="18" t="n">
        <v>25000</v>
      </c>
      <c r="C38" s="18" t="n">
        <v>38000</v>
      </c>
      <c r="D38" s="18" t="n">
        <v>52000</v>
      </c>
      <c r="E38" s="5" t="inlineStr">
        <is>
          <t>Per-site fixed expense per week</t>
        </is>
      </c>
    </row>
    <row r="39">
      <c r="A39" s="8" t="inlineStr">
        <is>
          <t>USERS_PER_SITE</t>
        </is>
      </c>
      <c r="B39" s="20" t="n">
        <v>4000</v>
      </c>
      <c r="C39" s="20" t="n">
        <v>3000</v>
      </c>
      <c r="D39" s="20" t="n">
        <v>2200</v>
      </c>
      <c r="E39" s="5" t="inlineStr">
        <is>
          <t>User capacity per site per week (step function)</t>
        </is>
      </c>
    </row>
    <row r="40">
      <c r="A40" s="8" t="inlineStr">
        <is>
          <t>HORIZON_WEEKS</t>
        </is>
      </c>
      <c r="B40" s="49" t="n">
        <v>104</v>
      </c>
      <c r="C40" s="49" t="n">
        <v>104</v>
      </c>
      <c r="D40" s="49" t="n">
        <v>104</v>
      </c>
    </row>
    <row r="41">
      <c r="A41" s="8" t="inlineStr">
        <is>
          <t>START_ACTIVE_USERS</t>
        </is>
      </c>
      <c r="B41" s="49" t="n">
        <v>500</v>
      </c>
      <c r="C41" s="49" t="n">
        <v>250</v>
      </c>
      <c r="D41" s="49" t="n">
        <v>250</v>
      </c>
    </row>
    <row r="42">
      <c r="A42" s="8" t="inlineStr">
        <is>
          <t>WEEKLY_NEW_USERS</t>
        </is>
      </c>
      <c r="B42" s="49" t="n">
        <v>60</v>
      </c>
      <c r="C42" s="49" t="n">
        <v>20</v>
      </c>
      <c r="D42" s="49" t="n">
        <v>10</v>
      </c>
    </row>
    <row r="43">
      <c r="A43" s="8" t="inlineStr">
        <is>
          <t>CAC_USD</t>
        </is>
      </c>
      <c r="B43" s="18" t="n">
        <v>15</v>
      </c>
      <c r="C43" s="18" t="n">
        <v>25</v>
      </c>
      <c r="D43" s="18" t="n">
        <v>35</v>
      </c>
    </row>
    <row r="44">
      <c r="A44" s="8" t="inlineStr">
        <is>
          <t>BASE_CHURN_WEEKLY</t>
        </is>
      </c>
      <c r="B44" s="19" t="n">
        <v>0.008</v>
      </c>
      <c r="C44" s="19" t="n">
        <v>0.015</v>
      </c>
      <c r="D44" s="19" t="n">
        <v>0.035</v>
      </c>
    </row>
    <row r="45">
      <c r="A45" s="8" t="inlineStr">
        <is>
          <t>CHURN_SENS_REFUND</t>
        </is>
      </c>
      <c r="B45" s="19" t="n">
        <v>0.8</v>
      </c>
      <c r="C45" s="19" t="n">
        <v>1.2</v>
      </c>
      <c r="D45" s="19" t="n">
        <v>1.8</v>
      </c>
    </row>
    <row r="46">
      <c r="A46" s="8" t="inlineStr">
        <is>
          <t>CHURN_SENS_STOCKOUT</t>
        </is>
      </c>
      <c r="B46" s="19" t="n">
        <v>0.2</v>
      </c>
      <c r="C46" s="19" t="n">
        <v>0.5</v>
      </c>
      <c r="D46" s="19" t="n">
        <v>1.2</v>
      </c>
    </row>
    <row r="47">
      <c r="A47" s="8" t="inlineStr">
        <is>
          <t>CHURN_SENS_LATE</t>
        </is>
      </c>
      <c r="B47" s="19" t="n">
        <v>0.1</v>
      </c>
      <c r="C47" s="19" t="n">
        <v>0.2</v>
      </c>
      <c r="D47" s="19" t="n">
        <v>0.4</v>
      </c>
    </row>
    <row r="48">
      <c r="A48" s="8" t="inlineStr">
        <is>
          <t>STOCKOUT_REFUND_ADD</t>
        </is>
      </c>
      <c r="B48" s="49" t="n">
        <v>0.5</v>
      </c>
      <c r="C48" s="49" t="n">
        <v>0.8</v>
      </c>
      <c r="D48" s="49" t="n">
        <v>1.2</v>
      </c>
    </row>
    <row r="49">
      <c r="A49" s="8" t="inlineStr">
        <is>
          <t>STOCKOUT_PENALTY_USD</t>
        </is>
      </c>
      <c r="B49" s="18" t="n">
        <v>3</v>
      </c>
      <c r="C49" s="18" t="n">
        <v>6</v>
      </c>
      <c r="D49" s="18" t="n">
        <v>10</v>
      </c>
    </row>
    <row r="50">
      <c r="A50" s="8" t="inlineStr">
        <is>
          <t>START_CASH_USD</t>
        </is>
      </c>
      <c r="B50" s="18" t="n">
        <v>250000</v>
      </c>
      <c r="C50" s="18" t="n">
        <v>150000</v>
      </c>
      <c r="D50" s="18" t="n">
        <v>80000</v>
      </c>
    </row>
    <row r="51">
      <c r="A51" s="8" t="inlineStr">
        <is>
          <t>INVENTORY_LEAD_WEEKS</t>
        </is>
      </c>
      <c r="B51" s="49" t="n">
        <v>0</v>
      </c>
      <c r="C51" s="49" t="n">
        <v>1</v>
      </c>
      <c r="D51" s="49" t="n">
        <v>2</v>
      </c>
    </row>
    <row r="52">
      <c r="A52" s="8" t="inlineStr">
        <is>
          <t>INVENTORY_REORDER_BUFFER</t>
        </is>
      </c>
      <c r="B52" s="19" t="n">
        <v>0.03</v>
      </c>
      <c r="C52" s="19" t="n">
        <v>0.05</v>
      </c>
      <c r="D52" s="19" t="n">
        <v>0.08</v>
      </c>
    </row>
    <row r="53">
      <c r="A53" s="8" t="inlineStr">
        <is>
          <t>SITE_ADD_LEAD_WEEKS</t>
        </is>
      </c>
      <c r="B53" s="49" t="n">
        <v>1</v>
      </c>
      <c r="C53" s="49" t="n">
        <v>2</v>
      </c>
      <c r="D53" s="49" t="n">
        <v>4</v>
      </c>
    </row>
    <row r="54">
      <c r="A54" s="8" t="inlineStr">
        <is>
          <t>INITIAL_SITES_ONLINE</t>
        </is>
      </c>
      <c r="B54" s="49" t="n">
        <v>1</v>
      </c>
      <c r="C54" s="49" t="n">
        <v>1</v>
      </c>
      <c r="D54" s="49" t="n">
        <v>1</v>
      </c>
    </row>
    <row r="55">
      <c r="A55" s="8" t="inlineStr">
        <is>
          <t>COHORT_MODEL_ON</t>
        </is>
      </c>
      <c r="B55" s="18" t="n">
        <v>1</v>
      </c>
      <c r="C55" s="18" t="n">
        <v>1</v>
      </c>
      <c r="D55" s="18" t="n">
        <v>1</v>
      </c>
    </row>
    <row r="56">
      <c r="A56" s="8" t="inlineStr">
        <is>
          <t>MAX_COHORT_AGE_WEEKS</t>
        </is>
      </c>
      <c r="B56" s="18" t="n">
        <v>26</v>
      </c>
      <c r="C56" s="18" t="n">
        <v>52</v>
      </c>
      <c r="D56" s="18" t="n">
        <v>52</v>
      </c>
    </row>
    <row r="57">
      <c r="A57" s="8" t="inlineStr">
        <is>
          <t>COHORT_CHURN_BASE_WEEKLY</t>
        </is>
      </c>
      <c r="B57" s="18" t="n">
        <v>0.01</v>
      </c>
      <c r="C57" s="18" t="n">
        <v>0.015</v>
      </c>
      <c r="D57" s="18" t="n">
        <v>0.02</v>
      </c>
    </row>
    <row r="58">
      <c r="A58" s="8" t="inlineStr">
        <is>
          <t>EARLY_CHURN_PREMIUM</t>
        </is>
      </c>
      <c r="B58" s="18" t="n">
        <v>1</v>
      </c>
      <c r="C58" s="18" t="n">
        <v>1.5</v>
      </c>
      <c r="D58" s="18" t="n">
        <v>2.2</v>
      </c>
    </row>
    <row r="59">
      <c r="A59" s="8" t="inlineStr">
        <is>
          <t>CHURN_DECAY_WEEKS</t>
        </is>
      </c>
      <c r="B59" s="18" t="n">
        <v>6</v>
      </c>
      <c r="C59" s="18" t="n">
        <v>8</v>
      </c>
      <c r="D59" s="18" t="n">
        <v>10</v>
      </c>
    </row>
    <row r="60">
      <c r="A60" s="8" t="inlineStr">
        <is>
          <t>MARKETING_MODE</t>
        </is>
      </c>
      <c r="B60" s="18" t="n">
        <v>1</v>
      </c>
      <c r="C60" s="18" t="n">
        <v>1</v>
      </c>
      <c r="D60" s="18" t="n">
        <v>1</v>
      </c>
    </row>
    <row r="61">
      <c r="A61" s="8" t="inlineStr">
        <is>
          <t>WEEKLY_MKTG_BUDGET_USD</t>
        </is>
      </c>
      <c r="B61" s="18" t="n">
        <v>20000</v>
      </c>
      <c r="C61" s="18" t="n">
        <v>12000</v>
      </c>
      <c r="D61" s="18" t="n">
        <v>6000</v>
      </c>
    </row>
    <row r="62">
      <c r="A62" s="8" t="inlineStr">
        <is>
          <t>MKTG_PCT_REVENUE_CAP</t>
        </is>
      </c>
      <c r="B62" s="18" t="n">
        <v>0.18</v>
      </c>
      <c r="C62" s="18" t="n">
        <v>0.15</v>
      </c>
      <c r="D62" s="18" t="n">
        <v>0.12</v>
      </c>
    </row>
    <row r="63">
      <c r="A63" s="8" t="inlineStr">
        <is>
          <t>TAM_USERS</t>
        </is>
      </c>
      <c r="B63" s="18" t="n">
        <v>5000000</v>
      </c>
      <c r="C63" s="18" t="n">
        <v>2000000</v>
      </c>
      <c r="D63" s="18" t="n">
        <v>600000</v>
      </c>
    </row>
    <row r="64">
      <c r="A64" s="8" t="inlineStr">
        <is>
          <t>CAC_SATURATION_SENS</t>
        </is>
      </c>
      <c r="B64" s="18" t="n">
        <v>0.6</v>
      </c>
      <c r="C64" s="18" t="n">
        <v>1</v>
      </c>
      <c r="D64" s="18" t="n">
        <v>1.5</v>
      </c>
    </row>
    <row r="65">
      <c r="A65" s="8" t="inlineStr">
        <is>
          <t>CAC_SATURATION_ELASTICITY</t>
        </is>
      </c>
      <c r="B65" s="18" t="n">
        <v>1.2</v>
      </c>
      <c r="C65" s="18" t="n">
        <v>1.3</v>
      </c>
      <c r="D65" s="18" t="n">
        <v>1.6</v>
      </c>
    </row>
    <row r="66">
      <c r="A66" s="8" t="inlineStr">
        <is>
          <t>MAX_NEW_USERS_PER_WEEK</t>
        </is>
      </c>
      <c r="B66" s="18" t="n">
        <v>1500</v>
      </c>
      <c r="C66" s="18" t="n">
        <v>800</v>
      </c>
      <c r="D66" s="18" t="n">
        <v>300</v>
      </c>
    </row>
    <row r="67">
      <c r="A67" s="8" t="inlineStr">
        <is>
          <t>CAPACITY_UTIL_TARGET</t>
        </is>
      </c>
      <c r="B67" s="18" t="n">
        <v>0.82</v>
      </c>
      <c r="C67" s="18" t="n">
        <v>0.85</v>
      </c>
      <c r="D67" s="18" t="n">
        <v>0.9</v>
      </c>
    </row>
    <row r="68">
      <c r="A68" s="8" t="inlineStr">
        <is>
          <t>RAMP_WEEKS</t>
        </is>
      </c>
      <c r="B68" s="18" t="n">
        <v>4</v>
      </c>
      <c r="C68" s="18" t="n">
        <v>6</v>
      </c>
      <c r="D68" s="18" t="n">
        <v>10</v>
      </c>
    </row>
    <row r="69">
      <c r="A69" s="8" t="inlineStr">
        <is>
          <t>RAMP_EFF_START</t>
        </is>
      </c>
      <c r="B69" s="18" t="n">
        <v>0.7</v>
      </c>
      <c r="C69" s="18" t="n">
        <v>0.6</v>
      </c>
      <c r="D69" s="18" t="n">
        <v>0.5</v>
      </c>
    </row>
    <row r="70">
      <c r="A70" s="8" t="inlineStr">
        <is>
          <t>RAMP_VAR_COST_MULT_MAX</t>
        </is>
      </c>
      <c r="B70" s="18" t="n">
        <v>1.2</v>
      </c>
      <c r="C70" s="18" t="n">
        <v>1.35</v>
      </c>
      <c r="D70" s="18" t="n">
        <v>1.6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"/>
  <sheetViews>
    <sheetView showGridLines="0" zoomScale="110"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40" customWidth="1" min="5" max="5"/>
  </cols>
  <sheetData>
    <row r="1" ht="20" customHeight="1">
      <c r="A1" s="3" t="inlineStr">
        <is>
          <t>Per User-Week Cycle Unit Economics (time-based revenue; per-cycle marginal costs)</t>
        </is>
      </c>
      <c r="B1" s="36" t="n"/>
      <c r="C1" s="36" t="n"/>
      <c r="D1" s="36" t="n"/>
      <c r="E1" s="37" t="n"/>
    </row>
    <row r="3">
      <c r="A3" s="5" t="inlineStr">
        <is>
          <t>Active Users (for scale effects)</t>
        </is>
      </c>
      <c r="B3" s="17">
        <f>Scale!$B$3</f>
        <v/>
      </c>
      <c r="D3" s="22" t="inlineStr">
        <is>
          <t>Key KPIs</t>
        </is>
      </c>
      <c r="E3" s="4" t="inlineStr"/>
    </row>
    <row r="4">
      <c r="D4" s="23" t="inlineStr">
        <is>
          <t>CM per cycle</t>
        </is>
      </c>
      <c r="E4" s="38">
        <f>B33</f>
        <v/>
      </c>
    </row>
    <row r="5">
      <c r="A5" s="25" t="inlineStr">
        <is>
          <t>Scaled Cost Drivers (optional)</t>
        </is>
      </c>
      <c r="D5" s="23" t="inlineStr">
        <is>
          <t>Economic CM per cycle</t>
        </is>
      </c>
      <c r="E5" s="38">
        <f>B35</f>
        <v/>
      </c>
    </row>
    <row r="6">
      <c r="A6" s="8" t="inlineStr">
        <is>
          <t>Clean_Cost_Eff (per garment)</t>
        </is>
      </c>
      <c r="B6" s="10">
        <f>Inputs!$C$23*IF(Inputs!$C$43=1,POWER(MAX(1,Scale!$B$3)/Inputs!$C$44,Inputs!$C$45),1)</f>
        <v/>
      </c>
      <c r="D6" s="23" t="inlineStr">
        <is>
          <t>Var cost per cycle</t>
        </is>
      </c>
      <c r="E6" s="38">
        <f>B32</f>
        <v/>
      </c>
    </row>
    <row r="7">
      <c r="A7" s="8" t="inlineStr">
        <is>
          <t>PickPack_Labor_Eff (per box)</t>
        </is>
      </c>
      <c r="B7" s="10">
        <f>Inputs!$C$28*IF(Inputs!$C$43=1,POWER(MAX(1,Scale!$B$3)/Inputs!$C$44,Inputs!$C$46),1)</f>
        <v/>
      </c>
      <c r="D7" s="23" t="inlineStr">
        <is>
          <t>Net revenue per cycle</t>
        </is>
      </c>
      <c r="E7" s="38">
        <f>B18</f>
        <v/>
      </c>
    </row>
    <row r="8">
      <c r="A8" s="8" t="inlineStr">
        <is>
          <t>Inbound_Labor_Eff (per box)</t>
        </is>
      </c>
      <c r="B8" s="10">
        <f>Inputs!$C$29*IF(Inputs!$C$43=1,POWER(MAX(1,Scale!$B$3)/Inputs!$C$44,Inputs!$C$46),1)</f>
        <v/>
      </c>
      <c r="D8" s="23" t="inlineStr">
        <is>
          <t>Var cost as % revenue</t>
        </is>
      </c>
      <c r="E8" s="26">
        <f>IF(B18=0,0,B32/B18)</f>
        <v/>
      </c>
    </row>
    <row r="9">
      <c r="A9" s="8" t="inlineStr">
        <is>
          <t>Support_Eff (per user-week)</t>
        </is>
      </c>
      <c r="B9" s="10">
        <f>Inputs!$C$30*IF(Inputs!$C$43=1,POWER(MAX(1,Scale!$B$3)/Inputs!$C$44,Inputs!$C$47),1)</f>
        <v/>
      </c>
    </row>
    <row r="10">
      <c r="A10" s="8" t="inlineStr">
        <is>
          <t>Outbound_Ship_Eff (per box)</t>
        </is>
      </c>
      <c r="B10" s="10">
        <f>Inputs!$C$25*(1-IF(Inputs!$C$43=1,Inputs!$C$48*(1-EXP(-MAX(1,Scale!$B$3)/Inputs!$C$49)),0))</f>
        <v/>
      </c>
    </row>
    <row r="11">
      <c r="A11" s="8" t="inlineStr">
        <is>
          <t>Inbound_Ship_Eff (per box)</t>
        </is>
      </c>
      <c r="B11" s="10">
        <f>Inputs!$C$26*(1-IF(Inputs!$C$43=1,Inputs!$C$48*(1-EXP(-MAX(1,Scale!$B$3)/Inputs!$C$49)),0))</f>
        <v/>
      </c>
    </row>
    <row r="12">
      <c r="A12" s="8" t="inlineStr">
        <is>
          <t>MisShip_Prob_Eff</t>
        </is>
      </c>
      <c r="B12" s="12">
        <f>MAX(Inputs!$C$50, Inputs!$C$33*IF(Inputs!$C$43=1,EXP(-MAX(1,Scale!$B$3)/Inputs!$C$51),1))</f>
        <v/>
      </c>
    </row>
    <row r="15">
      <c r="A15" s="7" t="inlineStr">
        <is>
          <t>Metric</t>
        </is>
      </c>
      <c r="B15" s="7" t="inlineStr">
        <is>
          <t>Per Cycle (USD)</t>
        </is>
      </c>
      <c r="C15" s="7" t="inlineStr">
        <is>
          <t>Driver</t>
        </is>
      </c>
      <c r="D15" s="7" t="inlineStr">
        <is>
          <t>Notes</t>
        </is>
      </c>
      <c r="E15" s="7" t="inlineStr"/>
    </row>
    <row r="16">
      <c r="A16" s="8" t="inlineStr">
        <is>
          <t>Collected revenue (pre-refund)</t>
        </is>
      </c>
      <c r="B16" s="39">
        <f>Inputs!$C$7*(1-Inputs!$C$8)</f>
        <v/>
      </c>
      <c r="C16" s="8" t="inlineStr">
        <is>
          <t>Price, discount</t>
        </is>
      </c>
      <c r="D16" s="8" t="inlineStr">
        <is>
          <t>Subscription yield per active user-week</t>
        </is>
      </c>
    </row>
    <row r="17">
      <c r="A17" s="8" t="inlineStr">
        <is>
          <t>Refunds / credits</t>
        </is>
      </c>
      <c r="B17" s="39">
        <f>-Inputs!$C$7*(1-Inputs!$C$8)*(Inputs!$C$36 + B12*Inputs!$C$37 + Inputs!$C$10*Inputs!$C$38)</f>
        <v/>
      </c>
      <c r="C17" s="8" t="inlineStr">
        <is>
          <t>Refund model</t>
        </is>
      </c>
      <c r="D17" s="8" t="inlineStr">
        <is>
          <t>Expected credits from miship &amp; late returns</t>
        </is>
      </c>
    </row>
    <row r="18">
      <c r="A18" s="8" t="inlineStr">
        <is>
          <t>Revenue net of refunds</t>
        </is>
      </c>
      <c r="B18" s="39">
        <f>SUM(B16:B17)</f>
        <v/>
      </c>
      <c r="C18" s="8" t="inlineStr"/>
      <c r="D18" s="8" t="inlineStr"/>
    </row>
    <row r="19">
      <c r="A19" s="8" t="inlineStr">
        <is>
          <t>Cleaning + QA</t>
        </is>
      </c>
      <c r="B19" s="39">
        <f>Inputs!$C$16*(B6+Inputs!$C$24)</f>
        <v/>
      </c>
      <c r="C19" s="8" t="inlineStr">
        <is>
          <t>Service</t>
        </is>
      </c>
      <c r="D19" s="8" t="inlineStr">
        <is>
          <t>Per-garment cycle service cost</t>
        </is>
      </c>
    </row>
    <row r="20">
      <c r="A20" s="8" t="inlineStr">
        <is>
          <t>Outbound shipping</t>
        </is>
      </c>
      <c r="B20" s="39">
        <f>B10</f>
        <v/>
      </c>
      <c r="C20" s="8" t="inlineStr">
        <is>
          <t>Carrier</t>
        </is>
      </c>
      <c r="D20" s="8" t="inlineStr">
        <is>
          <t>Per-box outbound transport</t>
        </is>
      </c>
    </row>
    <row r="21">
      <c r="A21" s="8" t="inlineStr">
        <is>
          <t>Inbound shipping</t>
        </is>
      </c>
      <c r="B21" s="39">
        <f>B11</f>
        <v/>
      </c>
      <c r="C21" s="8" t="inlineStr">
        <is>
          <t>Carrier</t>
        </is>
      </c>
      <c r="D21" s="8" t="inlineStr">
        <is>
          <t>Per-box returns transport</t>
        </is>
      </c>
    </row>
    <row r="22">
      <c r="A22" s="8" t="inlineStr">
        <is>
          <t>Packaging depreciation</t>
        </is>
      </c>
      <c r="B22" s="39">
        <f>Inputs!$C$27</f>
        <v/>
      </c>
      <c r="C22" s="8" t="inlineStr">
        <is>
          <t>Packaging</t>
        </is>
      </c>
      <c r="D22" s="8" t="inlineStr">
        <is>
          <t>Reusable box amortized per cycle</t>
        </is>
      </c>
    </row>
    <row r="23">
      <c r="A23" s="8" t="inlineStr">
        <is>
          <t>Fulfillment labor (pick/pack)</t>
        </is>
      </c>
      <c r="B23" s="39">
        <f>B7</f>
        <v/>
      </c>
      <c r="C23" s="8" t="inlineStr">
        <is>
          <t>Labor</t>
        </is>
      </c>
      <c r="D23" s="8" t="inlineStr">
        <is>
          <t>Variable labor per box-cycle</t>
        </is>
      </c>
    </row>
    <row r="24">
      <c r="A24" s="8" t="inlineStr">
        <is>
          <t>Inbound processing labor</t>
        </is>
      </c>
      <c r="B24" s="39">
        <f>B8</f>
        <v/>
      </c>
      <c r="C24" s="8" t="inlineStr">
        <is>
          <t>Labor</t>
        </is>
      </c>
      <c r="D24" s="8" t="inlineStr">
        <is>
          <t>Receiving, sort, rebag staging</t>
        </is>
      </c>
    </row>
    <row r="25">
      <c r="A25" s="8" t="inlineStr">
        <is>
          <t>Customer support</t>
        </is>
      </c>
      <c r="B25" s="39">
        <f>B9</f>
        <v/>
      </c>
      <c r="C25" s="8" t="inlineStr">
        <is>
          <t>Support</t>
        </is>
      </c>
      <c r="D25" s="8" t="inlineStr">
        <is>
          <t>Variable contacts per user-week</t>
        </is>
      </c>
    </row>
    <row r="26">
      <c r="A26" s="8" t="inlineStr">
        <is>
          <t>Mis-ship expected incremental</t>
        </is>
      </c>
      <c r="B26" s="39">
        <f>B12*Inputs!$C$34</f>
        <v/>
      </c>
      <c r="C26" s="8" t="inlineStr">
        <is>
          <t>Mis-ship</t>
        </is>
      </c>
      <c r="D26" s="8" t="inlineStr">
        <is>
          <t>Reship, credits, extra handling</t>
        </is>
      </c>
    </row>
    <row r="27">
      <c r="A27" s="8" t="inlineStr">
        <is>
          <t>Late return exception handling</t>
        </is>
      </c>
      <c r="B27" s="39">
        <f>Inputs!$C$10*Inputs!$C$35</f>
        <v/>
      </c>
      <c r="C27" s="8" t="inlineStr">
        <is>
          <t>Late return</t>
        </is>
      </c>
      <c r="D27" s="8" t="inlineStr">
        <is>
          <t>Manual exceptions, comms</t>
        </is>
      </c>
    </row>
    <row r="28">
      <c r="A28" s="8" t="inlineStr">
        <is>
          <t>Wear-out retirement replacement</t>
        </is>
      </c>
      <c r="B28" s="39">
        <f>Inputs!$C$16*(1/Inputs!$C$18)*Inputs!$C$17</f>
        <v/>
      </c>
      <c r="C28" s="8" t="inlineStr">
        <is>
          <t>Wear</t>
        </is>
      </c>
      <c r="D28" s="8" t="inlineStr">
        <is>
          <t>Wear-based retirement; excludes loss/damage</t>
        </is>
      </c>
    </row>
    <row r="29">
      <c r="A29" s="8" t="inlineStr">
        <is>
          <t>Loss replacement</t>
        </is>
      </c>
      <c r="B29" s="39">
        <f>Inputs!$C$16*Inputs!$C$19*Inputs!$C$17</f>
        <v/>
      </c>
      <c r="C29" s="8" t="inlineStr">
        <is>
          <t>Loss</t>
        </is>
      </c>
      <c r="D29" s="8" t="inlineStr">
        <is>
          <t>Permanent loss per garment-cycle</t>
        </is>
      </c>
    </row>
    <row r="30">
      <c r="A30" s="8" t="inlineStr">
        <is>
          <t>Damage replacement + repair</t>
        </is>
      </c>
      <c r="B30" s="39">
        <f>Inputs!$C$16*Inputs!$C$20*(Inputs!$C$22 + Inputs!$C$21*Inputs!$C$17)</f>
        <v/>
      </c>
      <c r="C30" s="8" t="inlineStr">
        <is>
          <t>Damage</t>
        </is>
      </c>
      <c r="D30" s="8" t="inlineStr">
        <is>
          <t>Repair cost plus retire share</t>
        </is>
      </c>
    </row>
    <row r="31">
      <c r="A31" s="8" t="inlineStr">
        <is>
          <t>Payment processing fees</t>
        </is>
      </c>
      <c r="B31" s="39">
        <f>Inputs!$C$31*B18 + Inputs!$C$32</f>
        <v/>
      </c>
      <c r="C31" s="8" t="inlineStr">
        <is>
          <t>Payments</t>
        </is>
      </c>
      <c r="D31" s="8" t="inlineStr">
        <is>
          <t>Applied on net collected revenue</t>
        </is>
      </c>
    </row>
    <row r="32">
      <c r="A32" s="8" t="inlineStr">
        <is>
          <t>Total variable cost</t>
        </is>
      </c>
      <c r="B32" s="39">
        <f>SUM(B19:B31)</f>
        <v/>
      </c>
      <c r="C32" s="8" t="inlineStr"/>
      <c r="D32" s="8" t="inlineStr"/>
    </row>
    <row r="33">
      <c r="A33" s="8" t="inlineStr">
        <is>
          <t>Contribution margin (CM)</t>
        </is>
      </c>
      <c r="B33" s="39">
        <f>B18 - B32</f>
        <v/>
      </c>
      <c r="C33" s="8" t="inlineStr"/>
      <c r="D33" s="8" t="inlineStr"/>
    </row>
    <row r="34">
      <c r="A34" s="8" t="inlineStr">
        <is>
          <t>Capital charge per cycle (inventory)</t>
        </is>
      </c>
      <c r="B34" s="39">
        <f>Scale!$B$15</f>
        <v/>
      </c>
      <c r="C34" s="8" t="inlineStr">
        <is>
          <t>Capital</t>
        </is>
      </c>
      <c r="D34" s="8" t="inlineStr">
        <is>
          <t>Weekly cost of capital allocated per user-week</t>
        </is>
      </c>
    </row>
    <row r="35">
      <c r="A35" s="8" t="inlineStr">
        <is>
          <t>Economic CM (after capital)</t>
        </is>
      </c>
      <c r="B35" s="39">
        <f>B33 - B34</f>
        <v/>
      </c>
      <c r="C35" s="8" t="inlineStr"/>
      <c r="D35" s="8" t="inlineStr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0"/>
  <sheetViews>
    <sheetView showGridLines="0" zoomScale="110"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14" customWidth="1" min="6" max="6"/>
    <col width="18" customWidth="1" min="7" max="7"/>
    <col width="18" customWidth="1" min="8" max="8"/>
    <col width="18" customWidth="1" min="9" max="9"/>
    <col width="16" customWidth="1" min="10" max="10"/>
    <col width="16" customWidth="1" min="11" max="11"/>
  </cols>
  <sheetData>
    <row r="1" ht="20" customHeight="1">
      <c r="A1" s="3" t="inlineStr">
        <is>
          <t>Scale &amp; Break-even (100 → 100,000 users) with inventory physics and capacity steps</t>
        </is>
      </c>
      <c r="B1" s="36" t="n"/>
      <c r="C1" s="36" t="n"/>
      <c r="D1" s="37" t="n"/>
    </row>
    <row r="3">
      <c r="A3" s="5" t="inlineStr">
        <is>
          <t>Active_Users</t>
        </is>
      </c>
      <c r="B3" s="16" t="n">
        <v>1000</v>
      </c>
      <c r="F3" s="7" t="inlineStr">
        <is>
          <t>Users</t>
        </is>
      </c>
      <c r="G3" s="7" t="inlineStr">
        <is>
          <t>Weekly CM Profit</t>
        </is>
      </c>
      <c r="H3" s="7" t="inlineStr">
        <is>
          <t>Weekly Economic Profit</t>
        </is>
      </c>
      <c r="I3" s="7" t="inlineStr">
        <is>
          <t>CM / Cycle</t>
        </is>
      </c>
      <c r="J3" s="7" t="inlineStr">
        <is>
          <t>Fixed OPEX</t>
        </is>
      </c>
      <c r="K3" s="7" t="inlineStr">
        <is>
          <t>CapCharge / Cycle</t>
        </is>
      </c>
    </row>
    <row r="4">
      <c r="F4" s="17" t="n">
        <v>100</v>
      </c>
      <c r="G4" s="40">
        <f>F4*I4 - J4</f>
        <v/>
      </c>
      <c r="H4" s="40">
        <f>F4*(I4-K4) - J4</f>
        <v/>
      </c>
      <c r="I4" s="39">
        <f>((Inputs!$C$7*(1-Inputs!$C$8) - Inputs!$C$7*(1-Inputs!$C$8)*(Inputs!$C$36 + MAX(Inputs!$C$50, Inputs!$C$33*IF(Inputs!$C$43=1,EXP(-MAX(1,F4)/Inputs!$C$51),1))*Inputs!$C$37 + Inputs!$C$10*Inputs!$C$38))) - (Inputs!$C$16*((Inputs!$C$23*IF(Inputs!$C$43=1,POWER(MAX(1,F4)/Inputs!$C$44,Inputs!$C$45),1))+Inputs!$C$24) + (Inputs!$C$25*(1-IF(Inputs!$C$43=1,Inputs!$C$48*(1-EXP(-MAX(1,F4)/Inputs!$C$49)),0))) + (Inputs!$C$26*(1-IF(Inputs!$C$43=1,Inputs!$C$48*(1-EXP(-MAX(1,F4)/Inputs!$C$49)),0))) + Inputs!$C$27 + (Inputs!$C$28*IF(Inputs!$C$43=1,POWER(MAX(1,F4)/Inputs!$C$44,Inputs!$C$46),1)) + (Inputs!$C$29*IF(Inputs!$C$43=1,POWER(MAX(1,F4)/Inputs!$C$44,Inputs!$C$46),1)) + (Inputs!$C$30*IF(Inputs!$C$43=1,POWER(MAX(1,F4)/Inputs!$C$44,Inputs!$C$47),1)) + (MAX(Inputs!$C$50, Inputs!$C$33*IF(Inputs!$C$43=1,EXP(-MAX(1,F4)/Inputs!$C$51),1))*Inputs!$C$34) + (Inputs!$C$10*Inputs!$C$35) + Inputs!$C$16*(1/Inputs!$C$18)*Inputs!$C$17 + Inputs!$C$16*Inputs!$C$19*Inputs!$C$17 + Inputs!$C$16*Inputs!$C$20*(Inputs!$C$22 + Inputs!$C$21*Inputs!$C$17) + Inputs!$C$31*(Inputs!$C$7*(1-Inputs!$C$8) - Inputs!$C$7*(1-Inputs!$C$8)*(Inputs!$C$36 + MAX(Inputs!$C$50, Inputs!$C$33*IF(Inputs!$C$43=1,EXP(-MAX(1,F4)/Inputs!$C$51),1))*Inputs!$C$37 + Inputs!$C$10*Inputs!$C$38)) + Inputs!$C$32)</f>
        <v/>
      </c>
      <c r="J4" s="41">
        <f>Inputs!$C$40 + CEILING(F4/Inputs!$C$42,1)*Inputs!$C$41</f>
        <v/>
      </c>
      <c r="K4" s="39">
        <f>Scale!$B$15</f>
        <v/>
      </c>
    </row>
    <row r="5">
      <c r="A5" s="25" t="inlineStr">
        <is>
          <t>Cycle-time physics (drives inventory multiple)</t>
        </is>
      </c>
      <c r="F5" s="17" t="n">
        <v>200</v>
      </c>
      <c r="G5" s="40">
        <f>F5*I5 - J5</f>
        <v/>
      </c>
      <c r="H5" s="40">
        <f>F5*(I5-K5) - J5</f>
        <v/>
      </c>
      <c r="I5" s="39">
        <f>((Inputs!$C$7*(1-Inputs!$C$8) - Inputs!$C$7*(1-Inputs!$C$8)*(Inputs!$C$36 + MAX(Inputs!$C$50, Inputs!$C$33*IF(Inputs!$C$43=1,EXP(-MAX(1,F5)/Inputs!$C$51),1))*Inputs!$C$37 + Inputs!$C$10*Inputs!$C$38))) - (Inputs!$C$16*((Inputs!$C$23*IF(Inputs!$C$43=1,POWER(MAX(1,F5)/Inputs!$C$44,Inputs!$C$45),1))+Inputs!$C$24) + (Inputs!$C$25*(1-IF(Inputs!$C$43=1,Inputs!$C$48*(1-EXP(-MAX(1,F5)/Inputs!$C$49)),0))) + (Inputs!$C$26*(1-IF(Inputs!$C$43=1,Inputs!$C$48*(1-EXP(-MAX(1,F5)/Inputs!$C$49)),0))) + Inputs!$C$27 + (Inputs!$C$28*IF(Inputs!$C$43=1,POWER(MAX(1,F5)/Inputs!$C$44,Inputs!$C$46),1)) + (Inputs!$C$29*IF(Inputs!$C$43=1,POWER(MAX(1,F5)/Inputs!$C$44,Inputs!$C$46),1)) + (Inputs!$C$30*IF(Inputs!$C$43=1,POWER(MAX(1,F5)/Inputs!$C$44,Inputs!$C$47),1)) + (MAX(Inputs!$C$50, Inputs!$C$33*IF(Inputs!$C$43=1,EXP(-MAX(1,F5)/Inputs!$C$51),1))*Inputs!$C$34) + (Inputs!$C$10*Inputs!$C$35) + Inputs!$C$16*(1/Inputs!$C$18)*Inputs!$C$17 + Inputs!$C$16*Inputs!$C$19*Inputs!$C$17 + Inputs!$C$16*Inputs!$C$20*(Inputs!$C$22 + Inputs!$C$21*Inputs!$C$17) + Inputs!$C$31*(Inputs!$C$7*(1-Inputs!$C$8) - Inputs!$C$7*(1-Inputs!$C$8)*(Inputs!$C$36 + MAX(Inputs!$C$50, Inputs!$C$33*IF(Inputs!$C$43=1,EXP(-MAX(1,F5)/Inputs!$C$51),1))*Inputs!$C$37 + Inputs!$C$10*Inputs!$C$38)) + Inputs!$C$32)</f>
        <v/>
      </c>
      <c r="J5" s="41">
        <f>Inputs!$C$40 + CEILING(F5/Inputs!$C$42,1)*Inputs!$C$41</f>
        <v/>
      </c>
      <c r="K5" s="39">
        <f>Scale!$B$15</f>
        <v/>
      </c>
    </row>
    <row r="6">
      <c r="A6" s="8" t="inlineStr">
        <is>
          <t>Mean return latency (weeks)</t>
        </is>
      </c>
      <c r="B6" s="14">
        <f>Inputs!$C$9 + Inputs!$C$10*Inputs!$C$11</f>
        <v/>
      </c>
      <c r="F6" s="17" t="n">
        <v>400</v>
      </c>
      <c r="G6" s="40">
        <f>F6*I6 - J6</f>
        <v/>
      </c>
      <c r="H6" s="40">
        <f>F6*(I6-K6) - J6</f>
        <v/>
      </c>
      <c r="I6" s="39">
        <f>((Inputs!$C$7*(1-Inputs!$C$8) - Inputs!$C$7*(1-Inputs!$C$8)*(Inputs!$C$36 + MAX(Inputs!$C$50, Inputs!$C$33*IF(Inputs!$C$43=1,EXP(-MAX(1,F6)/Inputs!$C$51),1))*Inputs!$C$37 + Inputs!$C$10*Inputs!$C$38))) - (Inputs!$C$16*((Inputs!$C$23*IF(Inputs!$C$43=1,POWER(MAX(1,F6)/Inputs!$C$44,Inputs!$C$45),1))+Inputs!$C$24) + (Inputs!$C$25*(1-IF(Inputs!$C$43=1,Inputs!$C$48*(1-EXP(-MAX(1,F6)/Inputs!$C$49)),0))) + (Inputs!$C$26*(1-IF(Inputs!$C$43=1,Inputs!$C$48*(1-EXP(-MAX(1,F6)/Inputs!$C$49)),0))) + Inputs!$C$27 + (Inputs!$C$28*IF(Inputs!$C$43=1,POWER(MAX(1,F6)/Inputs!$C$44,Inputs!$C$46),1)) + (Inputs!$C$29*IF(Inputs!$C$43=1,POWER(MAX(1,F6)/Inputs!$C$44,Inputs!$C$46),1)) + (Inputs!$C$30*IF(Inputs!$C$43=1,POWER(MAX(1,F6)/Inputs!$C$44,Inputs!$C$47),1)) + (MAX(Inputs!$C$50, Inputs!$C$33*IF(Inputs!$C$43=1,EXP(-MAX(1,F6)/Inputs!$C$51),1))*Inputs!$C$34) + (Inputs!$C$10*Inputs!$C$35) + Inputs!$C$16*(1/Inputs!$C$18)*Inputs!$C$17 + Inputs!$C$16*Inputs!$C$19*Inputs!$C$17 + Inputs!$C$16*Inputs!$C$20*(Inputs!$C$22 + Inputs!$C$21*Inputs!$C$17) + Inputs!$C$31*(Inputs!$C$7*(1-Inputs!$C$8) - Inputs!$C$7*(1-Inputs!$C$8)*(Inputs!$C$36 + MAX(Inputs!$C$50, Inputs!$C$33*IF(Inputs!$C$43=1,EXP(-MAX(1,F6)/Inputs!$C$51),1))*Inputs!$C$37 + Inputs!$C$10*Inputs!$C$38)) + Inputs!$C$32)</f>
        <v/>
      </c>
      <c r="J6" s="41">
        <f>Inputs!$C$40 + CEILING(F6/Inputs!$C$42,1)*Inputs!$C$41</f>
        <v/>
      </c>
      <c r="K6" s="39">
        <f>Scale!$B$15</f>
        <v/>
      </c>
    </row>
    <row r="7">
      <c r="A7" s="8" t="inlineStr">
        <is>
          <t>Mean cleaning TAT (weeks)</t>
        </is>
      </c>
      <c r="B7" s="14">
        <f>Inputs!$C$12</f>
        <v/>
      </c>
      <c r="F7" s="17" t="n">
        <v>700</v>
      </c>
      <c r="G7" s="40">
        <f>F7*I7 - J7</f>
        <v/>
      </c>
      <c r="H7" s="40">
        <f>F7*(I7-K7) - J7</f>
        <v/>
      </c>
      <c r="I7" s="39">
        <f>((Inputs!$C$7*(1-Inputs!$C$8) - Inputs!$C$7*(1-Inputs!$C$8)*(Inputs!$C$36 + MAX(Inputs!$C$50, Inputs!$C$33*IF(Inputs!$C$43=1,EXP(-MAX(1,F7)/Inputs!$C$51),1))*Inputs!$C$37 + Inputs!$C$10*Inputs!$C$38))) - (Inputs!$C$16*((Inputs!$C$23*IF(Inputs!$C$43=1,POWER(MAX(1,F7)/Inputs!$C$44,Inputs!$C$45),1))+Inputs!$C$24) + (Inputs!$C$25*(1-IF(Inputs!$C$43=1,Inputs!$C$48*(1-EXP(-MAX(1,F7)/Inputs!$C$49)),0))) + (Inputs!$C$26*(1-IF(Inputs!$C$43=1,Inputs!$C$48*(1-EXP(-MAX(1,F7)/Inputs!$C$49)),0))) + Inputs!$C$27 + (Inputs!$C$28*IF(Inputs!$C$43=1,POWER(MAX(1,F7)/Inputs!$C$44,Inputs!$C$46),1)) + (Inputs!$C$29*IF(Inputs!$C$43=1,POWER(MAX(1,F7)/Inputs!$C$44,Inputs!$C$46),1)) + (Inputs!$C$30*IF(Inputs!$C$43=1,POWER(MAX(1,F7)/Inputs!$C$44,Inputs!$C$47),1)) + (MAX(Inputs!$C$50, Inputs!$C$33*IF(Inputs!$C$43=1,EXP(-MAX(1,F7)/Inputs!$C$51),1))*Inputs!$C$34) + (Inputs!$C$10*Inputs!$C$35) + Inputs!$C$16*(1/Inputs!$C$18)*Inputs!$C$17 + Inputs!$C$16*Inputs!$C$19*Inputs!$C$17 + Inputs!$C$16*Inputs!$C$20*(Inputs!$C$22 + Inputs!$C$21*Inputs!$C$17) + Inputs!$C$31*(Inputs!$C$7*(1-Inputs!$C$8) - Inputs!$C$7*(1-Inputs!$C$8)*(Inputs!$C$36 + MAX(Inputs!$C$50, Inputs!$C$33*IF(Inputs!$C$43=1,EXP(-MAX(1,F7)/Inputs!$C$51),1))*Inputs!$C$37 + Inputs!$C$10*Inputs!$C$38)) + Inputs!$C$32)</f>
        <v/>
      </c>
      <c r="J7" s="41">
        <f>Inputs!$C$40 + CEILING(F7/Inputs!$C$42,1)*Inputs!$C$41</f>
        <v/>
      </c>
      <c r="K7" s="39">
        <f>Scale!$B$15</f>
        <v/>
      </c>
    </row>
    <row r="8">
      <c r="A8" s="8" t="inlineStr">
        <is>
          <t>Mean total cycle time (weeks)</t>
        </is>
      </c>
      <c r="B8" s="14">
        <f>B6+B7</f>
        <v/>
      </c>
      <c r="F8" s="17" t="n">
        <v>1000</v>
      </c>
      <c r="G8" s="40">
        <f>F8*I8 - J8</f>
        <v/>
      </c>
      <c r="H8" s="40">
        <f>F8*(I8-K8) - J8</f>
        <v/>
      </c>
      <c r="I8" s="39">
        <f>((Inputs!$C$7*(1-Inputs!$C$8) - Inputs!$C$7*(1-Inputs!$C$8)*(Inputs!$C$36 + MAX(Inputs!$C$50, Inputs!$C$33*IF(Inputs!$C$43=1,EXP(-MAX(1,F8)/Inputs!$C$51),1))*Inputs!$C$37 + Inputs!$C$10*Inputs!$C$38))) - (Inputs!$C$16*((Inputs!$C$23*IF(Inputs!$C$43=1,POWER(MAX(1,F8)/Inputs!$C$44,Inputs!$C$45),1))+Inputs!$C$24) + (Inputs!$C$25*(1-IF(Inputs!$C$43=1,Inputs!$C$48*(1-EXP(-MAX(1,F8)/Inputs!$C$49)),0))) + (Inputs!$C$26*(1-IF(Inputs!$C$43=1,Inputs!$C$48*(1-EXP(-MAX(1,F8)/Inputs!$C$49)),0))) + Inputs!$C$27 + (Inputs!$C$28*IF(Inputs!$C$43=1,POWER(MAX(1,F8)/Inputs!$C$44,Inputs!$C$46),1)) + (Inputs!$C$29*IF(Inputs!$C$43=1,POWER(MAX(1,F8)/Inputs!$C$44,Inputs!$C$46),1)) + (Inputs!$C$30*IF(Inputs!$C$43=1,POWER(MAX(1,F8)/Inputs!$C$44,Inputs!$C$47),1)) + (MAX(Inputs!$C$50, Inputs!$C$33*IF(Inputs!$C$43=1,EXP(-MAX(1,F8)/Inputs!$C$51),1))*Inputs!$C$34) + (Inputs!$C$10*Inputs!$C$35) + Inputs!$C$16*(1/Inputs!$C$18)*Inputs!$C$17 + Inputs!$C$16*Inputs!$C$19*Inputs!$C$17 + Inputs!$C$16*Inputs!$C$20*(Inputs!$C$22 + Inputs!$C$21*Inputs!$C$17) + Inputs!$C$31*(Inputs!$C$7*(1-Inputs!$C$8) - Inputs!$C$7*(1-Inputs!$C$8)*(Inputs!$C$36 + MAX(Inputs!$C$50, Inputs!$C$33*IF(Inputs!$C$43=1,EXP(-MAX(1,F8)/Inputs!$C$51),1))*Inputs!$C$37 + Inputs!$C$10*Inputs!$C$38)) + Inputs!$C$32)</f>
        <v/>
      </c>
      <c r="J8" s="41">
        <f>Inputs!$C$40 + CEILING(F8/Inputs!$C$42,1)*Inputs!$C$41</f>
        <v/>
      </c>
      <c r="K8" s="39">
        <f>Scale!$B$15</f>
        <v/>
      </c>
    </row>
    <row r="9">
      <c r="A9" s="8" t="inlineStr">
        <is>
          <t>Std dev total cycle time (weeks)</t>
        </is>
      </c>
      <c r="B9" s="14">
        <f>SQRT(Inputs!$C$13^2 + Inputs!$C$14^2)</f>
        <v/>
      </c>
      <c r="F9" s="17" t="n">
        <v>1500</v>
      </c>
      <c r="G9" s="40">
        <f>F9*I9 - J9</f>
        <v/>
      </c>
      <c r="H9" s="40">
        <f>F9*(I9-K9) - J9</f>
        <v/>
      </c>
      <c r="I9" s="39">
        <f>((Inputs!$C$7*(1-Inputs!$C$8) - Inputs!$C$7*(1-Inputs!$C$8)*(Inputs!$C$36 + MAX(Inputs!$C$50, Inputs!$C$33*IF(Inputs!$C$43=1,EXP(-MAX(1,F9)/Inputs!$C$51),1))*Inputs!$C$37 + Inputs!$C$10*Inputs!$C$38))) - (Inputs!$C$16*((Inputs!$C$23*IF(Inputs!$C$43=1,POWER(MAX(1,F9)/Inputs!$C$44,Inputs!$C$45),1))+Inputs!$C$24) + (Inputs!$C$25*(1-IF(Inputs!$C$43=1,Inputs!$C$48*(1-EXP(-MAX(1,F9)/Inputs!$C$49)),0))) + (Inputs!$C$26*(1-IF(Inputs!$C$43=1,Inputs!$C$48*(1-EXP(-MAX(1,F9)/Inputs!$C$49)),0))) + Inputs!$C$27 + (Inputs!$C$28*IF(Inputs!$C$43=1,POWER(MAX(1,F9)/Inputs!$C$44,Inputs!$C$46),1)) + (Inputs!$C$29*IF(Inputs!$C$43=1,POWER(MAX(1,F9)/Inputs!$C$44,Inputs!$C$46),1)) + (Inputs!$C$30*IF(Inputs!$C$43=1,POWER(MAX(1,F9)/Inputs!$C$44,Inputs!$C$47),1)) + (MAX(Inputs!$C$50, Inputs!$C$33*IF(Inputs!$C$43=1,EXP(-MAX(1,F9)/Inputs!$C$51),1))*Inputs!$C$34) + (Inputs!$C$10*Inputs!$C$35) + Inputs!$C$16*(1/Inputs!$C$18)*Inputs!$C$17 + Inputs!$C$16*Inputs!$C$19*Inputs!$C$17 + Inputs!$C$16*Inputs!$C$20*(Inputs!$C$22 + Inputs!$C$21*Inputs!$C$17) + Inputs!$C$31*(Inputs!$C$7*(1-Inputs!$C$8) - Inputs!$C$7*(1-Inputs!$C$8)*(Inputs!$C$36 + MAX(Inputs!$C$50, Inputs!$C$33*IF(Inputs!$C$43=1,EXP(-MAX(1,F9)/Inputs!$C$51),1))*Inputs!$C$37 + Inputs!$C$10*Inputs!$C$38)) + Inputs!$C$32)</f>
        <v/>
      </c>
      <c r="J9" s="41">
        <f>Inputs!$C$40 + CEILING(F9/Inputs!$C$42,1)*Inputs!$C$41</f>
        <v/>
      </c>
      <c r="K9" s="39">
        <f>Scale!$B$15</f>
        <v/>
      </c>
    </row>
    <row r="10">
      <c r="A10" s="8" t="inlineStr">
        <is>
          <t>Z (service level)</t>
        </is>
      </c>
      <c r="B10" s="14">
        <f>VLOOKUP(Inputs!$C$15,Lookups!$A$2:$B$20,2,TRUE)</f>
        <v/>
      </c>
      <c r="F10" s="17" t="n">
        <v>2200</v>
      </c>
      <c r="G10" s="40">
        <f>F10*I10 - J10</f>
        <v/>
      </c>
      <c r="H10" s="40">
        <f>F10*(I10-K10) - J10</f>
        <v/>
      </c>
      <c r="I10" s="39">
        <f>((Inputs!$C$7*(1-Inputs!$C$8) - Inputs!$C$7*(1-Inputs!$C$8)*(Inputs!$C$36 + MAX(Inputs!$C$50, Inputs!$C$33*IF(Inputs!$C$43=1,EXP(-MAX(1,F10)/Inputs!$C$51),1))*Inputs!$C$37 + Inputs!$C$10*Inputs!$C$38))) - (Inputs!$C$16*((Inputs!$C$23*IF(Inputs!$C$43=1,POWER(MAX(1,F10)/Inputs!$C$44,Inputs!$C$45),1))+Inputs!$C$24) + (Inputs!$C$25*(1-IF(Inputs!$C$43=1,Inputs!$C$48*(1-EXP(-MAX(1,F10)/Inputs!$C$49)),0))) + (Inputs!$C$26*(1-IF(Inputs!$C$43=1,Inputs!$C$48*(1-EXP(-MAX(1,F10)/Inputs!$C$49)),0))) + Inputs!$C$27 + (Inputs!$C$28*IF(Inputs!$C$43=1,POWER(MAX(1,F10)/Inputs!$C$44,Inputs!$C$46),1)) + (Inputs!$C$29*IF(Inputs!$C$43=1,POWER(MAX(1,F10)/Inputs!$C$44,Inputs!$C$46),1)) + (Inputs!$C$30*IF(Inputs!$C$43=1,POWER(MAX(1,F10)/Inputs!$C$44,Inputs!$C$47),1)) + (MAX(Inputs!$C$50, Inputs!$C$33*IF(Inputs!$C$43=1,EXP(-MAX(1,F10)/Inputs!$C$51),1))*Inputs!$C$34) + (Inputs!$C$10*Inputs!$C$35) + Inputs!$C$16*(1/Inputs!$C$18)*Inputs!$C$17 + Inputs!$C$16*Inputs!$C$19*Inputs!$C$17 + Inputs!$C$16*Inputs!$C$20*(Inputs!$C$22 + Inputs!$C$21*Inputs!$C$17) + Inputs!$C$31*(Inputs!$C$7*(1-Inputs!$C$8) - Inputs!$C$7*(1-Inputs!$C$8)*(Inputs!$C$36 + MAX(Inputs!$C$50, Inputs!$C$33*IF(Inputs!$C$43=1,EXP(-MAX(1,F10)/Inputs!$C$51),1))*Inputs!$C$37 + Inputs!$C$10*Inputs!$C$38)) + Inputs!$C$32)</f>
        <v/>
      </c>
      <c r="J10" s="41">
        <f>Inputs!$C$40 + CEILING(F10/Inputs!$C$42,1)*Inputs!$C$41</f>
        <v/>
      </c>
      <c r="K10" s="39">
        <f>Scale!$B$15</f>
        <v/>
      </c>
    </row>
    <row r="11">
      <c r="A11" s="8" t="inlineStr">
        <is>
          <t>Safety stock factor (variance)</t>
        </is>
      </c>
      <c r="B11" s="14">
        <f>1 + B10*(B9/IF(B8=0,1,B8)) + Inputs!$C$52</f>
        <v/>
      </c>
      <c r="F11" s="17" t="n">
        <v>3200</v>
      </c>
      <c r="G11" s="40">
        <f>F11*I11 - J11</f>
        <v/>
      </c>
      <c r="H11" s="40">
        <f>F11*(I11-K11) - J11</f>
        <v/>
      </c>
      <c r="I11" s="39">
        <f>((Inputs!$C$7*(1-Inputs!$C$8) - Inputs!$C$7*(1-Inputs!$C$8)*(Inputs!$C$36 + MAX(Inputs!$C$50, Inputs!$C$33*IF(Inputs!$C$43=1,EXP(-MAX(1,F11)/Inputs!$C$51),1))*Inputs!$C$37 + Inputs!$C$10*Inputs!$C$38))) - (Inputs!$C$16*((Inputs!$C$23*IF(Inputs!$C$43=1,POWER(MAX(1,F11)/Inputs!$C$44,Inputs!$C$45),1))+Inputs!$C$24) + (Inputs!$C$25*(1-IF(Inputs!$C$43=1,Inputs!$C$48*(1-EXP(-MAX(1,F11)/Inputs!$C$49)),0))) + (Inputs!$C$26*(1-IF(Inputs!$C$43=1,Inputs!$C$48*(1-EXP(-MAX(1,F11)/Inputs!$C$49)),0))) + Inputs!$C$27 + (Inputs!$C$28*IF(Inputs!$C$43=1,POWER(MAX(1,F11)/Inputs!$C$44,Inputs!$C$46),1)) + (Inputs!$C$29*IF(Inputs!$C$43=1,POWER(MAX(1,F11)/Inputs!$C$44,Inputs!$C$46),1)) + (Inputs!$C$30*IF(Inputs!$C$43=1,POWER(MAX(1,F11)/Inputs!$C$44,Inputs!$C$47),1)) + (MAX(Inputs!$C$50, Inputs!$C$33*IF(Inputs!$C$43=1,EXP(-MAX(1,F11)/Inputs!$C$51),1))*Inputs!$C$34) + (Inputs!$C$10*Inputs!$C$35) + Inputs!$C$16*(1/Inputs!$C$18)*Inputs!$C$17 + Inputs!$C$16*Inputs!$C$19*Inputs!$C$17 + Inputs!$C$16*Inputs!$C$20*(Inputs!$C$22 + Inputs!$C$21*Inputs!$C$17) + Inputs!$C$31*(Inputs!$C$7*(1-Inputs!$C$8) - Inputs!$C$7*(1-Inputs!$C$8)*(Inputs!$C$36 + MAX(Inputs!$C$50, Inputs!$C$33*IF(Inputs!$C$43=1,EXP(-MAX(1,F11)/Inputs!$C$51),1))*Inputs!$C$37 + Inputs!$C$10*Inputs!$C$38)) + Inputs!$C$32)</f>
        <v/>
      </c>
      <c r="J11" s="41">
        <f>Inputs!$C$40 + CEILING(F11/Inputs!$C$42,1)*Inputs!$C$41</f>
        <v/>
      </c>
      <c r="K11" s="39">
        <f>Scale!$B$15</f>
        <v/>
      </c>
    </row>
    <row r="12">
      <c r="A12" s="8" t="inlineStr">
        <is>
          <t>Inventory multiple (garments per active user)</t>
        </is>
      </c>
      <c r="B12" s="42">
        <f>Inputs!$C$16*B8*B11</f>
        <v/>
      </c>
      <c r="F12" s="17" t="n">
        <v>4500</v>
      </c>
      <c r="G12" s="40">
        <f>F12*I12 - J12</f>
        <v/>
      </c>
      <c r="H12" s="40">
        <f>F12*(I12-K12) - J12</f>
        <v/>
      </c>
      <c r="I12" s="39">
        <f>((Inputs!$C$7*(1-Inputs!$C$8) - Inputs!$C$7*(1-Inputs!$C$8)*(Inputs!$C$36 + MAX(Inputs!$C$50, Inputs!$C$33*IF(Inputs!$C$43=1,EXP(-MAX(1,F12)/Inputs!$C$51),1))*Inputs!$C$37 + Inputs!$C$10*Inputs!$C$38))) - (Inputs!$C$16*((Inputs!$C$23*IF(Inputs!$C$43=1,POWER(MAX(1,F12)/Inputs!$C$44,Inputs!$C$45),1))+Inputs!$C$24) + (Inputs!$C$25*(1-IF(Inputs!$C$43=1,Inputs!$C$48*(1-EXP(-MAX(1,F12)/Inputs!$C$49)),0))) + (Inputs!$C$26*(1-IF(Inputs!$C$43=1,Inputs!$C$48*(1-EXP(-MAX(1,F12)/Inputs!$C$49)),0))) + Inputs!$C$27 + (Inputs!$C$28*IF(Inputs!$C$43=1,POWER(MAX(1,F12)/Inputs!$C$44,Inputs!$C$46),1)) + (Inputs!$C$29*IF(Inputs!$C$43=1,POWER(MAX(1,F12)/Inputs!$C$44,Inputs!$C$46),1)) + (Inputs!$C$30*IF(Inputs!$C$43=1,POWER(MAX(1,F12)/Inputs!$C$44,Inputs!$C$47),1)) + (MAX(Inputs!$C$50, Inputs!$C$33*IF(Inputs!$C$43=1,EXP(-MAX(1,F12)/Inputs!$C$51),1))*Inputs!$C$34) + (Inputs!$C$10*Inputs!$C$35) + Inputs!$C$16*(1/Inputs!$C$18)*Inputs!$C$17 + Inputs!$C$16*Inputs!$C$19*Inputs!$C$17 + Inputs!$C$16*Inputs!$C$20*(Inputs!$C$22 + Inputs!$C$21*Inputs!$C$17) + Inputs!$C$31*(Inputs!$C$7*(1-Inputs!$C$8) - Inputs!$C$7*(1-Inputs!$C$8)*(Inputs!$C$36 + MAX(Inputs!$C$50, Inputs!$C$33*IF(Inputs!$C$43=1,EXP(-MAX(1,F12)/Inputs!$C$51),1))*Inputs!$C$37 + Inputs!$C$10*Inputs!$C$38)) + Inputs!$C$32)</f>
        <v/>
      </c>
      <c r="J12" s="41">
        <f>Inputs!$C$40 + CEILING(F12/Inputs!$C$42,1)*Inputs!$C$41</f>
        <v/>
      </c>
      <c r="K12" s="39">
        <f>Scale!$B$15</f>
        <v/>
      </c>
    </row>
    <row r="13">
      <c r="A13" s="8" t="inlineStr">
        <is>
          <t>Required garments (total)</t>
        </is>
      </c>
      <c r="B13" s="17">
        <f>$B$3*B12</f>
        <v/>
      </c>
      <c r="F13" s="17" t="n">
        <v>6500</v>
      </c>
      <c r="G13" s="40">
        <f>F13*I13 - J13</f>
        <v/>
      </c>
      <c r="H13" s="40">
        <f>F13*(I13-K13) - J13</f>
        <v/>
      </c>
      <c r="I13" s="39">
        <f>((Inputs!$C$7*(1-Inputs!$C$8) - Inputs!$C$7*(1-Inputs!$C$8)*(Inputs!$C$36 + MAX(Inputs!$C$50, Inputs!$C$33*IF(Inputs!$C$43=1,EXP(-MAX(1,F13)/Inputs!$C$51),1))*Inputs!$C$37 + Inputs!$C$10*Inputs!$C$38))) - (Inputs!$C$16*((Inputs!$C$23*IF(Inputs!$C$43=1,POWER(MAX(1,F13)/Inputs!$C$44,Inputs!$C$45),1))+Inputs!$C$24) + (Inputs!$C$25*(1-IF(Inputs!$C$43=1,Inputs!$C$48*(1-EXP(-MAX(1,F13)/Inputs!$C$49)),0))) + (Inputs!$C$26*(1-IF(Inputs!$C$43=1,Inputs!$C$48*(1-EXP(-MAX(1,F13)/Inputs!$C$49)),0))) + Inputs!$C$27 + (Inputs!$C$28*IF(Inputs!$C$43=1,POWER(MAX(1,F13)/Inputs!$C$44,Inputs!$C$46),1)) + (Inputs!$C$29*IF(Inputs!$C$43=1,POWER(MAX(1,F13)/Inputs!$C$44,Inputs!$C$46),1)) + (Inputs!$C$30*IF(Inputs!$C$43=1,POWER(MAX(1,F13)/Inputs!$C$44,Inputs!$C$47),1)) + (MAX(Inputs!$C$50, Inputs!$C$33*IF(Inputs!$C$43=1,EXP(-MAX(1,F13)/Inputs!$C$51),1))*Inputs!$C$34) + (Inputs!$C$10*Inputs!$C$35) + Inputs!$C$16*(1/Inputs!$C$18)*Inputs!$C$17 + Inputs!$C$16*Inputs!$C$19*Inputs!$C$17 + Inputs!$C$16*Inputs!$C$20*(Inputs!$C$22 + Inputs!$C$21*Inputs!$C$17) + Inputs!$C$31*(Inputs!$C$7*(1-Inputs!$C$8) - Inputs!$C$7*(1-Inputs!$C$8)*(Inputs!$C$36 + MAX(Inputs!$C$50, Inputs!$C$33*IF(Inputs!$C$43=1,EXP(-MAX(1,F13)/Inputs!$C$51),1))*Inputs!$C$37 + Inputs!$C$10*Inputs!$C$38)) + Inputs!$C$32)</f>
        <v/>
      </c>
      <c r="J13" s="41">
        <f>Inputs!$C$40 + CEILING(F13/Inputs!$C$42,1)*Inputs!$C$41</f>
        <v/>
      </c>
      <c r="K13" s="39">
        <f>Scale!$B$15</f>
        <v/>
      </c>
    </row>
    <row r="14">
      <c r="A14" s="8" t="inlineStr">
        <is>
          <t>Inventory capital (USD)</t>
        </is>
      </c>
      <c r="B14" s="41">
        <f>B13*Inputs!$C$17</f>
        <v/>
      </c>
      <c r="F14" s="17" t="n">
        <v>9000</v>
      </c>
      <c r="G14" s="40">
        <f>F14*I14 - J14</f>
        <v/>
      </c>
      <c r="H14" s="40">
        <f>F14*(I14-K14) - J14</f>
        <v/>
      </c>
      <c r="I14" s="39">
        <f>((Inputs!$C$7*(1-Inputs!$C$8) - Inputs!$C$7*(1-Inputs!$C$8)*(Inputs!$C$36 + MAX(Inputs!$C$50, Inputs!$C$33*IF(Inputs!$C$43=1,EXP(-MAX(1,F14)/Inputs!$C$51),1))*Inputs!$C$37 + Inputs!$C$10*Inputs!$C$38))) - (Inputs!$C$16*((Inputs!$C$23*IF(Inputs!$C$43=1,POWER(MAX(1,F14)/Inputs!$C$44,Inputs!$C$45),1))+Inputs!$C$24) + (Inputs!$C$25*(1-IF(Inputs!$C$43=1,Inputs!$C$48*(1-EXP(-MAX(1,F14)/Inputs!$C$49)),0))) + (Inputs!$C$26*(1-IF(Inputs!$C$43=1,Inputs!$C$48*(1-EXP(-MAX(1,F14)/Inputs!$C$49)),0))) + Inputs!$C$27 + (Inputs!$C$28*IF(Inputs!$C$43=1,POWER(MAX(1,F14)/Inputs!$C$44,Inputs!$C$46),1)) + (Inputs!$C$29*IF(Inputs!$C$43=1,POWER(MAX(1,F14)/Inputs!$C$44,Inputs!$C$46),1)) + (Inputs!$C$30*IF(Inputs!$C$43=1,POWER(MAX(1,F14)/Inputs!$C$44,Inputs!$C$47),1)) + (MAX(Inputs!$C$50, Inputs!$C$33*IF(Inputs!$C$43=1,EXP(-MAX(1,F14)/Inputs!$C$51),1))*Inputs!$C$34) + (Inputs!$C$10*Inputs!$C$35) + Inputs!$C$16*(1/Inputs!$C$18)*Inputs!$C$17 + Inputs!$C$16*Inputs!$C$19*Inputs!$C$17 + Inputs!$C$16*Inputs!$C$20*(Inputs!$C$22 + Inputs!$C$21*Inputs!$C$17) + Inputs!$C$31*(Inputs!$C$7*(1-Inputs!$C$8) - Inputs!$C$7*(1-Inputs!$C$8)*(Inputs!$C$36 + MAX(Inputs!$C$50, Inputs!$C$33*IF(Inputs!$C$43=1,EXP(-MAX(1,F14)/Inputs!$C$51),1))*Inputs!$C$37 + Inputs!$C$10*Inputs!$C$38)) + Inputs!$C$32)</f>
        <v/>
      </c>
      <c r="J14" s="41">
        <f>Inputs!$C$40 + CEILING(F14/Inputs!$C$42,1)*Inputs!$C$41</f>
        <v/>
      </c>
      <c r="K14" s="39">
        <f>Scale!$B$15</f>
        <v/>
      </c>
    </row>
    <row r="15">
      <c r="A15" s="8" t="inlineStr">
        <is>
          <t>Capital charge per cycle (constant)</t>
        </is>
      </c>
      <c r="B15" s="39">
        <f>Inputs!$C$39*(B12*Inputs!$C$17)</f>
        <v/>
      </c>
      <c r="F15" s="17" t="n">
        <v>12500</v>
      </c>
      <c r="G15" s="40">
        <f>F15*I15 - J15</f>
        <v/>
      </c>
      <c r="H15" s="40">
        <f>F15*(I15-K15) - J15</f>
        <v/>
      </c>
      <c r="I15" s="39">
        <f>((Inputs!$C$7*(1-Inputs!$C$8) - Inputs!$C$7*(1-Inputs!$C$8)*(Inputs!$C$36 + MAX(Inputs!$C$50, Inputs!$C$33*IF(Inputs!$C$43=1,EXP(-MAX(1,F15)/Inputs!$C$51),1))*Inputs!$C$37 + Inputs!$C$10*Inputs!$C$38))) - (Inputs!$C$16*((Inputs!$C$23*IF(Inputs!$C$43=1,POWER(MAX(1,F15)/Inputs!$C$44,Inputs!$C$45),1))+Inputs!$C$24) + (Inputs!$C$25*(1-IF(Inputs!$C$43=1,Inputs!$C$48*(1-EXP(-MAX(1,F15)/Inputs!$C$49)),0))) + (Inputs!$C$26*(1-IF(Inputs!$C$43=1,Inputs!$C$48*(1-EXP(-MAX(1,F15)/Inputs!$C$49)),0))) + Inputs!$C$27 + (Inputs!$C$28*IF(Inputs!$C$43=1,POWER(MAX(1,F15)/Inputs!$C$44,Inputs!$C$46),1)) + (Inputs!$C$29*IF(Inputs!$C$43=1,POWER(MAX(1,F15)/Inputs!$C$44,Inputs!$C$46),1)) + (Inputs!$C$30*IF(Inputs!$C$43=1,POWER(MAX(1,F15)/Inputs!$C$44,Inputs!$C$47),1)) + (MAX(Inputs!$C$50, Inputs!$C$33*IF(Inputs!$C$43=1,EXP(-MAX(1,F15)/Inputs!$C$51),1))*Inputs!$C$34) + (Inputs!$C$10*Inputs!$C$35) + Inputs!$C$16*(1/Inputs!$C$18)*Inputs!$C$17 + Inputs!$C$16*Inputs!$C$19*Inputs!$C$17 + Inputs!$C$16*Inputs!$C$20*(Inputs!$C$22 + Inputs!$C$21*Inputs!$C$17) + Inputs!$C$31*(Inputs!$C$7*(1-Inputs!$C$8) - Inputs!$C$7*(1-Inputs!$C$8)*(Inputs!$C$36 + MAX(Inputs!$C$50, Inputs!$C$33*IF(Inputs!$C$43=1,EXP(-MAX(1,F15)/Inputs!$C$51),1))*Inputs!$C$37 + Inputs!$C$10*Inputs!$C$38)) + Inputs!$C$32)</f>
        <v/>
      </c>
      <c r="J15" s="41">
        <f>Inputs!$C$40 + CEILING(F15/Inputs!$C$42,1)*Inputs!$C$41</f>
        <v/>
      </c>
      <c r="K15" s="39">
        <f>Scale!$B$15</f>
        <v/>
      </c>
    </row>
    <row r="16">
      <c r="F16" s="17" t="n">
        <v>17500</v>
      </c>
      <c r="G16" s="40">
        <f>F16*I16 - J16</f>
        <v/>
      </c>
      <c r="H16" s="40">
        <f>F16*(I16-K16) - J16</f>
        <v/>
      </c>
      <c r="I16" s="39">
        <f>((Inputs!$C$7*(1-Inputs!$C$8) - Inputs!$C$7*(1-Inputs!$C$8)*(Inputs!$C$36 + MAX(Inputs!$C$50, Inputs!$C$33*IF(Inputs!$C$43=1,EXP(-MAX(1,F16)/Inputs!$C$51),1))*Inputs!$C$37 + Inputs!$C$10*Inputs!$C$38))) - (Inputs!$C$16*((Inputs!$C$23*IF(Inputs!$C$43=1,POWER(MAX(1,F16)/Inputs!$C$44,Inputs!$C$45),1))+Inputs!$C$24) + (Inputs!$C$25*(1-IF(Inputs!$C$43=1,Inputs!$C$48*(1-EXP(-MAX(1,F16)/Inputs!$C$49)),0))) + (Inputs!$C$26*(1-IF(Inputs!$C$43=1,Inputs!$C$48*(1-EXP(-MAX(1,F16)/Inputs!$C$49)),0))) + Inputs!$C$27 + (Inputs!$C$28*IF(Inputs!$C$43=1,POWER(MAX(1,F16)/Inputs!$C$44,Inputs!$C$46),1)) + (Inputs!$C$29*IF(Inputs!$C$43=1,POWER(MAX(1,F16)/Inputs!$C$44,Inputs!$C$46),1)) + (Inputs!$C$30*IF(Inputs!$C$43=1,POWER(MAX(1,F16)/Inputs!$C$44,Inputs!$C$47),1)) + (MAX(Inputs!$C$50, Inputs!$C$33*IF(Inputs!$C$43=1,EXP(-MAX(1,F16)/Inputs!$C$51),1))*Inputs!$C$34) + (Inputs!$C$10*Inputs!$C$35) + Inputs!$C$16*(1/Inputs!$C$18)*Inputs!$C$17 + Inputs!$C$16*Inputs!$C$19*Inputs!$C$17 + Inputs!$C$16*Inputs!$C$20*(Inputs!$C$22 + Inputs!$C$21*Inputs!$C$17) + Inputs!$C$31*(Inputs!$C$7*(1-Inputs!$C$8) - Inputs!$C$7*(1-Inputs!$C$8)*(Inputs!$C$36 + MAX(Inputs!$C$50, Inputs!$C$33*IF(Inputs!$C$43=1,EXP(-MAX(1,F16)/Inputs!$C$51),1))*Inputs!$C$37 + Inputs!$C$10*Inputs!$C$38)) + Inputs!$C$32)</f>
        <v/>
      </c>
      <c r="J16" s="41">
        <f>Inputs!$C$40 + CEILING(F16/Inputs!$C$42,1)*Inputs!$C$41</f>
        <v/>
      </c>
      <c r="K16" s="39">
        <f>Scale!$B$15</f>
        <v/>
      </c>
    </row>
    <row r="17">
      <c r="F17" s="17" t="n">
        <v>24000</v>
      </c>
      <c r="G17" s="40">
        <f>F17*I17 - J17</f>
        <v/>
      </c>
      <c r="H17" s="40">
        <f>F17*(I17-K17) - J17</f>
        <v/>
      </c>
      <c r="I17" s="39">
        <f>((Inputs!$C$7*(1-Inputs!$C$8) - Inputs!$C$7*(1-Inputs!$C$8)*(Inputs!$C$36 + MAX(Inputs!$C$50, Inputs!$C$33*IF(Inputs!$C$43=1,EXP(-MAX(1,F17)/Inputs!$C$51),1))*Inputs!$C$37 + Inputs!$C$10*Inputs!$C$38))) - (Inputs!$C$16*((Inputs!$C$23*IF(Inputs!$C$43=1,POWER(MAX(1,F17)/Inputs!$C$44,Inputs!$C$45),1))+Inputs!$C$24) + (Inputs!$C$25*(1-IF(Inputs!$C$43=1,Inputs!$C$48*(1-EXP(-MAX(1,F17)/Inputs!$C$49)),0))) + (Inputs!$C$26*(1-IF(Inputs!$C$43=1,Inputs!$C$48*(1-EXP(-MAX(1,F17)/Inputs!$C$49)),0))) + Inputs!$C$27 + (Inputs!$C$28*IF(Inputs!$C$43=1,POWER(MAX(1,F17)/Inputs!$C$44,Inputs!$C$46),1)) + (Inputs!$C$29*IF(Inputs!$C$43=1,POWER(MAX(1,F17)/Inputs!$C$44,Inputs!$C$46),1)) + (Inputs!$C$30*IF(Inputs!$C$43=1,POWER(MAX(1,F17)/Inputs!$C$44,Inputs!$C$47),1)) + (MAX(Inputs!$C$50, Inputs!$C$33*IF(Inputs!$C$43=1,EXP(-MAX(1,F17)/Inputs!$C$51),1))*Inputs!$C$34) + (Inputs!$C$10*Inputs!$C$35) + Inputs!$C$16*(1/Inputs!$C$18)*Inputs!$C$17 + Inputs!$C$16*Inputs!$C$19*Inputs!$C$17 + Inputs!$C$16*Inputs!$C$20*(Inputs!$C$22 + Inputs!$C$21*Inputs!$C$17) + Inputs!$C$31*(Inputs!$C$7*(1-Inputs!$C$8) - Inputs!$C$7*(1-Inputs!$C$8)*(Inputs!$C$36 + MAX(Inputs!$C$50, Inputs!$C$33*IF(Inputs!$C$43=1,EXP(-MAX(1,F17)/Inputs!$C$51),1))*Inputs!$C$37 + Inputs!$C$10*Inputs!$C$38)) + Inputs!$C$32)</f>
        <v/>
      </c>
      <c r="J17" s="41">
        <f>Inputs!$C$40 + CEILING(F17/Inputs!$C$42,1)*Inputs!$C$41</f>
        <v/>
      </c>
      <c r="K17" s="39">
        <f>Scale!$B$15</f>
        <v/>
      </c>
    </row>
    <row r="18">
      <c r="A18" s="25" t="inlineStr">
        <is>
          <t>Weekly P&amp;L (steady-state, per week)</t>
        </is>
      </c>
      <c r="F18" s="17" t="n">
        <v>33000</v>
      </c>
      <c r="G18" s="40">
        <f>F18*I18 - J18</f>
        <v/>
      </c>
      <c r="H18" s="40">
        <f>F18*(I18-K18) - J18</f>
        <v/>
      </c>
      <c r="I18" s="39">
        <f>((Inputs!$C$7*(1-Inputs!$C$8) - Inputs!$C$7*(1-Inputs!$C$8)*(Inputs!$C$36 + MAX(Inputs!$C$50, Inputs!$C$33*IF(Inputs!$C$43=1,EXP(-MAX(1,F18)/Inputs!$C$51),1))*Inputs!$C$37 + Inputs!$C$10*Inputs!$C$38))) - (Inputs!$C$16*((Inputs!$C$23*IF(Inputs!$C$43=1,POWER(MAX(1,F18)/Inputs!$C$44,Inputs!$C$45),1))+Inputs!$C$24) + (Inputs!$C$25*(1-IF(Inputs!$C$43=1,Inputs!$C$48*(1-EXP(-MAX(1,F18)/Inputs!$C$49)),0))) + (Inputs!$C$26*(1-IF(Inputs!$C$43=1,Inputs!$C$48*(1-EXP(-MAX(1,F18)/Inputs!$C$49)),0))) + Inputs!$C$27 + (Inputs!$C$28*IF(Inputs!$C$43=1,POWER(MAX(1,F18)/Inputs!$C$44,Inputs!$C$46),1)) + (Inputs!$C$29*IF(Inputs!$C$43=1,POWER(MAX(1,F18)/Inputs!$C$44,Inputs!$C$46),1)) + (Inputs!$C$30*IF(Inputs!$C$43=1,POWER(MAX(1,F18)/Inputs!$C$44,Inputs!$C$47),1)) + (MAX(Inputs!$C$50, Inputs!$C$33*IF(Inputs!$C$43=1,EXP(-MAX(1,F18)/Inputs!$C$51),1))*Inputs!$C$34) + (Inputs!$C$10*Inputs!$C$35) + Inputs!$C$16*(1/Inputs!$C$18)*Inputs!$C$17 + Inputs!$C$16*Inputs!$C$19*Inputs!$C$17 + Inputs!$C$16*Inputs!$C$20*(Inputs!$C$22 + Inputs!$C$21*Inputs!$C$17) + Inputs!$C$31*(Inputs!$C$7*(1-Inputs!$C$8) - Inputs!$C$7*(1-Inputs!$C$8)*(Inputs!$C$36 + MAX(Inputs!$C$50, Inputs!$C$33*IF(Inputs!$C$43=1,EXP(-MAX(1,F18)/Inputs!$C$51),1))*Inputs!$C$37 + Inputs!$C$10*Inputs!$C$38)) + Inputs!$C$32)</f>
        <v/>
      </c>
      <c r="J18" s="41">
        <f>Inputs!$C$40 + CEILING(F18/Inputs!$C$42,1)*Inputs!$C$41</f>
        <v/>
      </c>
      <c r="K18" s="39">
        <f>Scale!$B$15</f>
        <v/>
      </c>
    </row>
    <row r="19">
      <c r="A19" s="8" t="inlineStr">
        <is>
          <t>User-week cycles fulfilled</t>
        </is>
      </c>
      <c r="B19" s="17">
        <f>$B$3</f>
        <v/>
      </c>
      <c r="F19" s="17" t="n">
        <v>45000</v>
      </c>
      <c r="G19" s="40">
        <f>F19*I19 - J19</f>
        <v/>
      </c>
      <c r="H19" s="40">
        <f>F19*(I19-K19) - J19</f>
        <v/>
      </c>
      <c r="I19" s="39">
        <f>((Inputs!$C$7*(1-Inputs!$C$8) - Inputs!$C$7*(1-Inputs!$C$8)*(Inputs!$C$36 + MAX(Inputs!$C$50, Inputs!$C$33*IF(Inputs!$C$43=1,EXP(-MAX(1,F19)/Inputs!$C$51),1))*Inputs!$C$37 + Inputs!$C$10*Inputs!$C$38))) - (Inputs!$C$16*((Inputs!$C$23*IF(Inputs!$C$43=1,POWER(MAX(1,F19)/Inputs!$C$44,Inputs!$C$45),1))+Inputs!$C$24) + (Inputs!$C$25*(1-IF(Inputs!$C$43=1,Inputs!$C$48*(1-EXP(-MAX(1,F19)/Inputs!$C$49)),0))) + (Inputs!$C$26*(1-IF(Inputs!$C$43=1,Inputs!$C$48*(1-EXP(-MAX(1,F19)/Inputs!$C$49)),0))) + Inputs!$C$27 + (Inputs!$C$28*IF(Inputs!$C$43=1,POWER(MAX(1,F19)/Inputs!$C$44,Inputs!$C$46),1)) + (Inputs!$C$29*IF(Inputs!$C$43=1,POWER(MAX(1,F19)/Inputs!$C$44,Inputs!$C$46),1)) + (Inputs!$C$30*IF(Inputs!$C$43=1,POWER(MAX(1,F19)/Inputs!$C$44,Inputs!$C$47),1)) + (MAX(Inputs!$C$50, Inputs!$C$33*IF(Inputs!$C$43=1,EXP(-MAX(1,F19)/Inputs!$C$51),1))*Inputs!$C$34) + (Inputs!$C$10*Inputs!$C$35) + Inputs!$C$16*(1/Inputs!$C$18)*Inputs!$C$17 + Inputs!$C$16*Inputs!$C$19*Inputs!$C$17 + Inputs!$C$16*Inputs!$C$20*(Inputs!$C$22 + Inputs!$C$21*Inputs!$C$17) + Inputs!$C$31*(Inputs!$C$7*(1-Inputs!$C$8) - Inputs!$C$7*(1-Inputs!$C$8)*(Inputs!$C$36 + MAX(Inputs!$C$50, Inputs!$C$33*IF(Inputs!$C$43=1,EXP(-MAX(1,F19)/Inputs!$C$51),1))*Inputs!$C$37 + Inputs!$C$10*Inputs!$C$38)) + Inputs!$C$32)</f>
        <v/>
      </c>
      <c r="J19" s="41">
        <f>Inputs!$C$40 + CEILING(F19/Inputs!$C$42,1)*Inputs!$C$41</f>
        <v/>
      </c>
      <c r="K19" s="39">
        <f>Scale!$B$15</f>
        <v/>
      </c>
    </row>
    <row r="20">
      <c r="A20" s="8" t="inlineStr">
        <is>
          <t>Net revenue per cycle</t>
        </is>
      </c>
      <c r="B20" s="39">
        <f>UnitEconomics!$B$18</f>
        <v/>
      </c>
      <c r="F20" s="17" t="n">
        <v>60000</v>
      </c>
      <c r="G20" s="40">
        <f>F20*I20 - J20</f>
        <v/>
      </c>
      <c r="H20" s="40">
        <f>F20*(I20-K20) - J20</f>
        <v/>
      </c>
      <c r="I20" s="39">
        <f>((Inputs!$C$7*(1-Inputs!$C$8) - Inputs!$C$7*(1-Inputs!$C$8)*(Inputs!$C$36 + MAX(Inputs!$C$50, Inputs!$C$33*IF(Inputs!$C$43=1,EXP(-MAX(1,F20)/Inputs!$C$51),1))*Inputs!$C$37 + Inputs!$C$10*Inputs!$C$38))) - (Inputs!$C$16*((Inputs!$C$23*IF(Inputs!$C$43=1,POWER(MAX(1,F20)/Inputs!$C$44,Inputs!$C$45),1))+Inputs!$C$24) + (Inputs!$C$25*(1-IF(Inputs!$C$43=1,Inputs!$C$48*(1-EXP(-MAX(1,F20)/Inputs!$C$49)),0))) + (Inputs!$C$26*(1-IF(Inputs!$C$43=1,Inputs!$C$48*(1-EXP(-MAX(1,F20)/Inputs!$C$49)),0))) + Inputs!$C$27 + (Inputs!$C$28*IF(Inputs!$C$43=1,POWER(MAX(1,F20)/Inputs!$C$44,Inputs!$C$46),1)) + (Inputs!$C$29*IF(Inputs!$C$43=1,POWER(MAX(1,F20)/Inputs!$C$44,Inputs!$C$46),1)) + (Inputs!$C$30*IF(Inputs!$C$43=1,POWER(MAX(1,F20)/Inputs!$C$44,Inputs!$C$47),1)) + (MAX(Inputs!$C$50, Inputs!$C$33*IF(Inputs!$C$43=1,EXP(-MAX(1,F20)/Inputs!$C$51),1))*Inputs!$C$34) + (Inputs!$C$10*Inputs!$C$35) + Inputs!$C$16*(1/Inputs!$C$18)*Inputs!$C$17 + Inputs!$C$16*Inputs!$C$19*Inputs!$C$17 + Inputs!$C$16*Inputs!$C$20*(Inputs!$C$22 + Inputs!$C$21*Inputs!$C$17) + Inputs!$C$31*(Inputs!$C$7*(1-Inputs!$C$8) - Inputs!$C$7*(1-Inputs!$C$8)*(Inputs!$C$36 + MAX(Inputs!$C$50, Inputs!$C$33*IF(Inputs!$C$43=1,EXP(-MAX(1,F20)/Inputs!$C$51),1))*Inputs!$C$37 + Inputs!$C$10*Inputs!$C$38)) + Inputs!$C$32)</f>
        <v/>
      </c>
      <c r="J20" s="41">
        <f>Inputs!$C$40 + CEILING(F20/Inputs!$C$42,1)*Inputs!$C$41</f>
        <v/>
      </c>
      <c r="K20" s="39">
        <f>Scale!$B$15</f>
        <v/>
      </c>
    </row>
    <row r="21">
      <c r="A21" s="8" t="inlineStr">
        <is>
          <t>Variable cost per cycle</t>
        </is>
      </c>
      <c r="B21" s="39">
        <f>UnitEconomics!$B$32</f>
        <v/>
      </c>
      <c r="F21" s="17" t="n">
        <v>80000</v>
      </c>
      <c r="G21" s="40">
        <f>F21*I21 - J21</f>
        <v/>
      </c>
      <c r="H21" s="40">
        <f>F21*(I21-K21) - J21</f>
        <v/>
      </c>
      <c r="I21" s="39">
        <f>((Inputs!$C$7*(1-Inputs!$C$8) - Inputs!$C$7*(1-Inputs!$C$8)*(Inputs!$C$36 + MAX(Inputs!$C$50, Inputs!$C$33*IF(Inputs!$C$43=1,EXP(-MAX(1,F21)/Inputs!$C$51),1))*Inputs!$C$37 + Inputs!$C$10*Inputs!$C$38))) - (Inputs!$C$16*((Inputs!$C$23*IF(Inputs!$C$43=1,POWER(MAX(1,F21)/Inputs!$C$44,Inputs!$C$45),1))+Inputs!$C$24) + (Inputs!$C$25*(1-IF(Inputs!$C$43=1,Inputs!$C$48*(1-EXP(-MAX(1,F21)/Inputs!$C$49)),0))) + (Inputs!$C$26*(1-IF(Inputs!$C$43=1,Inputs!$C$48*(1-EXP(-MAX(1,F21)/Inputs!$C$49)),0))) + Inputs!$C$27 + (Inputs!$C$28*IF(Inputs!$C$43=1,POWER(MAX(1,F21)/Inputs!$C$44,Inputs!$C$46),1)) + (Inputs!$C$29*IF(Inputs!$C$43=1,POWER(MAX(1,F21)/Inputs!$C$44,Inputs!$C$46),1)) + (Inputs!$C$30*IF(Inputs!$C$43=1,POWER(MAX(1,F21)/Inputs!$C$44,Inputs!$C$47),1)) + (MAX(Inputs!$C$50, Inputs!$C$33*IF(Inputs!$C$43=1,EXP(-MAX(1,F21)/Inputs!$C$51),1))*Inputs!$C$34) + (Inputs!$C$10*Inputs!$C$35) + Inputs!$C$16*(1/Inputs!$C$18)*Inputs!$C$17 + Inputs!$C$16*Inputs!$C$19*Inputs!$C$17 + Inputs!$C$16*Inputs!$C$20*(Inputs!$C$22 + Inputs!$C$21*Inputs!$C$17) + Inputs!$C$31*(Inputs!$C$7*(1-Inputs!$C$8) - Inputs!$C$7*(1-Inputs!$C$8)*(Inputs!$C$36 + MAX(Inputs!$C$50, Inputs!$C$33*IF(Inputs!$C$43=1,EXP(-MAX(1,F21)/Inputs!$C$51),1))*Inputs!$C$37 + Inputs!$C$10*Inputs!$C$38)) + Inputs!$C$32)</f>
        <v/>
      </c>
      <c r="J21" s="41">
        <f>Inputs!$C$40 + CEILING(F21/Inputs!$C$42,1)*Inputs!$C$41</f>
        <v/>
      </c>
      <c r="K21" s="39">
        <f>Scale!$B$15</f>
        <v/>
      </c>
    </row>
    <row r="22">
      <c r="A22" s="8" t="inlineStr">
        <is>
          <t>Contribution per cycle</t>
        </is>
      </c>
      <c r="B22" s="39">
        <f>UnitEconomics!$B$33</f>
        <v/>
      </c>
      <c r="F22" s="17" t="n">
        <v>100000</v>
      </c>
      <c r="G22" s="40">
        <f>F22*I22 - J22</f>
        <v/>
      </c>
      <c r="H22" s="40">
        <f>F22*(I22-K22) - J22</f>
        <v/>
      </c>
      <c r="I22" s="39">
        <f>((Inputs!$C$7*(1-Inputs!$C$8) - Inputs!$C$7*(1-Inputs!$C$8)*(Inputs!$C$36 + MAX(Inputs!$C$50, Inputs!$C$33*IF(Inputs!$C$43=1,EXP(-MAX(1,F22)/Inputs!$C$51),1))*Inputs!$C$37 + Inputs!$C$10*Inputs!$C$38))) - (Inputs!$C$16*((Inputs!$C$23*IF(Inputs!$C$43=1,POWER(MAX(1,F22)/Inputs!$C$44,Inputs!$C$45),1))+Inputs!$C$24) + (Inputs!$C$25*(1-IF(Inputs!$C$43=1,Inputs!$C$48*(1-EXP(-MAX(1,F22)/Inputs!$C$49)),0))) + (Inputs!$C$26*(1-IF(Inputs!$C$43=1,Inputs!$C$48*(1-EXP(-MAX(1,F22)/Inputs!$C$49)),0))) + Inputs!$C$27 + (Inputs!$C$28*IF(Inputs!$C$43=1,POWER(MAX(1,F22)/Inputs!$C$44,Inputs!$C$46),1)) + (Inputs!$C$29*IF(Inputs!$C$43=1,POWER(MAX(1,F22)/Inputs!$C$44,Inputs!$C$46),1)) + (Inputs!$C$30*IF(Inputs!$C$43=1,POWER(MAX(1,F22)/Inputs!$C$44,Inputs!$C$47),1)) + (MAX(Inputs!$C$50, Inputs!$C$33*IF(Inputs!$C$43=1,EXP(-MAX(1,F22)/Inputs!$C$51),1))*Inputs!$C$34) + (Inputs!$C$10*Inputs!$C$35) + Inputs!$C$16*(1/Inputs!$C$18)*Inputs!$C$17 + Inputs!$C$16*Inputs!$C$19*Inputs!$C$17 + Inputs!$C$16*Inputs!$C$20*(Inputs!$C$22 + Inputs!$C$21*Inputs!$C$17) + Inputs!$C$31*(Inputs!$C$7*(1-Inputs!$C$8) - Inputs!$C$7*(1-Inputs!$C$8)*(Inputs!$C$36 + MAX(Inputs!$C$50, Inputs!$C$33*IF(Inputs!$C$43=1,EXP(-MAX(1,F22)/Inputs!$C$51),1))*Inputs!$C$37 + Inputs!$C$10*Inputs!$C$38)) + Inputs!$C$32)</f>
        <v/>
      </c>
      <c r="J22" s="41">
        <f>Inputs!$C$40 + CEILING(F22/Inputs!$C$42,1)*Inputs!$C$41</f>
        <v/>
      </c>
      <c r="K22" s="39">
        <f>Scale!$B$15</f>
        <v/>
      </c>
    </row>
    <row r="23">
      <c r="A23" s="8" t="inlineStr">
        <is>
          <t>Total contribution (weekly)</t>
        </is>
      </c>
      <c r="B23" s="39">
        <f>B19*B22</f>
        <v/>
      </c>
    </row>
    <row r="24">
      <c r="A24" s="8" t="inlineStr">
        <is>
          <t>Capital charge per cycle</t>
        </is>
      </c>
      <c r="B24" s="39">
        <f>B15</f>
        <v/>
      </c>
    </row>
    <row r="25">
      <c r="A25" s="8" t="inlineStr">
        <is>
          <t>Economic contribution per cycle</t>
        </is>
      </c>
      <c r="B25" s="39">
        <f>B22-B24</f>
        <v/>
      </c>
    </row>
    <row r="26">
      <c r="A26" s="8" t="inlineStr">
        <is>
          <t>Economic contribution (weekly)</t>
        </is>
      </c>
      <c r="B26" s="39">
        <f>B19*B25</f>
        <v/>
      </c>
    </row>
    <row r="27">
      <c r="A27" s="8" t="n"/>
      <c r="B27" s="17" t="n"/>
    </row>
    <row r="28">
      <c r="A28" s="8" t="inlineStr">
        <is>
          <t>Fixed OPEX &amp; capacity steps</t>
        </is>
      </c>
      <c r="B28" s="17" t="n"/>
    </row>
    <row r="29">
      <c r="A29" s="8" t="inlineStr">
        <is>
          <t>Sites required</t>
        </is>
      </c>
      <c r="B29" s="15">
        <f>CEILING($B$3/Inputs!$C$42,1)</f>
        <v/>
      </c>
    </row>
    <row r="30">
      <c r="A30" s="8" t="inlineStr">
        <is>
          <t>Fixed OPEX (weekly)</t>
        </is>
      </c>
      <c r="B30" s="39">
        <f>Inputs!$C$40 + B29*Inputs!$C$41</f>
        <v/>
      </c>
    </row>
    <row r="31">
      <c r="A31" s="8" t="inlineStr">
        <is>
          <t>Operating profit (weekly, CM - fixed)</t>
        </is>
      </c>
      <c r="B31" s="39">
        <f>B23-B30</f>
        <v/>
      </c>
    </row>
    <row r="32">
      <c r="A32" s="8" t="inlineStr">
        <is>
          <t>Economic profit (weekly, after capital)</t>
        </is>
      </c>
      <c r="B32" s="39">
        <f>B26-B30</f>
        <v/>
      </c>
    </row>
    <row r="33">
      <c r="A33" s="8" t="n"/>
      <c r="B33" s="17" t="n"/>
    </row>
    <row r="34">
      <c r="A34" s="8" t="inlineStr">
        <is>
          <t>Break-even active users (CM basis)</t>
        </is>
      </c>
      <c r="B34" s="17">
        <f>IF(B22&lt;=0,"",B30/B22)</f>
        <v/>
      </c>
    </row>
    <row r="35">
      <c r="A35" s="8" t="inlineStr">
        <is>
          <t>Break-even active users (economic CM basis)</t>
        </is>
      </c>
      <c r="B35" s="17">
        <f>IF(B25&lt;=0,"",B30/B25)</f>
        <v/>
      </c>
    </row>
    <row r="37">
      <c r="A37" s="25" t="inlineStr">
        <is>
          <t>Replacement flow (loss + damage retire + wear retire)</t>
        </is>
      </c>
    </row>
    <row r="38">
      <c r="A38" s="8" t="inlineStr">
        <is>
          <t>Replacement garments per week</t>
        </is>
      </c>
      <c r="B38" s="43">
        <f>$B$3*Inputs!$C$16*(Inputs!$C$19 + Inputs!$C$20*Inputs!$C$21 + 1/Inputs!$C$18)</f>
        <v/>
      </c>
    </row>
    <row r="39">
      <c r="A39" s="8" t="inlineStr">
        <is>
          <t>Replacement spend per week</t>
        </is>
      </c>
      <c r="B39" s="41">
        <f>B38*Inputs!$C$17</f>
        <v/>
      </c>
    </row>
    <row r="40">
      <c r="A40" s="8" t="inlineStr">
        <is>
          <t>Replacement spend per cycle</t>
        </is>
      </c>
      <c r="B40" s="10">
        <f>IF($B$3=0,0,B39/$B$3)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326"/>
  <sheetViews>
    <sheetView showGridLines="0" workbookViewId="0">
      <pane ySplit="66" topLeftCell="A67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9" customWidth="1" min="12" max="12"/>
  </cols>
  <sheetData>
    <row r="1">
      <c r="A1" s="3" t="inlineStr">
        <is>
          <t>Cohort Retention Layer (age-based churn with service-failure shock)</t>
        </is>
      </c>
      <c r="B1" s="36" t="n"/>
      <c r="C1" s="36" t="n"/>
      <c r="D1" s="36" t="n"/>
      <c r="E1" s="36" t="n"/>
      <c r="F1" s="36" t="n"/>
      <c r="G1" s="36" t="n"/>
      <c r="H1" s="36" t="n"/>
      <c r="I1" s="36" t="n"/>
      <c r="J1" s="37" t="n"/>
    </row>
    <row r="3">
      <c r="A3" s="3" t="inlineStr">
        <is>
          <t>Linked inputs</t>
        </is>
      </c>
      <c r="B3" s="36" t="n"/>
      <c r="C3" s="36" t="n"/>
      <c r="D3" s="37" t="n"/>
    </row>
    <row r="4">
      <c r="A4" s="8" t="inlineStr">
        <is>
          <t>Horizon (weeks)</t>
        </is>
      </c>
      <c r="B4" s="15">
        <f>Inputs!$C$62</f>
        <v/>
      </c>
    </row>
    <row r="5">
      <c r="A5" s="8" t="inlineStr">
        <is>
          <t>Start active users</t>
        </is>
      </c>
      <c r="B5" s="15">
        <f>Inputs!$C$63</f>
        <v/>
      </c>
    </row>
    <row r="6">
      <c r="A6" s="8" t="inlineStr">
        <is>
          <t>Base churn (weekly)</t>
        </is>
      </c>
      <c r="B6" s="12">
        <f>Inputs!$C$82</f>
        <v/>
      </c>
    </row>
    <row r="7">
      <c r="A7" s="8" t="inlineStr">
        <is>
          <t>Early churn premium</t>
        </is>
      </c>
      <c r="B7" s="12">
        <f>Inputs!$C$83</f>
        <v/>
      </c>
    </row>
    <row r="8">
      <c r="A8" s="8" t="inlineStr">
        <is>
          <t>Churn decay (weeks)</t>
        </is>
      </c>
      <c r="B8" s="12">
        <f>Inputs!$C$84</f>
        <v/>
      </c>
    </row>
    <row r="9">
      <c r="A9" s="3" t="inlineStr">
        <is>
          <t>Churn curve by age-week (used for baseline churn weighting; shock applied separately)</t>
        </is>
      </c>
      <c r="B9" s="36" t="n"/>
      <c r="C9" s="37" t="n"/>
    </row>
    <row r="10">
      <c r="A10" s="7" t="inlineStr">
        <is>
          <t>Age_wk</t>
        </is>
      </c>
      <c r="B10" s="7" t="inlineStr">
        <is>
          <t>Churn_rate</t>
        </is>
      </c>
      <c r="C10" s="7" t="inlineStr">
        <is>
          <t>Survival</t>
        </is>
      </c>
    </row>
    <row r="11">
      <c r="A11" s="55" t="n">
        <v>0</v>
      </c>
      <c r="B11" s="12">
        <f>MIN(0.8, Inputs!$C$82*(1+Inputs!$C$83*EXP(-A11/MAX(0.0001,Inputs!$C$84))))</f>
        <v/>
      </c>
      <c r="C11" s="12">
        <f>1-B11</f>
        <v/>
      </c>
    </row>
    <row r="12">
      <c r="A12" s="55" t="n">
        <v>1</v>
      </c>
      <c r="B12" s="12">
        <f>MIN(0.8, Inputs!$C$82*(1+Inputs!$C$83*EXP(-A12/MAX(0.0001,Inputs!$C$84))))</f>
        <v/>
      </c>
      <c r="C12" s="12">
        <f>1-B12</f>
        <v/>
      </c>
    </row>
    <row r="13">
      <c r="A13" s="55" t="n">
        <v>2</v>
      </c>
      <c r="B13" s="12">
        <f>MIN(0.8, Inputs!$C$82*(1+Inputs!$C$83*EXP(-A13/MAX(0.0001,Inputs!$C$84))))</f>
        <v/>
      </c>
      <c r="C13" s="12">
        <f>1-B13</f>
        <v/>
      </c>
    </row>
    <row r="14">
      <c r="A14" s="55" t="n">
        <v>3</v>
      </c>
      <c r="B14" s="12">
        <f>MIN(0.8, Inputs!$C$82*(1+Inputs!$C$83*EXP(-A14/MAX(0.0001,Inputs!$C$84))))</f>
        <v/>
      </c>
      <c r="C14" s="12">
        <f>1-B14</f>
        <v/>
      </c>
    </row>
    <row r="15">
      <c r="A15" s="55" t="n">
        <v>4</v>
      </c>
      <c r="B15" s="12">
        <f>MIN(0.8, Inputs!$C$82*(1+Inputs!$C$83*EXP(-A15/MAX(0.0001,Inputs!$C$84))))</f>
        <v/>
      </c>
      <c r="C15" s="12">
        <f>1-B15</f>
        <v/>
      </c>
    </row>
    <row r="16">
      <c r="A16" s="55" t="n">
        <v>5</v>
      </c>
      <c r="B16" s="12">
        <f>MIN(0.8, Inputs!$C$82*(1+Inputs!$C$83*EXP(-A16/MAX(0.0001,Inputs!$C$84))))</f>
        <v/>
      </c>
      <c r="C16" s="12">
        <f>1-B16</f>
        <v/>
      </c>
    </row>
    <row r="17">
      <c r="A17" s="55" t="n">
        <v>6</v>
      </c>
      <c r="B17" s="12">
        <f>MIN(0.8, Inputs!$C$82*(1+Inputs!$C$83*EXP(-A17/MAX(0.0001,Inputs!$C$84))))</f>
        <v/>
      </c>
      <c r="C17" s="12">
        <f>1-B17</f>
        <v/>
      </c>
    </row>
    <row r="18">
      <c r="A18" s="55" t="n">
        <v>7</v>
      </c>
      <c r="B18" s="12">
        <f>MIN(0.8, Inputs!$C$82*(1+Inputs!$C$83*EXP(-A18/MAX(0.0001,Inputs!$C$84))))</f>
        <v/>
      </c>
      <c r="C18" s="12">
        <f>1-B18</f>
        <v/>
      </c>
    </row>
    <row r="19">
      <c r="A19" s="55" t="n">
        <v>8</v>
      </c>
      <c r="B19" s="12">
        <f>MIN(0.8, Inputs!$C$82*(1+Inputs!$C$83*EXP(-A19/MAX(0.0001,Inputs!$C$84))))</f>
        <v/>
      </c>
      <c r="C19" s="12">
        <f>1-B19</f>
        <v/>
      </c>
    </row>
    <row r="20">
      <c r="A20" s="55" t="n">
        <v>9</v>
      </c>
      <c r="B20" s="12">
        <f>MIN(0.8, Inputs!$C$82*(1+Inputs!$C$83*EXP(-A20/MAX(0.0001,Inputs!$C$84))))</f>
        <v/>
      </c>
      <c r="C20" s="12">
        <f>1-B20</f>
        <v/>
      </c>
    </row>
    <row r="21">
      <c r="A21" s="55" t="n">
        <v>10</v>
      </c>
      <c r="B21" s="12">
        <f>MIN(0.8, Inputs!$C$82*(1+Inputs!$C$83*EXP(-A21/MAX(0.0001,Inputs!$C$84))))</f>
        <v/>
      </c>
      <c r="C21" s="12">
        <f>1-B21</f>
        <v/>
      </c>
    </row>
    <row r="22">
      <c r="A22" s="55" t="n">
        <v>11</v>
      </c>
      <c r="B22" s="12">
        <f>MIN(0.8, Inputs!$C$82*(1+Inputs!$C$83*EXP(-A22/MAX(0.0001,Inputs!$C$84))))</f>
        <v/>
      </c>
      <c r="C22" s="12">
        <f>1-B22</f>
        <v/>
      </c>
    </row>
    <row r="23">
      <c r="A23" s="55" t="n">
        <v>12</v>
      </c>
      <c r="B23" s="12">
        <f>MIN(0.8, Inputs!$C$82*(1+Inputs!$C$83*EXP(-A23/MAX(0.0001,Inputs!$C$84))))</f>
        <v/>
      </c>
      <c r="C23" s="12">
        <f>1-B23</f>
        <v/>
      </c>
    </row>
    <row r="24">
      <c r="A24" s="55" t="n">
        <v>13</v>
      </c>
      <c r="B24" s="12">
        <f>MIN(0.8, Inputs!$C$82*(1+Inputs!$C$83*EXP(-A24/MAX(0.0001,Inputs!$C$84))))</f>
        <v/>
      </c>
      <c r="C24" s="12">
        <f>1-B24</f>
        <v/>
      </c>
    </row>
    <row r="25">
      <c r="A25" s="55" t="n">
        <v>14</v>
      </c>
      <c r="B25" s="12">
        <f>MIN(0.8, Inputs!$C$82*(1+Inputs!$C$83*EXP(-A25/MAX(0.0001,Inputs!$C$84))))</f>
        <v/>
      </c>
      <c r="C25" s="12">
        <f>1-B25</f>
        <v/>
      </c>
    </row>
    <row r="26">
      <c r="A26" s="55" t="n">
        <v>15</v>
      </c>
      <c r="B26" s="12">
        <f>MIN(0.8, Inputs!$C$82*(1+Inputs!$C$83*EXP(-A26/MAX(0.0001,Inputs!$C$84))))</f>
        <v/>
      </c>
      <c r="C26" s="12">
        <f>1-B26</f>
        <v/>
      </c>
    </row>
    <row r="27">
      <c r="A27" s="55" t="n">
        <v>16</v>
      </c>
      <c r="B27" s="12">
        <f>MIN(0.8, Inputs!$C$82*(1+Inputs!$C$83*EXP(-A27/MAX(0.0001,Inputs!$C$84))))</f>
        <v/>
      </c>
      <c r="C27" s="12">
        <f>1-B27</f>
        <v/>
      </c>
    </row>
    <row r="28">
      <c r="A28" s="55" t="n">
        <v>17</v>
      </c>
      <c r="B28" s="12">
        <f>MIN(0.8, Inputs!$C$82*(1+Inputs!$C$83*EXP(-A28/MAX(0.0001,Inputs!$C$84))))</f>
        <v/>
      </c>
      <c r="C28" s="12">
        <f>1-B28</f>
        <v/>
      </c>
    </row>
    <row r="29">
      <c r="A29" s="55" t="n">
        <v>18</v>
      </c>
      <c r="B29" s="12">
        <f>MIN(0.8, Inputs!$C$82*(1+Inputs!$C$83*EXP(-A29/MAX(0.0001,Inputs!$C$84))))</f>
        <v/>
      </c>
      <c r="C29" s="12">
        <f>1-B29</f>
        <v/>
      </c>
    </row>
    <row r="30">
      <c r="A30" s="55" t="n">
        <v>19</v>
      </c>
      <c r="B30" s="12">
        <f>MIN(0.8, Inputs!$C$82*(1+Inputs!$C$83*EXP(-A30/MAX(0.0001,Inputs!$C$84))))</f>
        <v/>
      </c>
      <c r="C30" s="12">
        <f>1-B30</f>
        <v/>
      </c>
    </row>
    <row r="31">
      <c r="A31" s="55" t="n">
        <v>20</v>
      </c>
      <c r="B31" s="12">
        <f>MIN(0.8, Inputs!$C$82*(1+Inputs!$C$83*EXP(-A31/MAX(0.0001,Inputs!$C$84))))</f>
        <v/>
      </c>
      <c r="C31" s="12">
        <f>1-B31</f>
        <v/>
      </c>
    </row>
    <row r="32">
      <c r="A32" s="55" t="n">
        <v>21</v>
      </c>
      <c r="B32" s="12">
        <f>MIN(0.8, Inputs!$C$82*(1+Inputs!$C$83*EXP(-A32/MAX(0.0001,Inputs!$C$84))))</f>
        <v/>
      </c>
      <c r="C32" s="12">
        <f>1-B32</f>
        <v/>
      </c>
    </row>
    <row r="33">
      <c r="A33" s="55" t="n">
        <v>22</v>
      </c>
      <c r="B33" s="12">
        <f>MIN(0.8, Inputs!$C$82*(1+Inputs!$C$83*EXP(-A33/MAX(0.0001,Inputs!$C$84))))</f>
        <v/>
      </c>
      <c r="C33" s="12">
        <f>1-B33</f>
        <v/>
      </c>
    </row>
    <row r="34">
      <c r="A34" s="55" t="n">
        <v>23</v>
      </c>
      <c r="B34" s="12">
        <f>MIN(0.8, Inputs!$C$82*(1+Inputs!$C$83*EXP(-A34/MAX(0.0001,Inputs!$C$84))))</f>
        <v/>
      </c>
      <c r="C34" s="12">
        <f>1-B34</f>
        <v/>
      </c>
    </row>
    <row r="35">
      <c r="A35" s="55" t="n">
        <v>24</v>
      </c>
      <c r="B35" s="12">
        <f>MIN(0.8, Inputs!$C$82*(1+Inputs!$C$83*EXP(-A35/MAX(0.0001,Inputs!$C$84))))</f>
        <v/>
      </c>
      <c r="C35" s="12">
        <f>1-B35</f>
        <v/>
      </c>
    </row>
    <row r="36">
      <c r="A36" s="55" t="n">
        <v>25</v>
      </c>
      <c r="B36" s="12">
        <f>MIN(0.8, Inputs!$C$82*(1+Inputs!$C$83*EXP(-A36/MAX(0.0001,Inputs!$C$84))))</f>
        <v/>
      </c>
      <c r="C36" s="12">
        <f>1-B36</f>
        <v/>
      </c>
    </row>
    <row r="37">
      <c r="A37" s="55" t="n">
        <v>26</v>
      </c>
      <c r="B37" s="12">
        <f>MIN(0.8, Inputs!$C$82*(1+Inputs!$C$83*EXP(-A37/MAX(0.0001,Inputs!$C$84))))</f>
        <v/>
      </c>
      <c r="C37" s="12">
        <f>1-B37</f>
        <v/>
      </c>
    </row>
    <row r="38">
      <c r="A38" s="55" t="n">
        <v>27</v>
      </c>
      <c r="B38" s="12">
        <f>MIN(0.8, Inputs!$C$82*(1+Inputs!$C$83*EXP(-A38/MAX(0.0001,Inputs!$C$84))))</f>
        <v/>
      </c>
      <c r="C38" s="12">
        <f>1-B38</f>
        <v/>
      </c>
    </row>
    <row r="39">
      <c r="A39" s="55" t="n">
        <v>28</v>
      </c>
      <c r="B39" s="12">
        <f>MIN(0.8, Inputs!$C$82*(1+Inputs!$C$83*EXP(-A39/MAX(0.0001,Inputs!$C$84))))</f>
        <v/>
      </c>
      <c r="C39" s="12">
        <f>1-B39</f>
        <v/>
      </c>
    </row>
    <row r="40">
      <c r="A40" s="55" t="n">
        <v>29</v>
      </c>
      <c r="B40" s="12">
        <f>MIN(0.8, Inputs!$C$82*(1+Inputs!$C$83*EXP(-A40/MAX(0.0001,Inputs!$C$84))))</f>
        <v/>
      </c>
      <c r="C40" s="12">
        <f>1-B40</f>
        <v/>
      </c>
    </row>
    <row r="41">
      <c r="A41" s="55" t="n">
        <v>30</v>
      </c>
      <c r="B41" s="12">
        <f>MIN(0.8, Inputs!$C$82*(1+Inputs!$C$83*EXP(-A41/MAX(0.0001,Inputs!$C$84))))</f>
        <v/>
      </c>
      <c r="C41" s="12">
        <f>1-B41</f>
        <v/>
      </c>
    </row>
    <row r="42">
      <c r="A42" s="55" t="n">
        <v>31</v>
      </c>
      <c r="B42" s="12">
        <f>MIN(0.8, Inputs!$C$82*(1+Inputs!$C$83*EXP(-A42/MAX(0.0001,Inputs!$C$84))))</f>
        <v/>
      </c>
      <c r="C42" s="12">
        <f>1-B42</f>
        <v/>
      </c>
    </row>
    <row r="43">
      <c r="A43" s="55" t="n">
        <v>32</v>
      </c>
      <c r="B43" s="12">
        <f>MIN(0.8, Inputs!$C$82*(1+Inputs!$C$83*EXP(-A43/MAX(0.0001,Inputs!$C$84))))</f>
        <v/>
      </c>
      <c r="C43" s="12">
        <f>1-B43</f>
        <v/>
      </c>
    </row>
    <row r="44">
      <c r="A44" s="55" t="n">
        <v>33</v>
      </c>
      <c r="B44" s="12">
        <f>MIN(0.8, Inputs!$C$82*(1+Inputs!$C$83*EXP(-A44/MAX(0.0001,Inputs!$C$84))))</f>
        <v/>
      </c>
      <c r="C44" s="12">
        <f>1-B44</f>
        <v/>
      </c>
    </row>
    <row r="45">
      <c r="A45" s="55" t="n">
        <v>34</v>
      </c>
      <c r="B45" s="12">
        <f>MIN(0.8, Inputs!$C$82*(1+Inputs!$C$83*EXP(-A45/MAX(0.0001,Inputs!$C$84))))</f>
        <v/>
      </c>
      <c r="C45" s="12">
        <f>1-B45</f>
        <v/>
      </c>
    </row>
    <row r="46">
      <c r="A46" s="55" t="n">
        <v>35</v>
      </c>
      <c r="B46" s="12">
        <f>MIN(0.8, Inputs!$C$82*(1+Inputs!$C$83*EXP(-A46/MAX(0.0001,Inputs!$C$84))))</f>
        <v/>
      </c>
      <c r="C46" s="12">
        <f>1-B46</f>
        <v/>
      </c>
    </row>
    <row r="47">
      <c r="A47" s="55" t="n">
        <v>36</v>
      </c>
      <c r="B47" s="12">
        <f>MIN(0.8, Inputs!$C$82*(1+Inputs!$C$83*EXP(-A47/MAX(0.0001,Inputs!$C$84))))</f>
        <v/>
      </c>
      <c r="C47" s="12">
        <f>1-B47</f>
        <v/>
      </c>
    </row>
    <row r="48">
      <c r="A48" s="55" t="n">
        <v>37</v>
      </c>
      <c r="B48" s="12">
        <f>MIN(0.8, Inputs!$C$82*(1+Inputs!$C$83*EXP(-A48/MAX(0.0001,Inputs!$C$84))))</f>
        <v/>
      </c>
      <c r="C48" s="12">
        <f>1-B48</f>
        <v/>
      </c>
    </row>
    <row r="49">
      <c r="A49" s="55" t="n">
        <v>38</v>
      </c>
      <c r="B49" s="12">
        <f>MIN(0.8, Inputs!$C$82*(1+Inputs!$C$83*EXP(-A49/MAX(0.0001,Inputs!$C$84))))</f>
        <v/>
      </c>
      <c r="C49" s="12">
        <f>1-B49</f>
        <v/>
      </c>
    </row>
    <row r="50">
      <c r="A50" s="55" t="n">
        <v>39</v>
      </c>
      <c r="B50" s="12">
        <f>MIN(0.8, Inputs!$C$82*(1+Inputs!$C$83*EXP(-A50/MAX(0.0001,Inputs!$C$84))))</f>
        <v/>
      </c>
      <c r="C50" s="12">
        <f>1-B50</f>
        <v/>
      </c>
    </row>
    <row r="51">
      <c r="A51" s="55" t="n">
        <v>40</v>
      </c>
      <c r="B51" s="12">
        <f>MIN(0.8, Inputs!$C$82*(1+Inputs!$C$83*EXP(-A51/MAX(0.0001,Inputs!$C$84))))</f>
        <v/>
      </c>
      <c r="C51" s="12">
        <f>1-B51</f>
        <v/>
      </c>
    </row>
    <row r="52">
      <c r="A52" s="55" t="n">
        <v>41</v>
      </c>
      <c r="B52" s="12">
        <f>MIN(0.8, Inputs!$C$82*(1+Inputs!$C$83*EXP(-A52/MAX(0.0001,Inputs!$C$84))))</f>
        <v/>
      </c>
      <c r="C52" s="12">
        <f>1-B52</f>
        <v/>
      </c>
    </row>
    <row r="53">
      <c r="A53" s="55" t="n">
        <v>42</v>
      </c>
      <c r="B53" s="12">
        <f>MIN(0.8, Inputs!$C$82*(1+Inputs!$C$83*EXP(-A53/MAX(0.0001,Inputs!$C$84))))</f>
        <v/>
      </c>
      <c r="C53" s="12">
        <f>1-B53</f>
        <v/>
      </c>
    </row>
    <row r="54">
      <c r="A54" s="55" t="n">
        <v>43</v>
      </c>
      <c r="B54" s="12">
        <f>MIN(0.8, Inputs!$C$82*(1+Inputs!$C$83*EXP(-A54/MAX(0.0001,Inputs!$C$84))))</f>
        <v/>
      </c>
      <c r="C54" s="12">
        <f>1-B54</f>
        <v/>
      </c>
    </row>
    <row r="55">
      <c r="A55" s="55" t="n">
        <v>44</v>
      </c>
      <c r="B55" s="12">
        <f>MIN(0.8, Inputs!$C$82*(1+Inputs!$C$83*EXP(-A55/MAX(0.0001,Inputs!$C$84))))</f>
        <v/>
      </c>
      <c r="C55" s="12">
        <f>1-B55</f>
        <v/>
      </c>
    </row>
    <row r="56">
      <c r="A56" s="55" t="n">
        <v>45</v>
      </c>
      <c r="B56" s="12">
        <f>MIN(0.8, Inputs!$C$82*(1+Inputs!$C$83*EXP(-A56/MAX(0.0001,Inputs!$C$84))))</f>
        <v/>
      </c>
      <c r="C56" s="12">
        <f>1-B56</f>
        <v/>
      </c>
    </row>
    <row r="57">
      <c r="A57" s="55" t="n">
        <v>46</v>
      </c>
      <c r="B57" s="12">
        <f>MIN(0.8, Inputs!$C$82*(1+Inputs!$C$83*EXP(-A57/MAX(0.0001,Inputs!$C$84))))</f>
        <v/>
      </c>
      <c r="C57" s="12">
        <f>1-B57</f>
        <v/>
      </c>
    </row>
    <row r="58">
      <c r="A58" s="55" t="n">
        <v>47</v>
      </c>
      <c r="B58" s="12">
        <f>MIN(0.8, Inputs!$C$82*(1+Inputs!$C$83*EXP(-A58/MAX(0.0001,Inputs!$C$84))))</f>
        <v/>
      </c>
      <c r="C58" s="12">
        <f>1-B58</f>
        <v/>
      </c>
    </row>
    <row r="59">
      <c r="A59" s="55" t="n">
        <v>48</v>
      </c>
      <c r="B59" s="12">
        <f>MIN(0.8, Inputs!$C$82*(1+Inputs!$C$83*EXP(-A59/MAX(0.0001,Inputs!$C$84))))</f>
        <v/>
      </c>
      <c r="C59" s="12">
        <f>1-B59</f>
        <v/>
      </c>
    </row>
    <row r="60">
      <c r="A60" s="55" t="n">
        <v>49</v>
      </c>
      <c r="B60" s="12">
        <f>MIN(0.8, Inputs!$C$82*(1+Inputs!$C$83*EXP(-A60/MAX(0.0001,Inputs!$C$84))))</f>
        <v/>
      </c>
      <c r="C60" s="12">
        <f>1-B60</f>
        <v/>
      </c>
    </row>
    <row r="61">
      <c r="A61" s="55" t="n">
        <v>50</v>
      </c>
      <c r="B61" s="12">
        <f>MIN(0.8, Inputs!$C$82*(1+Inputs!$C$83*EXP(-A61/MAX(0.0001,Inputs!$C$84))))</f>
        <v/>
      </c>
      <c r="C61" s="12">
        <f>1-B61</f>
        <v/>
      </c>
    </row>
    <row r="62">
      <c r="A62" s="55" t="n">
        <v>51</v>
      </c>
      <c r="B62" s="12">
        <f>MIN(0.8, Inputs!$C$82*(1+Inputs!$C$83*EXP(-A62/MAX(0.0001,Inputs!$C$84))))</f>
        <v/>
      </c>
      <c r="C62" s="12">
        <f>1-B62</f>
        <v/>
      </c>
    </row>
    <row r="63">
      <c r="A63" s="55" t="n">
        <v>52</v>
      </c>
      <c r="B63" s="12">
        <f>MIN(0.8, Inputs!$C$82*(1+Inputs!$C$83*EXP(-A63/MAX(0.0001,Inputs!$C$84))))</f>
        <v/>
      </c>
      <c r="C63" s="12">
        <f>1-B63</f>
        <v/>
      </c>
    </row>
    <row r="66">
      <c r="A66" s="7" t="inlineStr">
        <is>
          <t>Week</t>
        </is>
      </c>
      <c r="B66" s="7" t="inlineStr">
        <is>
          <t>Carryover_Users</t>
        </is>
      </c>
      <c r="C66" s="7" t="inlineStr">
        <is>
          <t>New_Users</t>
        </is>
      </c>
      <c r="D66" s="7" t="inlineStr">
        <is>
          <t>Active_Service</t>
        </is>
      </c>
      <c r="E66" s="7" t="inlineStr">
        <is>
          <t>Churn_Shock</t>
        </is>
      </c>
      <c r="F66" s="7" t="inlineStr">
        <is>
          <t>Baseline_Churn_Rate</t>
        </is>
      </c>
      <c r="G66" s="7" t="inlineStr">
        <is>
          <t>Total_Churn_Rate</t>
        </is>
      </c>
      <c r="H66" s="7" t="inlineStr">
        <is>
          <t>Churned</t>
        </is>
      </c>
      <c r="I66" s="7" t="inlineStr">
        <is>
          <t>Survivors_End</t>
        </is>
      </c>
      <c r="L66" s="7" t="inlineStr">
        <is>
          <t>Age0</t>
        </is>
      </c>
      <c r="M66" s="7" t="inlineStr">
        <is>
          <t>Age1</t>
        </is>
      </c>
      <c r="N66" s="7" t="inlineStr">
        <is>
          <t>Age2</t>
        </is>
      </c>
      <c r="O66" s="7" t="inlineStr">
        <is>
          <t>Age3</t>
        </is>
      </c>
      <c r="P66" s="7" t="inlineStr">
        <is>
          <t>Age4</t>
        </is>
      </c>
      <c r="Q66" s="7" t="inlineStr">
        <is>
          <t>Age5</t>
        </is>
      </c>
      <c r="R66" s="7" t="inlineStr">
        <is>
          <t>Age6</t>
        </is>
      </c>
      <c r="S66" s="7" t="inlineStr">
        <is>
          <t>Age7</t>
        </is>
      </c>
      <c r="T66" s="7" t="inlineStr">
        <is>
          <t>Age8</t>
        </is>
      </c>
      <c r="U66" s="7" t="inlineStr">
        <is>
          <t>Age9</t>
        </is>
      </c>
      <c r="V66" s="7" t="inlineStr">
        <is>
          <t>Age10</t>
        </is>
      </c>
      <c r="W66" s="7" t="inlineStr">
        <is>
          <t>Age11</t>
        </is>
      </c>
      <c r="X66" s="7" t="inlineStr">
        <is>
          <t>Age12</t>
        </is>
      </c>
      <c r="Y66" s="7" t="inlineStr">
        <is>
          <t>Age13</t>
        </is>
      </c>
      <c r="Z66" s="7" t="inlineStr">
        <is>
          <t>Age14</t>
        </is>
      </c>
      <c r="AA66" s="7" t="inlineStr">
        <is>
          <t>Age15</t>
        </is>
      </c>
      <c r="AB66" s="7" t="inlineStr">
        <is>
          <t>Age16</t>
        </is>
      </c>
      <c r="AC66" s="7" t="inlineStr">
        <is>
          <t>Age17</t>
        </is>
      </c>
      <c r="AD66" s="7" t="inlineStr">
        <is>
          <t>Age18</t>
        </is>
      </c>
      <c r="AE66" s="7" t="inlineStr">
        <is>
          <t>Age19</t>
        </is>
      </c>
      <c r="AF66" s="7" t="inlineStr">
        <is>
          <t>Age20</t>
        </is>
      </c>
      <c r="AG66" s="7" t="inlineStr">
        <is>
          <t>Age21</t>
        </is>
      </c>
      <c r="AH66" s="7" t="inlineStr">
        <is>
          <t>Age22</t>
        </is>
      </c>
      <c r="AI66" s="7" t="inlineStr">
        <is>
          <t>Age23</t>
        </is>
      </c>
      <c r="AJ66" s="7" t="inlineStr">
        <is>
          <t>Age24</t>
        </is>
      </c>
      <c r="AK66" s="7" t="inlineStr">
        <is>
          <t>Age25</t>
        </is>
      </c>
      <c r="AL66" s="7" t="inlineStr">
        <is>
          <t>Age26</t>
        </is>
      </c>
      <c r="AM66" s="7" t="inlineStr">
        <is>
          <t>Age27</t>
        </is>
      </c>
      <c r="AN66" s="7" t="inlineStr">
        <is>
          <t>Age28</t>
        </is>
      </c>
      <c r="AO66" s="7" t="inlineStr">
        <is>
          <t>Age29</t>
        </is>
      </c>
      <c r="AP66" s="7" t="inlineStr">
        <is>
          <t>Age30</t>
        </is>
      </c>
      <c r="AQ66" s="7" t="inlineStr">
        <is>
          <t>Age31</t>
        </is>
      </c>
      <c r="AR66" s="7" t="inlineStr">
        <is>
          <t>Age32</t>
        </is>
      </c>
      <c r="AS66" s="7" t="inlineStr">
        <is>
          <t>Age33</t>
        </is>
      </c>
      <c r="AT66" s="7" t="inlineStr">
        <is>
          <t>Age34</t>
        </is>
      </c>
      <c r="AU66" s="7" t="inlineStr">
        <is>
          <t>Age35</t>
        </is>
      </c>
      <c r="AV66" s="7" t="inlineStr">
        <is>
          <t>Age36</t>
        </is>
      </c>
      <c r="AW66" s="7" t="inlineStr">
        <is>
          <t>Age37</t>
        </is>
      </c>
      <c r="AX66" s="7" t="inlineStr">
        <is>
          <t>Age38</t>
        </is>
      </c>
      <c r="AY66" s="7" t="inlineStr">
        <is>
          <t>Age39</t>
        </is>
      </c>
      <c r="AZ66" s="7" t="inlineStr">
        <is>
          <t>Age40</t>
        </is>
      </c>
      <c r="BA66" s="7" t="inlineStr">
        <is>
          <t>Age41</t>
        </is>
      </c>
      <c r="BB66" s="7" t="inlineStr">
        <is>
          <t>Age42</t>
        </is>
      </c>
      <c r="BC66" s="7" t="inlineStr">
        <is>
          <t>Age43</t>
        </is>
      </c>
      <c r="BD66" s="7" t="inlineStr">
        <is>
          <t>Age44</t>
        </is>
      </c>
      <c r="BE66" s="7" t="inlineStr">
        <is>
          <t>Age45</t>
        </is>
      </c>
      <c r="BF66" s="7" t="inlineStr">
        <is>
          <t>Age46</t>
        </is>
      </c>
      <c r="BG66" s="7" t="inlineStr">
        <is>
          <t>Age47</t>
        </is>
      </c>
      <c r="BH66" s="7" t="inlineStr">
        <is>
          <t>Age48</t>
        </is>
      </c>
      <c r="BI66" s="7" t="inlineStr">
        <is>
          <t>Age49</t>
        </is>
      </c>
      <c r="BJ66" s="7" t="inlineStr">
        <is>
          <t>Age50</t>
        </is>
      </c>
      <c r="BK66" s="7" t="inlineStr">
        <is>
          <t>Age51</t>
        </is>
      </c>
      <c r="BL66" s="7" t="inlineStr">
        <is>
          <t>Age52+</t>
        </is>
      </c>
    </row>
    <row r="67">
      <c r="A67" s="55" t="n">
        <v>1</v>
      </c>
      <c r="B67" s="15">
        <f>IF(A67&gt;Inputs!$C$62,"",SUM(M67:BK67))</f>
        <v/>
      </c>
      <c r="C67" s="15">
        <f>IF(A67&gt;Inputs!$C$62,"",INDEX(Trajectory!$C$23:$C$2000,A67))</f>
        <v/>
      </c>
      <c r="D67" s="15">
        <f>IF(A67&gt;Inputs!$C$62,"",SUM(L67:BK67))</f>
        <v/>
      </c>
      <c r="E67" s="12">
        <f>IF(A67&gt;Inputs!$C$62,"",INDEX(Trajectory!$AG$23:$AG$2000,A67))</f>
        <v/>
      </c>
      <c r="F67" s="12">
        <f>IF(D67=0,0,SUMPRODUCT(L67:BK67,$B$11:$B$63)/D67)</f>
        <v/>
      </c>
      <c r="G67" s="12">
        <f>IF(D67=0,0,MIN(0.95,1-(1-F67)*(1-E67)))</f>
        <v/>
      </c>
      <c r="H67" s="15">
        <f>IF(D67=0,0,D67*G67)</f>
        <v/>
      </c>
      <c r="I67" s="15">
        <f>IF(D67=0,0,D67-H67)</f>
        <v/>
      </c>
      <c r="L67" s="15">
        <f>C67</f>
        <v/>
      </c>
      <c r="M67" s="15" t="n">
        <v>0</v>
      </c>
      <c r="N67" s="15" t="n">
        <v>0</v>
      </c>
      <c r="O67" s="15" t="n">
        <v>0</v>
      </c>
      <c r="P67" s="15" t="n">
        <v>0</v>
      </c>
      <c r="Q67" s="15" t="n">
        <v>0</v>
      </c>
      <c r="R67" s="15" t="n">
        <v>0</v>
      </c>
      <c r="S67" s="15" t="n">
        <v>0</v>
      </c>
      <c r="T67" s="15" t="n">
        <v>0</v>
      </c>
      <c r="U67" s="15" t="n">
        <v>0</v>
      </c>
      <c r="V67" s="15" t="n">
        <v>0</v>
      </c>
      <c r="W67" s="15" t="n">
        <v>0</v>
      </c>
      <c r="X67" s="15" t="n">
        <v>0</v>
      </c>
      <c r="Y67" s="15" t="n">
        <v>0</v>
      </c>
      <c r="Z67" s="15" t="n">
        <v>0</v>
      </c>
      <c r="AA67" s="15" t="n">
        <v>0</v>
      </c>
      <c r="AB67" s="15" t="n">
        <v>0</v>
      </c>
      <c r="AC67" s="15" t="n">
        <v>0</v>
      </c>
      <c r="AD67" s="15" t="n">
        <v>0</v>
      </c>
      <c r="AE67" s="15" t="n">
        <v>0</v>
      </c>
      <c r="AF67" s="15" t="n">
        <v>0</v>
      </c>
      <c r="AG67" s="15" t="n">
        <v>0</v>
      </c>
      <c r="AH67" s="15" t="n">
        <v>0</v>
      </c>
      <c r="AI67" s="15" t="n">
        <v>0</v>
      </c>
      <c r="AJ67" s="15" t="n">
        <v>0</v>
      </c>
      <c r="AK67" s="15" t="n">
        <v>0</v>
      </c>
      <c r="AL67" s="15" t="n">
        <v>0</v>
      </c>
      <c r="AM67" s="15" t="n">
        <v>0</v>
      </c>
      <c r="AN67" s="15" t="n">
        <v>0</v>
      </c>
      <c r="AO67" s="15" t="n">
        <v>0</v>
      </c>
      <c r="AP67" s="15" t="n">
        <v>0</v>
      </c>
      <c r="AQ67" s="15" t="n">
        <v>0</v>
      </c>
      <c r="AR67" s="15" t="n">
        <v>0</v>
      </c>
      <c r="AS67" s="15" t="n">
        <v>0</v>
      </c>
      <c r="AT67" s="15" t="n">
        <v>0</v>
      </c>
      <c r="AU67" s="15" t="n">
        <v>0</v>
      </c>
      <c r="AV67" s="15" t="n">
        <v>0</v>
      </c>
      <c r="AW67" s="15" t="n">
        <v>0</v>
      </c>
      <c r="AX67" s="15" t="n">
        <v>0</v>
      </c>
      <c r="AY67" s="15" t="n">
        <v>0</v>
      </c>
      <c r="AZ67" s="15" t="n">
        <v>0</v>
      </c>
      <c r="BA67" s="15" t="n">
        <v>0</v>
      </c>
      <c r="BB67" s="15" t="n">
        <v>0</v>
      </c>
      <c r="BC67" s="15" t="n">
        <v>0</v>
      </c>
      <c r="BD67" s="15" t="n">
        <v>0</v>
      </c>
      <c r="BE67" s="15" t="n">
        <v>0</v>
      </c>
      <c r="BF67" s="15" t="n">
        <v>0</v>
      </c>
      <c r="BG67" s="15" t="n">
        <v>0</v>
      </c>
      <c r="BH67" s="15" t="n">
        <v>0</v>
      </c>
      <c r="BI67" s="15" t="n">
        <v>0</v>
      </c>
      <c r="BJ67" s="15" t="n">
        <v>0</v>
      </c>
      <c r="BK67" s="15" t="n">
        <v>0</v>
      </c>
      <c r="BL67" s="15">
        <f>Inputs!$C$63</f>
        <v/>
      </c>
    </row>
    <row r="68">
      <c r="A68" s="55" t="n">
        <v>2</v>
      </c>
      <c r="B68" s="15">
        <f>IF(A68&gt;Inputs!$C$62,"",SUM(M68:BK68))</f>
        <v/>
      </c>
      <c r="C68" s="15">
        <f>IF(A68&gt;Inputs!$C$62,"",INDEX(Trajectory!$C$23:$C$2000,A68))</f>
        <v/>
      </c>
      <c r="D68" s="15">
        <f>IF(A68&gt;Inputs!$C$62,"",SUM(L68:BK68))</f>
        <v/>
      </c>
      <c r="E68" s="12">
        <f>IF(A68&gt;Inputs!$C$62,"",INDEX(Trajectory!$AG$23:$AG$2000,A68))</f>
        <v/>
      </c>
      <c r="F68" s="12">
        <f>IF(D68=0,0,SUMPRODUCT(L68:BK68,$B$11:$B$63)/D68)</f>
        <v/>
      </c>
      <c r="G68" s="12">
        <f>IF(D68=0,0,MIN(0.95,1-(1-F68)*(1-E68)))</f>
        <v/>
      </c>
      <c r="H68" s="15">
        <f>IF(D68=0,0,D68*G68)</f>
        <v/>
      </c>
      <c r="I68" s="15">
        <f>IF(D68=0,0,D68-H68)</f>
        <v/>
      </c>
      <c r="L68" s="15">
        <f>C68</f>
        <v/>
      </c>
      <c r="M68" s="15">
        <f>MAX(0,L67*(1-INDEX($B$11:$B$63,1))*(1-E67))</f>
        <v/>
      </c>
      <c r="N68" s="15">
        <f>MAX(0,M67*(1-INDEX($B$11:$B$63,2))*(1-E67))</f>
        <v/>
      </c>
      <c r="O68" s="15">
        <f>MAX(0,N67*(1-INDEX($B$11:$B$63,3))*(1-E67))</f>
        <v/>
      </c>
      <c r="P68" s="15">
        <f>MAX(0,O67*(1-INDEX($B$11:$B$63,4))*(1-E67))</f>
        <v/>
      </c>
      <c r="Q68" s="15">
        <f>MAX(0,P67*(1-INDEX($B$11:$B$63,5))*(1-E67))</f>
        <v/>
      </c>
      <c r="R68" s="15">
        <f>MAX(0,Q67*(1-INDEX($B$11:$B$63,6))*(1-E67))</f>
        <v/>
      </c>
      <c r="S68" s="15">
        <f>MAX(0,R67*(1-INDEX($B$11:$B$63,7))*(1-E67))</f>
        <v/>
      </c>
      <c r="T68" s="15">
        <f>MAX(0,S67*(1-INDEX($B$11:$B$63,8))*(1-E67))</f>
        <v/>
      </c>
      <c r="U68" s="15">
        <f>MAX(0,T67*(1-INDEX($B$11:$B$63,9))*(1-E67))</f>
        <v/>
      </c>
      <c r="V68" s="15">
        <f>MAX(0,U67*(1-INDEX($B$11:$B$63,10))*(1-E67))</f>
        <v/>
      </c>
      <c r="W68" s="15">
        <f>MAX(0,V67*(1-INDEX($B$11:$B$63,11))*(1-E67))</f>
        <v/>
      </c>
      <c r="X68" s="15">
        <f>MAX(0,W67*(1-INDEX($B$11:$B$63,12))*(1-E67))</f>
        <v/>
      </c>
      <c r="Y68" s="15">
        <f>MAX(0,X67*(1-INDEX($B$11:$B$63,13))*(1-E67))</f>
        <v/>
      </c>
      <c r="Z68" s="15">
        <f>MAX(0,Y67*(1-INDEX($B$11:$B$63,14))*(1-E67))</f>
        <v/>
      </c>
      <c r="AA68" s="15">
        <f>MAX(0,Z67*(1-INDEX($B$11:$B$63,15))*(1-E67))</f>
        <v/>
      </c>
      <c r="AB68" s="15">
        <f>MAX(0,AA67*(1-INDEX($B$11:$B$63,16))*(1-E67))</f>
        <v/>
      </c>
      <c r="AC68" s="15">
        <f>MAX(0,AB67*(1-INDEX($B$11:$B$63,17))*(1-E67))</f>
        <v/>
      </c>
      <c r="AD68" s="15">
        <f>MAX(0,AC67*(1-INDEX($B$11:$B$63,18))*(1-E67))</f>
        <v/>
      </c>
      <c r="AE68" s="15">
        <f>MAX(0,AD67*(1-INDEX($B$11:$B$63,19))*(1-E67))</f>
        <v/>
      </c>
      <c r="AF68" s="15">
        <f>MAX(0,AE67*(1-INDEX($B$11:$B$63,20))*(1-E67))</f>
        <v/>
      </c>
      <c r="AG68" s="15">
        <f>MAX(0,AF67*(1-INDEX($B$11:$B$63,21))*(1-E67))</f>
        <v/>
      </c>
      <c r="AH68" s="15">
        <f>MAX(0,AG67*(1-INDEX($B$11:$B$63,22))*(1-E67))</f>
        <v/>
      </c>
      <c r="AI68" s="15">
        <f>MAX(0,AH67*(1-INDEX($B$11:$B$63,23))*(1-E67))</f>
        <v/>
      </c>
      <c r="AJ68" s="15">
        <f>MAX(0,AI67*(1-INDEX($B$11:$B$63,24))*(1-E67))</f>
        <v/>
      </c>
      <c r="AK68" s="15">
        <f>MAX(0,AJ67*(1-INDEX($B$11:$B$63,25))*(1-E67))</f>
        <v/>
      </c>
      <c r="AL68" s="15">
        <f>MAX(0,AK67*(1-INDEX($B$11:$B$63,26))*(1-E67))</f>
        <v/>
      </c>
      <c r="AM68" s="15">
        <f>MAX(0,AL67*(1-INDEX($B$11:$B$63,27))*(1-E67))</f>
        <v/>
      </c>
      <c r="AN68" s="15">
        <f>MAX(0,AM67*(1-INDEX($B$11:$B$63,28))*(1-E67))</f>
        <v/>
      </c>
      <c r="AO68" s="15">
        <f>MAX(0,AN67*(1-INDEX($B$11:$B$63,29))*(1-E67))</f>
        <v/>
      </c>
      <c r="AP68" s="15">
        <f>MAX(0,AO67*(1-INDEX($B$11:$B$63,30))*(1-E67))</f>
        <v/>
      </c>
      <c r="AQ68" s="15">
        <f>MAX(0,AP67*(1-INDEX($B$11:$B$63,31))*(1-E67))</f>
        <v/>
      </c>
      <c r="AR68" s="15">
        <f>MAX(0,AQ67*(1-INDEX($B$11:$B$63,32))*(1-E67))</f>
        <v/>
      </c>
      <c r="AS68" s="15">
        <f>MAX(0,AR67*(1-INDEX($B$11:$B$63,33))*(1-E67))</f>
        <v/>
      </c>
      <c r="AT68" s="15">
        <f>MAX(0,AS67*(1-INDEX($B$11:$B$63,34))*(1-E67))</f>
        <v/>
      </c>
      <c r="AU68" s="15">
        <f>MAX(0,AT67*(1-INDEX($B$11:$B$63,35))*(1-E67))</f>
        <v/>
      </c>
      <c r="AV68" s="15">
        <f>MAX(0,AU67*(1-INDEX($B$11:$B$63,36))*(1-E67))</f>
        <v/>
      </c>
      <c r="AW68" s="15">
        <f>MAX(0,AV67*(1-INDEX($B$11:$B$63,37))*(1-E67))</f>
        <v/>
      </c>
      <c r="AX68" s="15">
        <f>MAX(0,AW67*(1-INDEX($B$11:$B$63,38))*(1-E67))</f>
        <v/>
      </c>
      <c r="AY68" s="15">
        <f>MAX(0,AX67*(1-INDEX($B$11:$B$63,39))*(1-E67))</f>
        <v/>
      </c>
      <c r="AZ68" s="15">
        <f>MAX(0,AY67*(1-INDEX($B$11:$B$63,40))*(1-E67))</f>
        <v/>
      </c>
      <c r="BA68" s="15">
        <f>MAX(0,AZ67*(1-INDEX($B$11:$B$63,41))*(1-E67))</f>
        <v/>
      </c>
      <c r="BB68" s="15">
        <f>MAX(0,BA67*(1-INDEX($B$11:$B$63,42))*(1-E67))</f>
        <v/>
      </c>
      <c r="BC68" s="15">
        <f>MAX(0,BB67*(1-INDEX($B$11:$B$63,43))*(1-E67))</f>
        <v/>
      </c>
      <c r="BD68" s="15">
        <f>MAX(0,BC67*(1-INDEX($B$11:$B$63,44))*(1-E67))</f>
        <v/>
      </c>
      <c r="BE68" s="15">
        <f>MAX(0,BD67*(1-INDEX($B$11:$B$63,45))*(1-E67))</f>
        <v/>
      </c>
      <c r="BF68" s="15">
        <f>MAX(0,BE67*(1-INDEX($B$11:$B$63,46))*(1-E67))</f>
        <v/>
      </c>
      <c r="BG68" s="15">
        <f>MAX(0,BF67*(1-INDEX($B$11:$B$63,47))*(1-E67))</f>
        <v/>
      </c>
      <c r="BH68" s="15">
        <f>MAX(0,BG67*(1-INDEX($B$11:$B$63,48))*(1-E67))</f>
        <v/>
      </c>
      <c r="BI68" s="15">
        <f>MAX(0,BH67*(1-INDEX($B$11:$B$63,49))*(1-E67))</f>
        <v/>
      </c>
      <c r="BJ68" s="15">
        <f>MAX(0,BI67*(1-INDEX($B$11:$B$63,50))*(1-E67))</f>
        <v/>
      </c>
      <c r="BK68" s="15">
        <f>MAX(0,BJ67*(1-INDEX($B$11:$B$63,51))*(1-E67))</f>
        <v/>
      </c>
      <c r="BL68" s="15">
        <f>MAX(0,(BL67+BK67)*(1-INDEX($B$11:$B$63,53))*(1-E67))</f>
        <v/>
      </c>
    </row>
    <row r="69">
      <c r="A69" s="55" t="n">
        <v>3</v>
      </c>
      <c r="B69" s="15">
        <f>IF(A69&gt;Inputs!$C$62,"",SUM(M69:BK69))</f>
        <v/>
      </c>
      <c r="C69" s="15">
        <f>IF(A69&gt;Inputs!$C$62,"",INDEX(Trajectory!$C$23:$C$2000,A69))</f>
        <v/>
      </c>
      <c r="D69" s="15">
        <f>IF(A69&gt;Inputs!$C$62,"",SUM(L69:BK69))</f>
        <v/>
      </c>
      <c r="E69" s="12">
        <f>IF(A69&gt;Inputs!$C$62,"",INDEX(Trajectory!$AG$23:$AG$2000,A69))</f>
        <v/>
      </c>
      <c r="F69" s="12">
        <f>IF(D69=0,0,SUMPRODUCT(L69:BK69,$B$11:$B$63)/D69)</f>
        <v/>
      </c>
      <c r="G69" s="12">
        <f>IF(D69=0,0,MIN(0.95,1-(1-F69)*(1-E69)))</f>
        <v/>
      </c>
      <c r="H69" s="15">
        <f>IF(D69=0,0,D69*G69)</f>
        <v/>
      </c>
      <c r="I69" s="15">
        <f>IF(D69=0,0,D69-H69)</f>
        <v/>
      </c>
      <c r="L69" s="15">
        <f>C69</f>
        <v/>
      </c>
      <c r="M69" s="15">
        <f>MAX(0,L68*(1-INDEX($B$11:$B$63,1))*(1-E68))</f>
        <v/>
      </c>
      <c r="N69" s="15">
        <f>MAX(0,M68*(1-INDEX($B$11:$B$63,2))*(1-E68))</f>
        <v/>
      </c>
      <c r="O69" s="15">
        <f>MAX(0,N68*(1-INDEX($B$11:$B$63,3))*(1-E68))</f>
        <v/>
      </c>
      <c r="P69" s="15">
        <f>MAX(0,O68*(1-INDEX($B$11:$B$63,4))*(1-E68))</f>
        <v/>
      </c>
      <c r="Q69" s="15">
        <f>MAX(0,P68*(1-INDEX($B$11:$B$63,5))*(1-E68))</f>
        <v/>
      </c>
      <c r="R69" s="15">
        <f>MAX(0,Q68*(1-INDEX($B$11:$B$63,6))*(1-E68))</f>
        <v/>
      </c>
      <c r="S69" s="15">
        <f>MAX(0,R68*(1-INDEX($B$11:$B$63,7))*(1-E68))</f>
        <v/>
      </c>
      <c r="T69" s="15">
        <f>MAX(0,S68*(1-INDEX($B$11:$B$63,8))*(1-E68))</f>
        <v/>
      </c>
      <c r="U69" s="15">
        <f>MAX(0,T68*(1-INDEX($B$11:$B$63,9))*(1-E68))</f>
        <v/>
      </c>
      <c r="V69" s="15">
        <f>MAX(0,U68*(1-INDEX($B$11:$B$63,10))*(1-E68))</f>
        <v/>
      </c>
      <c r="W69" s="15">
        <f>MAX(0,V68*(1-INDEX($B$11:$B$63,11))*(1-E68))</f>
        <v/>
      </c>
      <c r="X69" s="15">
        <f>MAX(0,W68*(1-INDEX($B$11:$B$63,12))*(1-E68))</f>
        <v/>
      </c>
      <c r="Y69" s="15">
        <f>MAX(0,X68*(1-INDEX($B$11:$B$63,13))*(1-E68))</f>
        <v/>
      </c>
      <c r="Z69" s="15">
        <f>MAX(0,Y68*(1-INDEX($B$11:$B$63,14))*(1-E68))</f>
        <v/>
      </c>
      <c r="AA69" s="15">
        <f>MAX(0,Z68*(1-INDEX($B$11:$B$63,15))*(1-E68))</f>
        <v/>
      </c>
      <c r="AB69" s="15">
        <f>MAX(0,AA68*(1-INDEX($B$11:$B$63,16))*(1-E68))</f>
        <v/>
      </c>
      <c r="AC69" s="15">
        <f>MAX(0,AB68*(1-INDEX($B$11:$B$63,17))*(1-E68))</f>
        <v/>
      </c>
      <c r="AD69" s="15">
        <f>MAX(0,AC68*(1-INDEX($B$11:$B$63,18))*(1-E68))</f>
        <v/>
      </c>
      <c r="AE69" s="15">
        <f>MAX(0,AD68*(1-INDEX($B$11:$B$63,19))*(1-E68))</f>
        <v/>
      </c>
      <c r="AF69" s="15">
        <f>MAX(0,AE68*(1-INDEX($B$11:$B$63,20))*(1-E68))</f>
        <v/>
      </c>
      <c r="AG69" s="15">
        <f>MAX(0,AF68*(1-INDEX($B$11:$B$63,21))*(1-E68))</f>
        <v/>
      </c>
      <c r="AH69" s="15">
        <f>MAX(0,AG68*(1-INDEX($B$11:$B$63,22))*(1-E68))</f>
        <v/>
      </c>
      <c r="AI69" s="15">
        <f>MAX(0,AH68*(1-INDEX($B$11:$B$63,23))*(1-E68))</f>
        <v/>
      </c>
      <c r="AJ69" s="15">
        <f>MAX(0,AI68*(1-INDEX($B$11:$B$63,24))*(1-E68))</f>
        <v/>
      </c>
      <c r="AK69" s="15">
        <f>MAX(0,AJ68*(1-INDEX($B$11:$B$63,25))*(1-E68))</f>
        <v/>
      </c>
      <c r="AL69" s="15">
        <f>MAX(0,AK68*(1-INDEX($B$11:$B$63,26))*(1-E68))</f>
        <v/>
      </c>
      <c r="AM69" s="15">
        <f>MAX(0,AL68*(1-INDEX($B$11:$B$63,27))*(1-E68))</f>
        <v/>
      </c>
      <c r="AN69" s="15">
        <f>MAX(0,AM68*(1-INDEX($B$11:$B$63,28))*(1-E68))</f>
        <v/>
      </c>
      <c r="AO69" s="15">
        <f>MAX(0,AN68*(1-INDEX($B$11:$B$63,29))*(1-E68))</f>
        <v/>
      </c>
      <c r="AP69" s="15">
        <f>MAX(0,AO68*(1-INDEX($B$11:$B$63,30))*(1-E68))</f>
        <v/>
      </c>
      <c r="AQ69" s="15">
        <f>MAX(0,AP68*(1-INDEX($B$11:$B$63,31))*(1-E68))</f>
        <v/>
      </c>
      <c r="AR69" s="15">
        <f>MAX(0,AQ68*(1-INDEX($B$11:$B$63,32))*(1-E68))</f>
        <v/>
      </c>
      <c r="AS69" s="15">
        <f>MAX(0,AR68*(1-INDEX($B$11:$B$63,33))*(1-E68))</f>
        <v/>
      </c>
      <c r="AT69" s="15">
        <f>MAX(0,AS68*(1-INDEX($B$11:$B$63,34))*(1-E68))</f>
        <v/>
      </c>
      <c r="AU69" s="15">
        <f>MAX(0,AT68*(1-INDEX($B$11:$B$63,35))*(1-E68))</f>
        <v/>
      </c>
      <c r="AV69" s="15">
        <f>MAX(0,AU68*(1-INDEX($B$11:$B$63,36))*(1-E68))</f>
        <v/>
      </c>
      <c r="AW69" s="15">
        <f>MAX(0,AV68*(1-INDEX($B$11:$B$63,37))*(1-E68))</f>
        <v/>
      </c>
      <c r="AX69" s="15">
        <f>MAX(0,AW68*(1-INDEX($B$11:$B$63,38))*(1-E68))</f>
        <v/>
      </c>
      <c r="AY69" s="15">
        <f>MAX(0,AX68*(1-INDEX($B$11:$B$63,39))*(1-E68))</f>
        <v/>
      </c>
      <c r="AZ69" s="15">
        <f>MAX(0,AY68*(1-INDEX($B$11:$B$63,40))*(1-E68))</f>
        <v/>
      </c>
      <c r="BA69" s="15">
        <f>MAX(0,AZ68*(1-INDEX($B$11:$B$63,41))*(1-E68))</f>
        <v/>
      </c>
      <c r="BB69" s="15">
        <f>MAX(0,BA68*(1-INDEX($B$11:$B$63,42))*(1-E68))</f>
        <v/>
      </c>
      <c r="BC69" s="15">
        <f>MAX(0,BB68*(1-INDEX($B$11:$B$63,43))*(1-E68))</f>
        <v/>
      </c>
      <c r="BD69" s="15">
        <f>MAX(0,BC68*(1-INDEX($B$11:$B$63,44))*(1-E68))</f>
        <v/>
      </c>
      <c r="BE69" s="15">
        <f>MAX(0,BD68*(1-INDEX($B$11:$B$63,45))*(1-E68))</f>
        <v/>
      </c>
      <c r="BF69" s="15">
        <f>MAX(0,BE68*(1-INDEX($B$11:$B$63,46))*(1-E68))</f>
        <v/>
      </c>
      <c r="BG69" s="15">
        <f>MAX(0,BF68*(1-INDEX($B$11:$B$63,47))*(1-E68))</f>
        <v/>
      </c>
      <c r="BH69" s="15">
        <f>MAX(0,BG68*(1-INDEX($B$11:$B$63,48))*(1-E68))</f>
        <v/>
      </c>
      <c r="BI69" s="15">
        <f>MAX(0,BH68*(1-INDEX($B$11:$B$63,49))*(1-E68))</f>
        <v/>
      </c>
      <c r="BJ69" s="15">
        <f>MAX(0,BI68*(1-INDEX($B$11:$B$63,50))*(1-E68))</f>
        <v/>
      </c>
      <c r="BK69" s="15">
        <f>MAX(0,BJ68*(1-INDEX($B$11:$B$63,51))*(1-E68))</f>
        <v/>
      </c>
      <c r="BL69" s="15">
        <f>MAX(0,(BL68+BK68)*(1-INDEX($B$11:$B$63,53))*(1-E68))</f>
        <v/>
      </c>
    </row>
    <row r="70">
      <c r="A70" s="55" t="n">
        <v>4</v>
      </c>
      <c r="B70" s="15">
        <f>IF(A70&gt;Inputs!$C$62,"",SUM(M70:BK70))</f>
        <v/>
      </c>
      <c r="C70" s="15">
        <f>IF(A70&gt;Inputs!$C$62,"",INDEX(Trajectory!$C$23:$C$2000,A70))</f>
        <v/>
      </c>
      <c r="D70" s="15">
        <f>IF(A70&gt;Inputs!$C$62,"",SUM(L70:BK70))</f>
        <v/>
      </c>
      <c r="E70" s="12">
        <f>IF(A70&gt;Inputs!$C$62,"",INDEX(Trajectory!$AG$23:$AG$2000,A70))</f>
        <v/>
      </c>
      <c r="F70" s="12">
        <f>IF(D70=0,0,SUMPRODUCT(L70:BK70,$B$11:$B$63)/D70)</f>
        <v/>
      </c>
      <c r="G70" s="12">
        <f>IF(D70=0,0,MIN(0.95,1-(1-F70)*(1-E70)))</f>
        <v/>
      </c>
      <c r="H70" s="15">
        <f>IF(D70=0,0,D70*G70)</f>
        <v/>
      </c>
      <c r="I70" s="15">
        <f>IF(D70=0,0,D70-H70)</f>
        <v/>
      </c>
      <c r="L70" s="15">
        <f>C70</f>
        <v/>
      </c>
      <c r="M70" s="15">
        <f>MAX(0,L69*(1-INDEX($B$11:$B$63,1))*(1-E69))</f>
        <v/>
      </c>
      <c r="N70" s="15">
        <f>MAX(0,M69*(1-INDEX($B$11:$B$63,2))*(1-E69))</f>
        <v/>
      </c>
      <c r="O70" s="15">
        <f>MAX(0,N69*(1-INDEX($B$11:$B$63,3))*(1-E69))</f>
        <v/>
      </c>
      <c r="P70" s="15">
        <f>MAX(0,O69*(1-INDEX($B$11:$B$63,4))*(1-E69))</f>
        <v/>
      </c>
      <c r="Q70" s="15">
        <f>MAX(0,P69*(1-INDEX($B$11:$B$63,5))*(1-E69))</f>
        <v/>
      </c>
      <c r="R70" s="15">
        <f>MAX(0,Q69*(1-INDEX($B$11:$B$63,6))*(1-E69))</f>
        <v/>
      </c>
      <c r="S70" s="15">
        <f>MAX(0,R69*(1-INDEX($B$11:$B$63,7))*(1-E69))</f>
        <v/>
      </c>
      <c r="T70" s="15">
        <f>MAX(0,S69*(1-INDEX($B$11:$B$63,8))*(1-E69))</f>
        <v/>
      </c>
      <c r="U70" s="15">
        <f>MAX(0,T69*(1-INDEX($B$11:$B$63,9))*(1-E69))</f>
        <v/>
      </c>
      <c r="V70" s="15">
        <f>MAX(0,U69*(1-INDEX($B$11:$B$63,10))*(1-E69))</f>
        <v/>
      </c>
      <c r="W70" s="15">
        <f>MAX(0,V69*(1-INDEX($B$11:$B$63,11))*(1-E69))</f>
        <v/>
      </c>
      <c r="X70" s="15">
        <f>MAX(0,W69*(1-INDEX($B$11:$B$63,12))*(1-E69))</f>
        <v/>
      </c>
      <c r="Y70" s="15">
        <f>MAX(0,X69*(1-INDEX($B$11:$B$63,13))*(1-E69))</f>
        <v/>
      </c>
      <c r="Z70" s="15">
        <f>MAX(0,Y69*(1-INDEX($B$11:$B$63,14))*(1-E69))</f>
        <v/>
      </c>
      <c r="AA70" s="15">
        <f>MAX(0,Z69*(1-INDEX($B$11:$B$63,15))*(1-E69))</f>
        <v/>
      </c>
      <c r="AB70" s="15">
        <f>MAX(0,AA69*(1-INDEX($B$11:$B$63,16))*(1-E69))</f>
        <v/>
      </c>
      <c r="AC70" s="15">
        <f>MAX(0,AB69*(1-INDEX($B$11:$B$63,17))*(1-E69))</f>
        <v/>
      </c>
      <c r="AD70" s="15">
        <f>MAX(0,AC69*(1-INDEX($B$11:$B$63,18))*(1-E69))</f>
        <v/>
      </c>
      <c r="AE70" s="15">
        <f>MAX(0,AD69*(1-INDEX($B$11:$B$63,19))*(1-E69))</f>
        <v/>
      </c>
      <c r="AF70" s="15">
        <f>MAX(0,AE69*(1-INDEX($B$11:$B$63,20))*(1-E69))</f>
        <v/>
      </c>
      <c r="AG70" s="15">
        <f>MAX(0,AF69*(1-INDEX($B$11:$B$63,21))*(1-E69))</f>
        <v/>
      </c>
      <c r="AH70" s="15">
        <f>MAX(0,AG69*(1-INDEX($B$11:$B$63,22))*(1-E69))</f>
        <v/>
      </c>
      <c r="AI70" s="15">
        <f>MAX(0,AH69*(1-INDEX($B$11:$B$63,23))*(1-E69))</f>
        <v/>
      </c>
      <c r="AJ70" s="15">
        <f>MAX(0,AI69*(1-INDEX($B$11:$B$63,24))*(1-E69))</f>
        <v/>
      </c>
      <c r="AK70" s="15">
        <f>MAX(0,AJ69*(1-INDEX($B$11:$B$63,25))*(1-E69))</f>
        <v/>
      </c>
      <c r="AL70" s="15">
        <f>MAX(0,AK69*(1-INDEX($B$11:$B$63,26))*(1-E69))</f>
        <v/>
      </c>
      <c r="AM70" s="15">
        <f>MAX(0,AL69*(1-INDEX($B$11:$B$63,27))*(1-E69))</f>
        <v/>
      </c>
      <c r="AN70" s="15">
        <f>MAX(0,AM69*(1-INDEX($B$11:$B$63,28))*(1-E69))</f>
        <v/>
      </c>
      <c r="AO70" s="15">
        <f>MAX(0,AN69*(1-INDEX($B$11:$B$63,29))*(1-E69))</f>
        <v/>
      </c>
      <c r="AP70" s="15">
        <f>MAX(0,AO69*(1-INDEX($B$11:$B$63,30))*(1-E69))</f>
        <v/>
      </c>
      <c r="AQ70" s="15">
        <f>MAX(0,AP69*(1-INDEX($B$11:$B$63,31))*(1-E69))</f>
        <v/>
      </c>
      <c r="AR70" s="15">
        <f>MAX(0,AQ69*(1-INDEX($B$11:$B$63,32))*(1-E69))</f>
        <v/>
      </c>
      <c r="AS70" s="15">
        <f>MAX(0,AR69*(1-INDEX($B$11:$B$63,33))*(1-E69))</f>
        <v/>
      </c>
      <c r="AT70" s="15">
        <f>MAX(0,AS69*(1-INDEX($B$11:$B$63,34))*(1-E69))</f>
        <v/>
      </c>
      <c r="AU70" s="15">
        <f>MAX(0,AT69*(1-INDEX($B$11:$B$63,35))*(1-E69))</f>
        <v/>
      </c>
      <c r="AV70" s="15">
        <f>MAX(0,AU69*(1-INDEX($B$11:$B$63,36))*(1-E69))</f>
        <v/>
      </c>
      <c r="AW70" s="15">
        <f>MAX(0,AV69*(1-INDEX($B$11:$B$63,37))*(1-E69))</f>
        <v/>
      </c>
      <c r="AX70" s="15">
        <f>MAX(0,AW69*(1-INDEX($B$11:$B$63,38))*(1-E69))</f>
        <v/>
      </c>
      <c r="AY70" s="15">
        <f>MAX(0,AX69*(1-INDEX($B$11:$B$63,39))*(1-E69))</f>
        <v/>
      </c>
      <c r="AZ70" s="15">
        <f>MAX(0,AY69*(1-INDEX($B$11:$B$63,40))*(1-E69))</f>
        <v/>
      </c>
      <c r="BA70" s="15">
        <f>MAX(0,AZ69*(1-INDEX($B$11:$B$63,41))*(1-E69))</f>
        <v/>
      </c>
      <c r="BB70" s="15">
        <f>MAX(0,BA69*(1-INDEX($B$11:$B$63,42))*(1-E69))</f>
        <v/>
      </c>
      <c r="BC70" s="15">
        <f>MAX(0,BB69*(1-INDEX($B$11:$B$63,43))*(1-E69))</f>
        <v/>
      </c>
      <c r="BD70" s="15">
        <f>MAX(0,BC69*(1-INDEX($B$11:$B$63,44))*(1-E69))</f>
        <v/>
      </c>
      <c r="BE70" s="15">
        <f>MAX(0,BD69*(1-INDEX($B$11:$B$63,45))*(1-E69))</f>
        <v/>
      </c>
      <c r="BF70" s="15">
        <f>MAX(0,BE69*(1-INDEX($B$11:$B$63,46))*(1-E69))</f>
        <v/>
      </c>
      <c r="BG70" s="15">
        <f>MAX(0,BF69*(1-INDEX($B$11:$B$63,47))*(1-E69))</f>
        <v/>
      </c>
      <c r="BH70" s="15">
        <f>MAX(0,BG69*(1-INDEX($B$11:$B$63,48))*(1-E69))</f>
        <v/>
      </c>
      <c r="BI70" s="15">
        <f>MAX(0,BH69*(1-INDEX($B$11:$B$63,49))*(1-E69))</f>
        <v/>
      </c>
      <c r="BJ70" s="15">
        <f>MAX(0,BI69*(1-INDEX($B$11:$B$63,50))*(1-E69))</f>
        <v/>
      </c>
      <c r="BK70" s="15">
        <f>MAX(0,BJ69*(1-INDEX($B$11:$B$63,51))*(1-E69))</f>
        <v/>
      </c>
      <c r="BL70" s="15">
        <f>MAX(0,(BL69+BK69)*(1-INDEX($B$11:$B$63,53))*(1-E69))</f>
        <v/>
      </c>
    </row>
    <row r="71">
      <c r="A71" s="55" t="n">
        <v>5</v>
      </c>
      <c r="B71" s="15">
        <f>IF(A71&gt;Inputs!$C$62,"",SUM(M71:BK71))</f>
        <v/>
      </c>
      <c r="C71" s="15">
        <f>IF(A71&gt;Inputs!$C$62,"",INDEX(Trajectory!$C$23:$C$2000,A71))</f>
        <v/>
      </c>
      <c r="D71" s="15">
        <f>IF(A71&gt;Inputs!$C$62,"",SUM(L71:BK71))</f>
        <v/>
      </c>
      <c r="E71" s="12">
        <f>IF(A71&gt;Inputs!$C$62,"",INDEX(Trajectory!$AG$23:$AG$2000,A71))</f>
        <v/>
      </c>
      <c r="F71" s="12">
        <f>IF(D71=0,0,SUMPRODUCT(L71:BK71,$B$11:$B$63)/D71)</f>
        <v/>
      </c>
      <c r="G71" s="12">
        <f>IF(D71=0,0,MIN(0.95,1-(1-F71)*(1-E71)))</f>
        <v/>
      </c>
      <c r="H71" s="15">
        <f>IF(D71=0,0,D71*G71)</f>
        <v/>
      </c>
      <c r="I71" s="15">
        <f>IF(D71=0,0,D71-H71)</f>
        <v/>
      </c>
      <c r="L71" s="15">
        <f>C71</f>
        <v/>
      </c>
      <c r="M71" s="15">
        <f>MAX(0,L70*(1-INDEX($B$11:$B$63,1))*(1-E70))</f>
        <v/>
      </c>
      <c r="N71" s="15">
        <f>MAX(0,M70*(1-INDEX($B$11:$B$63,2))*(1-E70))</f>
        <v/>
      </c>
      <c r="O71" s="15">
        <f>MAX(0,N70*(1-INDEX($B$11:$B$63,3))*(1-E70))</f>
        <v/>
      </c>
      <c r="P71" s="15">
        <f>MAX(0,O70*(1-INDEX($B$11:$B$63,4))*(1-E70))</f>
        <v/>
      </c>
      <c r="Q71" s="15">
        <f>MAX(0,P70*(1-INDEX($B$11:$B$63,5))*(1-E70))</f>
        <v/>
      </c>
      <c r="R71" s="15">
        <f>MAX(0,Q70*(1-INDEX($B$11:$B$63,6))*(1-E70))</f>
        <v/>
      </c>
      <c r="S71" s="15">
        <f>MAX(0,R70*(1-INDEX($B$11:$B$63,7))*(1-E70))</f>
        <v/>
      </c>
      <c r="T71" s="15">
        <f>MAX(0,S70*(1-INDEX($B$11:$B$63,8))*(1-E70))</f>
        <v/>
      </c>
      <c r="U71" s="15">
        <f>MAX(0,T70*(1-INDEX($B$11:$B$63,9))*(1-E70))</f>
        <v/>
      </c>
      <c r="V71" s="15">
        <f>MAX(0,U70*(1-INDEX($B$11:$B$63,10))*(1-E70))</f>
        <v/>
      </c>
      <c r="W71" s="15">
        <f>MAX(0,V70*(1-INDEX($B$11:$B$63,11))*(1-E70))</f>
        <v/>
      </c>
      <c r="X71" s="15">
        <f>MAX(0,W70*(1-INDEX($B$11:$B$63,12))*(1-E70))</f>
        <v/>
      </c>
      <c r="Y71" s="15">
        <f>MAX(0,X70*(1-INDEX($B$11:$B$63,13))*(1-E70))</f>
        <v/>
      </c>
      <c r="Z71" s="15">
        <f>MAX(0,Y70*(1-INDEX($B$11:$B$63,14))*(1-E70))</f>
        <v/>
      </c>
      <c r="AA71" s="15">
        <f>MAX(0,Z70*(1-INDEX($B$11:$B$63,15))*(1-E70))</f>
        <v/>
      </c>
      <c r="AB71" s="15">
        <f>MAX(0,AA70*(1-INDEX($B$11:$B$63,16))*(1-E70))</f>
        <v/>
      </c>
      <c r="AC71" s="15">
        <f>MAX(0,AB70*(1-INDEX($B$11:$B$63,17))*(1-E70))</f>
        <v/>
      </c>
      <c r="AD71" s="15">
        <f>MAX(0,AC70*(1-INDEX($B$11:$B$63,18))*(1-E70))</f>
        <v/>
      </c>
      <c r="AE71" s="15">
        <f>MAX(0,AD70*(1-INDEX($B$11:$B$63,19))*(1-E70))</f>
        <v/>
      </c>
      <c r="AF71" s="15">
        <f>MAX(0,AE70*(1-INDEX($B$11:$B$63,20))*(1-E70))</f>
        <v/>
      </c>
      <c r="AG71" s="15">
        <f>MAX(0,AF70*(1-INDEX($B$11:$B$63,21))*(1-E70))</f>
        <v/>
      </c>
      <c r="AH71" s="15">
        <f>MAX(0,AG70*(1-INDEX($B$11:$B$63,22))*(1-E70))</f>
        <v/>
      </c>
      <c r="AI71" s="15">
        <f>MAX(0,AH70*(1-INDEX($B$11:$B$63,23))*(1-E70))</f>
        <v/>
      </c>
      <c r="AJ71" s="15">
        <f>MAX(0,AI70*(1-INDEX($B$11:$B$63,24))*(1-E70))</f>
        <v/>
      </c>
      <c r="AK71" s="15">
        <f>MAX(0,AJ70*(1-INDEX($B$11:$B$63,25))*(1-E70))</f>
        <v/>
      </c>
      <c r="AL71" s="15">
        <f>MAX(0,AK70*(1-INDEX($B$11:$B$63,26))*(1-E70))</f>
        <v/>
      </c>
      <c r="AM71" s="15">
        <f>MAX(0,AL70*(1-INDEX($B$11:$B$63,27))*(1-E70))</f>
        <v/>
      </c>
      <c r="AN71" s="15">
        <f>MAX(0,AM70*(1-INDEX($B$11:$B$63,28))*(1-E70))</f>
        <v/>
      </c>
      <c r="AO71" s="15">
        <f>MAX(0,AN70*(1-INDEX($B$11:$B$63,29))*(1-E70))</f>
        <v/>
      </c>
      <c r="AP71" s="15">
        <f>MAX(0,AO70*(1-INDEX($B$11:$B$63,30))*(1-E70))</f>
        <v/>
      </c>
      <c r="AQ71" s="15">
        <f>MAX(0,AP70*(1-INDEX($B$11:$B$63,31))*(1-E70))</f>
        <v/>
      </c>
      <c r="AR71" s="15">
        <f>MAX(0,AQ70*(1-INDEX($B$11:$B$63,32))*(1-E70))</f>
        <v/>
      </c>
      <c r="AS71" s="15">
        <f>MAX(0,AR70*(1-INDEX($B$11:$B$63,33))*(1-E70))</f>
        <v/>
      </c>
      <c r="AT71" s="15">
        <f>MAX(0,AS70*(1-INDEX($B$11:$B$63,34))*(1-E70))</f>
        <v/>
      </c>
      <c r="AU71" s="15">
        <f>MAX(0,AT70*(1-INDEX($B$11:$B$63,35))*(1-E70))</f>
        <v/>
      </c>
      <c r="AV71" s="15">
        <f>MAX(0,AU70*(1-INDEX($B$11:$B$63,36))*(1-E70))</f>
        <v/>
      </c>
      <c r="AW71" s="15">
        <f>MAX(0,AV70*(1-INDEX($B$11:$B$63,37))*(1-E70))</f>
        <v/>
      </c>
      <c r="AX71" s="15">
        <f>MAX(0,AW70*(1-INDEX($B$11:$B$63,38))*(1-E70))</f>
        <v/>
      </c>
      <c r="AY71" s="15">
        <f>MAX(0,AX70*(1-INDEX($B$11:$B$63,39))*(1-E70))</f>
        <v/>
      </c>
      <c r="AZ71" s="15">
        <f>MAX(0,AY70*(1-INDEX($B$11:$B$63,40))*(1-E70))</f>
        <v/>
      </c>
      <c r="BA71" s="15">
        <f>MAX(0,AZ70*(1-INDEX($B$11:$B$63,41))*(1-E70))</f>
        <v/>
      </c>
      <c r="BB71" s="15">
        <f>MAX(0,BA70*(1-INDEX($B$11:$B$63,42))*(1-E70))</f>
        <v/>
      </c>
      <c r="BC71" s="15">
        <f>MAX(0,BB70*(1-INDEX($B$11:$B$63,43))*(1-E70))</f>
        <v/>
      </c>
      <c r="BD71" s="15">
        <f>MAX(0,BC70*(1-INDEX($B$11:$B$63,44))*(1-E70))</f>
        <v/>
      </c>
      <c r="BE71" s="15">
        <f>MAX(0,BD70*(1-INDEX($B$11:$B$63,45))*(1-E70))</f>
        <v/>
      </c>
      <c r="BF71" s="15">
        <f>MAX(0,BE70*(1-INDEX($B$11:$B$63,46))*(1-E70))</f>
        <v/>
      </c>
      <c r="BG71" s="15">
        <f>MAX(0,BF70*(1-INDEX($B$11:$B$63,47))*(1-E70))</f>
        <v/>
      </c>
      <c r="BH71" s="15">
        <f>MAX(0,BG70*(1-INDEX($B$11:$B$63,48))*(1-E70))</f>
        <v/>
      </c>
      <c r="BI71" s="15">
        <f>MAX(0,BH70*(1-INDEX($B$11:$B$63,49))*(1-E70))</f>
        <v/>
      </c>
      <c r="BJ71" s="15">
        <f>MAX(0,BI70*(1-INDEX($B$11:$B$63,50))*(1-E70))</f>
        <v/>
      </c>
      <c r="BK71" s="15">
        <f>MAX(0,BJ70*(1-INDEX($B$11:$B$63,51))*(1-E70))</f>
        <v/>
      </c>
      <c r="BL71" s="15">
        <f>MAX(0,(BL70+BK70)*(1-INDEX($B$11:$B$63,53))*(1-E70))</f>
        <v/>
      </c>
    </row>
    <row r="72">
      <c r="A72" s="55" t="n">
        <v>6</v>
      </c>
      <c r="B72" s="15">
        <f>IF(A72&gt;Inputs!$C$62,"",SUM(M72:BK72))</f>
        <v/>
      </c>
      <c r="C72" s="15">
        <f>IF(A72&gt;Inputs!$C$62,"",INDEX(Trajectory!$C$23:$C$2000,A72))</f>
        <v/>
      </c>
      <c r="D72" s="15">
        <f>IF(A72&gt;Inputs!$C$62,"",SUM(L72:BK72))</f>
        <v/>
      </c>
      <c r="E72" s="12">
        <f>IF(A72&gt;Inputs!$C$62,"",INDEX(Trajectory!$AG$23:$AG$2000,A72))</f>
        <v/>
      </c>
      <c r="F72" s="12">
        <f>IF(D72=0,0,SUMPRODUCT(L72:BK72,$B$11:$B$63)/D72)</f>
        <v/>
      </c>
      <c r="G72" s="12">
        <f>IF(D72=0,0,MIN(0.95,1-(1-F72)*(1-E72)))</f>
        <v/>
      </c>
      <c r="H72" s="15">
        <f>IF(D72=0,0,D72*G72)</f>
        <v/>
      </c>
      <c r="I72" s="15">
        <f>IF(D72=0,0,D72-H72)</f>
        <v/>
      </c>
      <c r="L72" s="15">
        <f>C72</f>
        <v/>
      </c>
      <c r="M72" s="15">
        <f>MAX(0,L71*(1-INDEX($B$11:$B$63,1))*(1-E71))</f>
        <v/>
      </c>
      <c r="N72" s="15">
        <f>MAX(0,M71*(1-INDEX($B$11:$B$63,2))*(1-E71))</f>
        <v/>
      </c>
      <c r="O72" s="15">
        <f>MAX(0,N71*(1-INDEX($B$11:$B$63,3))*(1-E71))</f>
        <v/>
      </c>
      <c r="P72" s="15">
        <f>MAX(0,O71*(1-INDEX($B$11:$B$63,4))*(1-E71))</f>
        <v/>
      </c>
      <c r="Q72" s="15">
        <f>MAX(0,P71*(1-INDEX($B$11:$B$63,5))*(1-E71))</f>
        <v/>
      </c>
      <c r="R72" s="15">
        <f>MAX(0,Q71*(1-INDEX($B$11:$B$63,6))*(1-E71))</f>
        <v/>
      </c>
      <c r="S72" s="15">
        <f>MAX(0,R71*(1-INDEX($B$11:$B$63,7))*(1-E71))</f>
        <v/>
      </c>
      <c r="T72" s="15">
        <f>MAX(0,S71*(1-INDEX($B$11:$B$63,8))*(1-E71))</f>
        <v/>
      </c>
      <c r="U72" s="15">
        <f>MAX(0,T71*(1-INDEX($B$11:$B$63,9))*(1-E71))</f>
        <v/>
      </c>
      <c r="V72" s="15">
        <f>MAX(0,U71*(1-INDEX($B$11:$B$63,10))*(1-E71))</f>
        <v/>
      </c>
      <c r="W72" s="15">
        <f>MAX(0,V71*(1-INDEX($B$11:$B$63,11))*(1-E71))</f>
        <v/>
      </c>
      <c r="X72" s="15">
        <f>MAX(0,W71*(1-INDEX($B$11:$B$63,12))*(1-E71))</f>
        <v/>
      </c>
      <c r="Y72" s="15">
        <f>MAX(0,X71*(1-INDEX($B$11:$B$63,13))*(1-E71))</f>
        <v/>
      </c>
      <c r="Z72" s="15">
        <f>MAX(0,Y71*(1-INDEX($B$11:$B$63,14))*(1-E71))</f>
        <v/>
      </c>
      <c r="AA72" s="15">
        <f>MAX(0,Z71*(1-INDEX($B$11:$B$63,15))*(1-E71))</f>
        <v/>
      </c>
      <c r="AB72" s="15">
        <f>MAX(0,AA71*(1-INDEX($B$11:$B$63,16))*(1-E71))</f>
        <v/>
      </c>
      <c r="AC72" s="15">
        <f>MAX(0,AB71*(1-INDEX($B$11:$B$63,17))*(1-E71))</f>
        <v/>
      </c>
      <c r="AD72" s="15">
        <f>MAX(0,AC71*(1-INDEX($B$11:$B$63,18))*(1-E71))</f>
        <v/>
      </c>
      <c r="AE72" s="15">
        <f>MAX(0,AD71*(1-INDEX($B$11:$B$63,19))*(1-E71))</f>
        <v/>
      </c>
      <c r="AF72" s="15">
        <f>MAX(0,AE71*(1-INDEX($B$11:$B$63,20))*(1-E71))</f>
        <v/>
      </c>
      <c r="AG72" s="15">
        <f>MAX(0,AF71*(1-INDEX($B$11:$B$63,21))*(1-E71))</f>
        <v/>
      </c>
      <c r="AH72" s="15">
        <f>MAX(0,AG71*(1-INDEX($B$11:$B$63,22))*(1-E71))</f>
        <v/>
      </c>
      <c r="AI72" s="15">
        <f>MAX(0,AH71*(1-INDEX($B$11:$B$63,23))*(1-E71))</f>
        <v/>
      </c>
      <c r="AJ72" s="15">
        <f>MAX(0,AI71*(1-INDEX($B$11:$B$63,24))*(1-E71))</f>
        <v/>
      </c>
      <c r="AK72" s="15">
        <f>MAX(0,AJ71*(1-INDEX($B$11:$B$63,25))*(1-E71))</f>
        <v/>
      </c>
      <c r="AL72" s="15">
        <f>MAX(0,AK71*(1-INDEX($B$11:$B$63,26))*(1-E71))</f>
        <v/>
      </c>
      <c r="AM72" s="15">
        <f>MAX(0,AL71*(1-INDEX($B$11:$B$63,27))*(1-E71))</f>
        <v/>
      </c>
      <c r="AN72" s="15">
        <f>MAX(0,AM71*(1-INDEX($B$11:$B$63,28))*(1-E71))</f>
        <v/>
      </c>
      <c r="AO72" s="15">
        <f>MAX(0,AN71*(1-INDEX($B$11:$B$63,29))*(1-E71))</f>
        <v/>
      </c>
      <c r="AP72" s="15">
        <f>MAX(0,AO71*(1-INDEX($B$11:$B$63,30))*(1-E71))</f>
        <v/>
      </c>
      <c r="AQ72" s="15">
        <f>MAX(0,AP71*(1-INDEX($B$11:$B$63,31))*(1-E71))</f>
        <v/>
      </c>
      <c r="AR72" s="15">
        <f>MAX(0,AQ71*(1-INDEX($B$11:$B$63,32))*(1-E71))</f>
        <v/>
      </c>
      <c r="AS72" s="15">
        <f>MAX(0,AR71*(1-INDEX($B$11:$B$63,33))*(1-E71))</f>
        <v/>
      </c>
      <c r="AT72" s="15">
        <f>MAX(0,AS71*(1-INDEX($B$11:$B$63,34))*(1-E71))</f>
        <v/>
      </c>
      <c r="AU72" s="15">
        <f>MAX(0,AT71*(1-INDEX($B$11:$B$63,35))*(1-E71))</f>
        <v/>
      </c>
      <c r="AV72" s="15">
        <f>MAX(0,AU71*(1-INDEX($B$11:$B$63,36))*(1-E71))</f>
        <v/>
      </c>
      <c r="AW72" s="15">
        <f>MAX(0,AV71*(1-INDEX($B$11:$B$63,37))*(1-E71))</f>
        <v/>
      </c>
      <c r="AX72" s="15">
        <f>MAX(0,AW71*(1-INDEX($B$11:$B$63,38))*(1-E71))</f>
        <v/>
      </c>
      <c r="AY72" s="15">
        <f>MAX(0,AX71*(1-INDEX($B$11:$B$63,39))*(1-E71))</f>
        <v/>
      </c>
      <c r="AZ72" s="15">
        <f>MAX(0,AY71*(1-INDEX($B$11:$B$63,40))*(1-E71))</f>
        <v/>
      </c>
      <c r="BA72" s="15">
        <f>MAX(0,AZ71*(1-INDEX($B$11:$B$63,41))*(1-E71))</f>
        <v/>
      </c>
      <c r="BB72" s="15">
        <f>MAX(0,BA71*(1-INDEX($B$11:$B$63,42))*(1-E71))</f>
        <v/>
      </c>
      <c r="BC72" s="15">
        <f>MAX(0,BB71*(1-INDEX($B$11:$B$63,43))*(1-E71))</f>
        <v/>
      </c>
      <c r="BD72" s="15">
        <f>MAX(0,BC71*(1-INDEX($B$11:$B$63,44))*(1-E71))</f>
        <v/>
      </c>
      <c r="BE72" s="15">
        <f>MAX(0,BD71*(1-INDEX($B$11:$B$63,45))*(1-E71))</f>
        <v/>
      </c>
      <c r="BF72" s="15">
        <f>MAX(0,BE71*(1-INDEX($B$11:$B$63,46))*(1-E71))</f>
        <v/>
      </c>
      <c r="BG72" s="15">
        <f>MAX(0,BF71*(1-INDEX($B$11:$B$63,47))*(1-E71))</f>
        <v/>
      </c>
      <c r="BH72" s="15">
        <f>MAX(0,BG71*(1-INDEX($B$11:$B$63,48))*(1-E71))</f>
        <v/>
      </c>
      <c r="BI72" s="15">
        <f>MAX(0,BH71*(1-INDEX($B$11:$B$63,49))*(1-E71))</f>
        <v/>
      </c>
      <c r="BJ72" s="15">
        <f>MAX(0,BI71*(1-INDEX($B$11:$B$63,50))*(1-E71))</f>
        <v/>
      </c>
      <c r="BK72" s="15">
        <f>MAX(0,BJ71*(1-INDEX($B$11:$B$63,51))*(1-E71))</f>
        <v/>
      </c>
      <c r="BL72" s="15">
        <f>MAX(0,(BL71+BK71)*(1-INDEX($B$11:$B$63,53))*(1-E71))</f>
        <v/>
      </c>
    </row>
    <row r="73">
      <c r="A73" s="55" t="n">
        <v>7</v>
      </c>
      <c r="B73" s="15">
        <f>IF(A73&gt;Inputs!$C$62,"",SUM(M73:BK73))</f>
        <v/>
      </c>
      <c r="C73" s="15">
        <f>IF(A73&gt;Inputs!$C$62,"",INDEX(Trajectory!$C$23:$C$2000,A73))</f>
        <v/>
      </c>
      <c r="D73" s="15">
        <f>IF(A73&gt;Inputs!$C$62,"",SUM(L73:BK73))</f>
        <v/>
      </c>
      <c r="E73" s="12">
        <f>IF(A73&gt;Inputs!$C$62,"",INDEX(Trajectory!$AG$23:$AG$2000,A73))</f>
        <v/>
      </c>
      <c r="F73" s="12">
        <f>IF(D73=0,0,SUMPRODUCT(L73:BK73,$B$11:$B$63)/D73)</f>
        <v/>
      </c>
      <c r="G73" s="12">
        <f>IF(D73=0,0,MIN(0.95,1-(1-F73)*(1-E73)))</f>
        <v/>
      </c>
      <c r="H73" s="15">
        <f>IF(D73=0,0,D73*G73)</f>
        <v/>
      </c>
      <c r="I73" s="15">
        <f>IF(D73=0,0,D73-H73)</f>
        <v/>
      </c>
      <c r="L73" s="15">
        <f>C73</f>
        <v/>
      </c>
      <c r="M73" s="15">
        <f>MAX(0,L72*(1-INDEX($B$11:$B$63,1))*(1-E72))</f>
        <v/>
      </c>
      <c r="N73" s="15">
        <f>MAX(0,M72*(1-INDEX($B$11:$B$63,2))*(1-E72))</f>
        <v/>
      </c>
      <c r="O73" s="15">
        <f>MAX(0,N72*(1-INDEX($B$11:$B$63,3))*(1-E72))</f>
        <v/>
      </c>
      <c r="P73" s="15">
        <f>MAX(0,O72*(1-INDEX($B$11:$B$63,4))*(1-E72))</f>
        <v/>
      </c>
      <c r="Q73" s="15">
        <f>MAX(0,P72*(1-INDEX($B$11:$B$63,5))*(1-E72))</f>
        <v/>
      </c>
      <c r="R73" s="15">
        <f>MAX(0,Q72*(1-INDEX($B$11:$B$63,6))*(1-E72))</f>
        <v/>
      </c>
      <c r="S73" s="15">
        <f>MAX(0,R72*(1-INDEX($B$11:$B$63,7))*(1-E72))</f>
        <v/>
      </c>
      <c r="T73" s="15">
        <f>MAX(0,S72*(1-INDEX($B$11:$B$63,8))*(1-E72))</f>
        <v/>
      </c>
      <c r="U73" s="15">
        <f>MAX(0,T72*(1-INDEX($B$11:$B$63,9))*(1-E72))</f>
        <v/>
      </c>
      <c r="V73" s="15">
        <f>MAX(0,U72*(1-INDEX($B$11:$B$63,10))*(1-E72))</f>
        <v/>
      </c>
      <c r="W73" s="15">
        <f>MAX(0,V72*(1-INDEX($B$11:$B$63,11))*(1-E72))</f>
        <v/>
      </c>
      <c r="X73" s="15">
        <f>MAX(0,W72*(1-INDEX($B$11:$B$63,12))*(1-E72))</f>
        <v/>
      </c>
      <c r="Y73" s="15">
        <f>MAX(0,X72*(1-INDEX($B$11:$B$63,13))*(1-E72))</f>
        <v/>
      </c>
      <c r="Z73" s="15">
        <f>MAX(0,Y72*(1-INDEX($B$11:$B$63,14))*(1-E72))</f>
        <v/>
      </c>
      <c r="AA73" s="15">
        <f>MAX(0,Z72*(1-INDEX($B$11:$B$63,15))*(1-E72))</f>
        <v/>
      </c>
      <c r="AB73" s="15">
        <f>MAX(0,AA72*(1-INDEX($B$11:$B$63,16))*(1-E72))</f>
        <v/>
      </c>
      <c r="AC73" s="15">
        <f>MAX(0,AB72*(1-INDEX($B$11:$B$63,17))*(1-E72))</f>
        <v/>
      </c>
      <c r="AD73" s="15">
        <f>MAX(0,AC72*(1-INDEX($B$11:$B$63,18))*(1-E72))</f>
        <v/>
      </c>
      <c r="AE73" s="15">
        <f>MAX(0,AD72*(1-INDEX($B$11:$B$63,19))*(1-E72))</f>
        <v/>
      </c>
      <c r="AF73" s="15">
        <f>MAX(0,AE72*(1-INDEX($B$11:$B$63,20))*(1-E72))</f>
        <v/>
      </c>
      <c r="AG73" s="15">
        <f>MAX(0,AF72*(1-INDEX($B$11:$B$63,21))*(1-E72))</f>
        <v/>
      </c>
      <c r="AH73" s="15">
        <f>MAX(0,AG72*(1-INDEX($B$11:$B$63,22))*(1-E72))</f>
        <v/>
      </c>
      <c r="AI73" s="15">
        <f>MAX(0,AH72*(1-INDEX($B$11:$B$63,23))*(1-E72))</f>
        <v/>
      </c>
      <c r="AJ73" s="15">
        <f>MAX(0,AI72*(1-INDEX($B$11:$B$63,24))*(1-E72))</f>
        <v/>
      </c>
      <c r="AK73" s="15">
        <f>MAX(0,AJ72*(1-INDEX($B$11:$B$63,25))*(1-E72))</f>
        <v/>
      </c>
      <c r="AL73" s="15">
        <f>MAX(0,AK72*(1-INDEX($B$11:$B$63,26))*(1-E72))</f>
        <v/>
      </c>
      <c r="AM73" s="15">
        <f>MAX(0,AL72*(1-INDEX($B$11:$B$63,27))*(1-E72))</f>
        <v/>
      </c>
      <c r="AN73" s="15">
        <f>MAX(0,AM72*(1-INDEX($B$11:$B$63,28))*(1-E72))</f>
        <v/>
      </c>
      <c r="AO73" s="15">
        <f>MAX(0,AN72*(1-INDEX($B$11:$B$63,29))*(1-E72))</f>
        <v/>
      </c>
      <c r="AP73" s="15">
        <f>MAX(0,AO72*(1-INDEX($B$11:$B$63,30))*(1-E72))</f>
        <v/>
      </c>
      <c r="AQ73" s="15">
        <f>MAX(0,AP72*(1-INDEX($B$11:$B$63,31))*(1-E72))</f>
        <v/>
      </c>
      <c r="AR73" s="15">
        <f>MAX(0,AQ72*(1-INDEX($B$11:$B$63,32))*(1-E72))</f>
        <v/>
      </c>
      <c r="AS73" s="15">
        <f>MAX(0,AR72*(1-INDEX($B$11:$B$63,33))*(1-E72))</f>
        <v/>
      </c>
      <c r="AT73" s="15">
        <f>MAX(0,AS72*(1-INDEX($B$11:$B$63,34))*(1-E72))</f>
        <v/>
      </c>
      <c r="AU73" s="15">
        <f>MAX(0,AT72*(1-INDEX($B$11:$B$63,35))*(1-E72))</f>
        <v/>
      </c>
      <c r="AV73" s="15">
        <f>MAX(0,AU72*(1-INDEX($B$11:$B$63,36))*(1-E72))</f>
        <v/>
      </c>
      <c r="AW73" s="15">
        <f>MAX(0,AV72*(1-INDEX($B$11:$B$63,37))*(1-E72))</f>
        <v/>
      </c>
      <c r="AX73" s="15">
        <f>MAX(0,AW72*(1-INDEX($B$11:$B$63,38))*(1-E72))</f>
        <v/>
      </c>
      <c r="AY73" s="15">
        <f>MAX(0,AX72*(1-INDEX($B$11:$B$63,39))*(1-E72))</f>
        <v/>
      </c>
      <c r="AZ73" s="15">
        <f>MAX(0,AY72*(1-INDEX($B$11:$B$63,40))*(1-E72))</f>
        <v/>
      </c>
      <c r="BA73" s="15">
        <f>MAX(0,AZ72*(1-INDEX($B$11:$B$63,41))*(1-E72))</f>
        <v/>
      </c>
      <c r="BB73" s="15">
        <f>MAX(0,BA72*(1-INDEX($B$11:$B$63,42))*(1-E72))</f>
        <v/>
      </c>
      <c r="BC73" s="15">
        <f>MAX(0,BB72*(1-INDEX($B$11:$B$63,43))*(1-E72))</f>
        <v/>
      </c>
      <c r="BD73" s="15">
        <f>MAX(0,BC72*(1-INDEX($B$11:$B$63,44))*(1-E72))</f>
        <v/>
      </c>
      <c r="BE73" s="15">
        <f>MAX(0,BD72*(1-INDEX($B$11:$B$63,45))*(1-E72))</f>
        <v/>
      </c>
      <c r="BF73" s="15">
        <f>MAX(0,BE72*(1-INDEX($B$11:$B$63,46))*(1-E72))</f>
        <v/>
      </c>
      <c r="BG73" s="15">
        <f>MAX(0,BF72*(1-INDEX($B$11:$B$63,47))*(1-E72))</f>
        <v/>
      </c>
      <c r="BH73" s="15">
        <f>MAX(0,BG72*(1-INDEX($B$11:$B$63,48))*(1-E72))</f>
        <v/>
      </c>
      <c r="BI73" s="15">
        <f>MAX(0,BH72*(1-INDEX($B$11:$B$63,49))*(1-E72))</f>
        <v/>
      </c>
      <c r="BJ73" s="15">
        <f>MAX(0,BI72*(1-INDEX($B$11:$B$63,50))*(1-E72))</f>
        <v/>
      </c>
      <c r="BK73" s="15">
        <f>MAX(0,BJ72*(1-INDEX($B$11:$B$63,51))*(1-E72))</f>
        <v/>
      </c>
      <c r="BL73" s="15">
        <f>MAX(0,(BL72+BK72)*(1-INDEX($B$11:$B$63,53))*(1-E72))</f>
        <v/>
      </c>
    </row>
    <row r="74">
      <c r="A74" s="55" t="n">
        <v>8</v>
      </c>
      <c r="B74" s="15">
        <f>IF(A74&gt;Inputs!$C$62,"",SUM(M74:BK74))</f>
        <v/>
      </c>
      <c r="C74" s="15">
        <f>IF(A74&gt;Inputs!$C$62,"",INDEX(Trajectory!$C$23:$C$2000,A74))</f>
        <v/>
      </c>
      <c r="D74" s="15">
        <f>IF(A74&gt;Inputs!$C$62,"",SUM(L74:BK74))</f>
        <v/>
      </c>
      <c r="E74" s="12">
        <f>IF(A74&gt;Inputs!$C$62,"",INDEX(Trajectory!$AG$23:$AG$2000,A74))</f>
        <v/>
      </c>
      <c r="F74" s="12">
        <f>IF(D74=0,0,SUMPRODUCT(L74:BK74,$B$11:$B$63)/D74)</f>
        <v/>
      </c>
      <c r="G74" s="12">
        <f>IF(D74=0,0,MIN(0.95,1-(1-F74)*(1-E74)))</f>
        <v/>
      </c>
      <c r="H74" s="15">
        <f>IF(D74=0,0,D74*G74)</f>
        <v/>
      </c>
      <c r="I74" s="15">
        <f>IF(D74=0,0,D74-H74)</f>
        <v/>
      </c>
      <c r="L74" s="15">
        <f>C74</f>
        <v/>
      </c>
      <c r="M74" s="15">
        <f>MAX(0,L73*(1-INDEX($B$11:$B$63,1))*(1-E73))</f>
        <v/>
      </c>
      <c r="N74" s="15">
        <f>MAX(0,M73*(1-INDEX($B$11:$B$63,2))*(1-E73))</f>
        <v/>
      </c>
      <c r="O74" s="15">
        <f>MAX(0,N73*(1-INDEX($B$11:$B$63,3))*(1-E73))</f>
        <v/>
      </c>
      <c r="P74" s="15">
        <f>MAX(0,O73*(1-INDEX($B$11:$B$63,4))*(1-E73))</f>
        <v/>
      </c>
      <c r="Q74" s="15">
        <f>MAX(0,P73*(1-INDEX($B$11:$B$63,5))*(1-E73))</f>
        <v/>
      </c>
      <c r="R74" s="15">
        <f>MAX(0,Q73*(1-INDEX($B$11:$B$63,6))*(1-E73))</f>
        <v/>
      </c>
      <c r="S74" s="15">
        <f>MAX(0,R73*(1-INDEX($B$11:$B$63,7))*(1-E73))</f>
        <v/>
      </c>
      <c r="T74" s="15">
        <f>MAX(0,S73*(1-INDEX($B$11:$B$63,8))*(1-E73))</f>
        <v/>
      </c>
      <c r="U74" s="15">
        <f>MAX(0,T73*(1-INDEX($B$11:$B$63,9))*(1-E73))</f>
        <v/>
      </c>
      <c r="V74" s="15">
        <f>MAX(0,U73*(1-INDEX($B$11:$B$63,10))*(1-E73))</f>
        <v/>
      </c>
      <c r="W74" s="15">
        <f>MAX(0,V73*(1-INDEX($B$11:$B$63,11))*(1-E73))</f>
        <v/>
      </c>
      <c r="X74" s="15">
        <f>MAX(0,W73*(1-INDEX($B$11:$B$63,12))*(1-E73))</f>
        <v/>
      </c>
      <c r="Y74" s="15">
        <f>MAX(0,X73*(1-INDEX($B$11:$B$63,13))*(1-E73))</f>
        <v/>
      </c>
      <c r="Z74" s="15">
        <f>MAX(0,Y73*(1-INDEX($B$11:$B$63,14))*(1-E73))</f>
        <v/>
      </c>
      <c r="AA74" s="15">
        <f>MAX(0,Z73*(1-INDEX($B$11:$B$63,15))*(1-E73))</f>
        <v/>
      </c>
      <c r="AB74" s="15">
        <f>MAX(0,AA73*(1-INDEX($B$11:$B$63,16))*(1-E73))</f>
        <v/>
      </c>
      <c r="AC74" s="15">
        <f>MAX(0,AB73*(1-INDEX($B$11:$B$63,17))*(1-E73))</f>
        <v/>
      </c>
      <c r="AD74" s="15">
        <f>MAX(0,AC73*(1-INDEX($B$11:$B$63,18))*(1-E73))</f>
        <v/>
      </c>
      <c r="AE74" s="15">
        <f>MAX(0,AD73*(1-INDEX($B$11:$B$63,19))*(1-E73))</f>
        <v/>
      </c>
      <c r="AF74" s="15">
        <f>MAX(0,AE73*(1-INDEX($B$11:$B$63,20))*(1-E73))</f>
        <v/>
      </c>
      <c r="AG74" s="15">
        <f>MAX(0,AF73*(1-INDEX($B$11:$B$63,21))*(1-E73))</f>
        <v/>
      </c>
      <c r="AH74" s="15">
        <f>MAX(0,AG73*(1-INDEX($B$11:$B$63,22))*(1-E73))</f>
        <v/>
      </c>
      <c r="AI74" s="15">
        <f>MAX(0,AH73*(1-INDEX($B$11:$B$63,23))*(1-E73))</f>
        <v/>
      </c>
      <c r="AJ74" s="15">
        <f>MAX(0,AI73*(1-INDEX($B$11:$B$63,24))*(1-E73))</f>
        <v/>
      </c>
      <c r="AK74" s="15">
        <f>MAX(0,AJ73*(1-INDEX($B$11:$B$63,25))*(1-E73))</f>
        <v/>
      </c>
      <c r="AL74" s="15">
        <f>MAX(0,AK73*(1-INDEX($B$11:$B$63,26))*(1-E73))</f>
        <v/>
      </c>
      <c r="AM74" s="15">
        <f>MAX(0,AL73*(1-INDEX($B$11:$B$63,27))*(1-E73))</f>
        <v/>
      </c>
      <c r="AN74" s="15">
        <f>MAX(0,AM73*(1-INDEX($B$11:$B$63,28))*(1-E73))</f>
        <v/>
      </c>
      <c r="AO74" s="15">
        <f>MAX(0,AN73*(1-INDEX($B$11:$B$63,29))*(1-E73))</f>
        <v/>
      </c>
      <c r="AP74" s="15">
        <f>MAX(0,AO73*(1-INDEX($B$11:$B$63,30))*(1-E73))</f>
        <v/>
      </c>
      <c r="AQ74" s="15">
        <f>MAX(0,AP73*(1-INDEX($B$11:$B$63,31))*(1-E73))</f>
        <v/>
      </c>
      <c r="AR74" s="15">
        <f>MAX(0,AQ73*(1-INDEX($B$11:$B$63,32))*(1-E73))</f>
        <v/>
      </c>
      <c r="AS74" s="15">
        <f>MAX(0,AR73*(1-INDEX($B$11:$B$63,33))*(1-E73))</f>
        <v/>
      </c>
      <c r="AT74" s="15">
        <f>MAX(0,AS73*(1-INDEX($B$11:$B$63,34))*(1-E73))</f>
        <v/>
      </c>
      <c r="AU74" s="15">
        <f>MAX(0,AT73*(1-INDEX($B$11:$B$63,35))*(1-E73))</f>
        <v/>
      </c>
      <c r="AV74" s="15">
        <f>MAX(0,AU73*(1-INDEX($B$11:$B$63,36))*(1-E73))</f>
        <v/>
      </c>
      <c r="AW74" s="15">
        <f>MAX(0,AV73*(1-INDEX($B$11:$B$63,37))*(1-E73))</f>
        <v/>
      </c>
      <c r="AX74" s="15">
        <f>MAX(0,AW73*(1-INDEX($B$11:$B$63,38))*(1-E73))</f>
        <v/>
      </c>
      <c r="AY74" s="15">
        <f>MAX(0,AX73*(1-INDEX($B$11:$B$63,39))*(1-E73))</f>
        <v/>
      </c>
      <c r="AZ74" s="15">
        <f>MAX(0,AY73*(1-INDEX($B$11:$B$63,40))*(1-E73))</f>
        <v/>
      </c>
      <c r="BA74" s="15">
        <f>MAX(0,AZ73*(1-INDEX($B$11:$B$63,41))*(1-E73))</f>
        <v/>
      </c>
      <c r="BB74" s="15">
        <f>MAX(0,BA73*(1-INDEX($B$11:$B$63,42))*(1-E73))</f>
        <v/>
      </c>
      <c r="BC74" s="15">
        <f>MAX(0,BB73*(1-INDEX($B$11:$B$63,43))*(1-E73))</f>
        <v/>
      </c>
      <c r="BD74" s="15">
        <f>MAX(0,BC73*(1-INDEX($B$11:$B$63,44))*(1-E73))</f>
        <v/>
      </c>
      <c r="BE74" s="15">
        <f>MAX(0,BD73*(1-INDEX($B$11:$B$63,45))*(1-E73))</f>
        <v/>
      </c>
      <c r="BF74" s="15">
        <f>MAX(0,BE73*(1-INDEX($B$11:$B$63,46))*(1-E73))</f>
        <v/>
      </c>
      <c r="BG74" s="15">
        <f>MAX(0,BF73*(1-INDEX($B$11:$B$63,47))*(1-E73))</f>
        <v/>
      </c>
      <c r="BH74" s="15">
        <f>MAX(0,BG73*(1-INDEX($B$11:$B$63,48))*(1-E73))</f>
        <v/>
      </c>
      <c r="BI74" s="15">
        <f>MAX(0,BH73*(1-INDEX($B$11:$B$63,49))*(1-E73))</f>
        <v/>
      </c>
      <c r="BJ74" s="15">
        <f>MAX(0,BI73*(1-INDEX($B$11:$B$63,50))*(1-E73))</f>
        <v/>
      </c>
      <c r="BK74" s="15">
        <f>MAX(0,BJ73*(1-INDEX($B$11:$B$63,51))*(1-E73))</f>
        <v/>
      </c>
      <c r="BL74" s="15">
        <f>MAX(0,(BL73+BK73)*(1-INDEX($B$11:$B$63,53))*(1-E73))</f>
        <v/>
      </c>
    </row>
    <row r="75">
      <c r="A75" s="55" t="n">
        <v>9</v>
      </c>
      <c r="B75" s="15">
        <f>IF(A75&gt;Inputs!$C$62,"",SUM(M75:BK75))</f>
        <v/>
      </c>
      <c r="C75" s="15">
        <f>IF(A75&gt;Inputs!$C$62,"",INDEX(Trajectory!$C$23:$C$2000,A75))</f>
        <v/>
      </c>
      <c r="D75" s="15">
        <f>IF(A75&gt;Inputs!$C$62,"",SUM(L75:BK75))</f>
        <v/>
      </c>
      <c r="E75" s="12">
        <f>IF(A75&gt;Inputs!$C$62,"",INDEX(Trajectory!$AG$23:$AG$2000,A75))</f>
        <v/>
      </c>
      <c r="F75" s="12">
        <f>IF(D75=0,0,SUMPRODUCT(L75:BK75,$B$11:$B$63)/D75)</f>
        <v/>
      </c>
      <c r="G75" s="12">
        <f>IF(D75=0,0,MIN(0.95,1-(1-F75)*(1-E75)))</f>
        <v/>
      </c>
      <c r="H75" s="15">
        <f>IF(D75=0,0,D75*G75)</f>
        <v/>
      </c>
      <c r="I75" s="15">
        <f>IF(D75=0,0,D75-H75)</f>
        <v/>
      </c>
      <c r="L75" s="15">
        <f>C75</f>
        <v/>
      </c>
      <c r="M75" s="15">
        <f>MAX(0,L74*(1-INDEX($B$11:$B$63,1))*(1-E74))</f>
        <v/>
      </c>
      <c r="N75" s="15">
        <f>MAX(0,M74*(1-INDEX($B$11:$B$63,2))*(1-E74))</f>
        <v/>
      </c>
      <c r="O75" s="15">
        <f>MAX(0,N74*(1-INDEX($B$11:$B$63,3))*(1-E74))</f>
        <v/>
      </c>
      <c r="P75" s="15">
        <f>MAX(0,O74*(1-INDEX($B$11:$B$63,4))*(1-E74))</f>
        <v/>
      </c>
      <c r="Q75" s="15">
        <f>MAX(0,P74*(1-INDEX($B$11:$B$63,5))*(1-E74))</f>
        <v/>
      </c>
      <c r="R75" s="15">
        <f>MAX(0,Q74*(1-INDEX($B$11:$B$63,6))*(1-E74))</f>
        <v/>
      </c>
      <c r="S75" s="15">
        <f>MAX(0,R74*(1-INDEX($B$11:$B$63,7))*(1-E74))</f>
        <v/>
      </c>
      <c r="T75" s="15">
        <f>MAX(0,S74*(1-INDEX($B$11:$B$63,8))*(1-E74))</f>
        <v/>
      </c>
      <c r="U75" s="15">
        <f>MAX(0,T74*(1-INDEX($B$11:$B$63,9))*(1-E74))</f>
        <v/>
      </c>
      <c r="V75" s="15">
        <f>MAX(0,U74*(1-INDEX($B$11:$B$63,10))*(1-E74))</f>
        <v/>
      </c>
      <c r="W75" s="15">
        <f>MAX(0,V74*(1-INDEX($B$11:$B$63,11))*(1-E74))</f>
        <v/>
      </c>
      <c r="X75" s="15">
        <f>MAX(0,W74*(1-INDEX($B$11:$B$63,12))*(1-E74))</f>
        <v/>
      </c>
      <c r="Y75" s="15">
        <f>MAX(0,X74*(1-INDEX($B$11:$B$63,13))*(1-E74))</f>
        <v/>
      </c>
      <c r="Z75" s="15">
        <f>MAX(0,Y74*(1-INDEX($B$11:$B$63,14))*(1-E74))</f>
        <v/>
      </c>
      <c r="AA75" s="15">
        <f>MAX(0,Z74*(1-INDEX($B$11:$B$63,15))*(1-E74))</f>
        <v/>
      </c>
      <c r="AB75" s="15">
        <f>MAX(0,AA74*(1-INDEX($B$11:$B$63,16))*(1-E74))</f>
        <v/>
      </c>
      <c r="AC75" s="15">
        <f>MAX(0,AB74*(1-INDEX($B$11:$B$63,17))*(1-E74))</f>
        <v/>
      </c>
      <c r="AD75" s="15">
        <f>MAX(0,AC74*(1-INDEX($B$11:$B$63,18))*(1-E74))</f>
        <v/>
      </c>
      <c r="AE75" s="15">
        <f>MAX(0,AD74*(1-INDEX($B$11:$B$63,19))*(1-E74))</f>
        <v/>
      </c>
      <c r="AF75" s="15">
        <f>MAX(0,AE74*(1-INDEX($B$11:$B$63,20))*(1-E74))</f>
        <v/>
      </c>
      <c r="AG75" s="15">
        <f>MAX(0,AF74*(1-INDEX($B$11:$B$63,21))*(1-E74))</f>
        <v/>
      </c>
      <c r="AH75" s="15">
        <f>MAX(0,AG74*(1-INDEX($B$11:$B$63,22))*(1-E74))</f>
        <v/>
      </c>
      <c r="AI75" s="15">
        <f>MAX(0,AH74*(1-INDEX($B$11:$B$63,23))*(1-E74))</f>
        <v/>
      </c>
      <c r="AJ75" s="15">
        <f>MAX(0,AI74*(1-INDEX($B$11:$B$63,24))*(1-E74))</f>
        <v/>
      </c>
      <c r="AK75" s="15">
        <f>MAX(0,AJ74*(1-INDEX($B$11:$B$63,25))*(1-E74))</f>
        <v/>
      </c>
      <c r="AL75" s="15">
        <f>MAX(0,AK74*(1-INDEX($B$11:$B$63,26))*(1-E74))</f>
        <v/>
      </c>
      <c r="AM75" s="15">
        <f>MAX(0,AL74*(1-INDEX($B$11:$B$63,27))*(1-E74))</f>
        <v/>
      </c>
      <c r="AN75" s="15">
        <f>MAX(0,AM74*(1-INDEX($B$11:$B$63,28))*(1-E74))</f>
        <v/>
      </c>
      <c r="AO75" s="15">
        <f>MAX(0,AN74*(1-INDEX($B$11:$B$63,29))*(1-E74))</f>
        <v/>
      </c>
      <c r="AP75" s="15">
        <f>MAX(0,AO74*(1-INDEX($B$11:$B$63,30))*(1-E74))</f>
        <v/>
      </c>
      <c r="AQ75" s="15">
        <f>MAX(0,AP74*(1-INDEX($B$11:$B$63,31))*(1-E74))</f>
        <v/>
      </c>
      <c r="AR75" s="15">
        <f>MAX(0,AQ74*(1-INDEX($B$11:$B$63,32))*(1-E74))</f>
        <v/>
      </c>
      <c r="AS75" s="15">
        <f>MAX(0,AR74*(1-INDEX($B$11:$B$63,33))*(1-E74))</f>
        <v/>
      </c>
      <c r="AT75" s="15">
        <f>MAX(0,AS74*(1-INDEX($B$11:$B$63,34))*(1-E74))</f>
        <v/>
      </c>
      <c r="AU75" s="15">
        <f>MAX(0,AT74*(1-INDEX($B$11:$B$63,35))*(1-E74))</f>
        <v/>
      </c>
      <c r="AV75" s="15">
        <f>MAX(0,AU74*(1-INDEX($B$11:$B$63,36))*(1-E74))</f>
        <v/>
      </c>
      <c r="AW75" s="15">
        <f>MAX(0,AV74*(1-INDEX($B$11:$B$63,37))*(1-E74))</f>
        <v/>
      </c>
      <c r="AX75" s="15">
        <f>MAX(0,AW74*(1-INDEX($B$11:$B$63,38))*(1-E74))</f>
        <v/>
      </c>
      <c r="AY75" s="15">
        <f>MAX(0,AX74*(1-INDEX($B$11:$B$63,39))*(1-E74))</f>
        <v/>
      </c>
      <c r="AZ75" s="15">
        <f>MAX(0,AY74*(1-INDEX($B$11:$B$63,40))*(1-E74))</f>
        <v/>
      </c>
      <c r="BA75" s="15">
        <f>MAX(0,AZ74*(1-INDEX($B$11:$B$63,41))*(1-E74))</f>
        <v/>
      </c>
      <c r="BB75" s="15">
        <f>MAX(0,BA74*(1-INDEX($B$11:$B$63,42))*(1-E74))</f>
        <v/>
      </c>
      <c r="BC75" s="15">
        <f>MAX(0,BB74*(1-INDEX($B$11:$B$63,43))*(1-E74))</f>
        <v/>
      </c>
      <c r="BD75" s="15">
        <f>MAX(0,BC74*(1-INDEX($B$11:$B$63,44))*(1-E74))</f>
        <v/>
      </c>
      <c r="BE75" s="15">
        <f>MAX(0,BD74*(1-INDEX($B$11:$B$63,45))*(1-E74))</f>
        <v/>
      </c>
      <c r="BF75" s="15">
        <f>MAX(0,BE74*(1-INDEX($B$11:$B$63,46))*(1-E74))</f>
        <v/>
      </c>
      <c r="BG75" s="15">
        <f>MAX(0,BF74*(1-INDEX($B$11:$B$63,47))*(1-E74))</f>
        <v/>
      </c>
      <c r="BH75" s="15">
        <f>MAX(0,BG74*(1-INDEX($B$11:$B$63,48))*(1-E74))</f>
        <v/>
      </c>
      <c r="BI75" s="15">
        <f>MAX(0,BH74*(1-INDEX($B$11:$B$63,49))*(1-E74))</f>
        <v/>
      </c>
      <c r="BJ75" s="15">
        <f>MAX(0,BI74*(1-INDEX($B$11:$B$63,50))*(1-E74))</f>
        <v/>
      </c>
      <c r="BK75" s="15">
        <f>MAX(0,BJ74*(1-INDEX($B$11:$B$63,51))*(1-E74))</f>
        <v/>
      </c>
      <c r="BL75" s="15">
        <f>MAX(0,(BL74+BK74)*(1-INDEX($B$11:$B$63,53))*(1-E74))</f>
        <v/>
      </c>
    </row>
    <row r="76">
      <c r="A76" s="55" t="n">
        <v>10</v>
      </c>
      <c r="B76" s="15">
        <f>IF(A76&gt;Inputs!$C$62,"",SUM(M76:BK76))</f>
        <v/>
      </c>
      <c r="C76" s="15">
        <f>IF(A76&gt;Inputs!$C$62,"",INDEX(Trajectory!$C$23:$C$2000,A76))</f>
        <v/>
      </c>
      <c r="D76" s="15">
        <f>IF(A76&gt;Inputs!$C$62,"",SUM(L76:BK76))</f>
        <v/>
      </c>
      <c r="E76" s="12">
        <f>IF(A76&gt;Inputs!$C$62,"",INDEX(Trajectory!$AG$23:$AG$2000,A76))</f>
        <v/>
      </c>
      <c r="F76" s="12">
        <f>IF(D76=0,0,SUMPRODUCT(L76:BK76,$B$11:$B$63)/D76)</f>
        <v/>
      </c>
      <c r="G76" s="12">
        <f>IF(D76=0,0,MIN(0.95,1-(1-F76)*(1-E76)))</f>
        <v/>
      </c>
      <c r="H76" s="15">
        <f>IF(D76=0,0,D76*G76)</f>
        <v/>
      </c>
      <c r="I76" s="15">
        <f>IF(D76=0,0,D76-H76)</f>
        <v/>
      </c>
      <c r="L76" s="15">
        <f>C76</f>
        <v/>
      </c>
      <c r="M76" s="15">
        <f>MAX(0,L75*(1-INDEX($B$11:$B$63,1))*(1-E75))</f>
        <v/>
      </c>
      <c r="N76" s="15">
        <f>MAX(0,M75*(1-INDEX($B$11:$B$63,2))*(1-E75))</f>
        <v/>
      </c>
      <c r="O76" s="15">
        <f>MAX(0,N75*(1-INDEX($B$11:$B$63,3))*(1-E75))</f>
        <v/>
      </c>
      <c r="P76" s="15">
        <f>MAX(0,O75*(1-INDEX($B$11:$B$63,4))*(1-E75))</f>
        <v/>
      </c>
      <c r="Q76" s="15">
        <f>MAX(0,P75*(1-INDEX($B$11:$B$63,5))*(1-E75))</f>
        <v/>
      </c>
      <c r="R76" s="15">
        <f>MAX(0,Q75*(1-INDEX($B$11:$B$63,6))*(1-E75))</f>
        <v/>
      </c>
      <c r="S76" s="15">
        <f>MAX(0,R75*(1-INDEX($B$11:$B$63,7))*(1-E75))</f>
        <v/>
      </c>
      <c r="T76" s="15">
        <f>MAX(0,S75*(1-INDEX($B$11:$B$63,8))*(1-E75))</f>
        <v/>
      </c>
      <c r="U76" s="15">
        <f>MAX(0,T75*(1-INDEX($B$11:$B$63,9))*(1-E75))</f>
        <v/>
      </c>
      <c r="V76" s="15">
        <f>MAX(0,U75*(1-INDEX($B$11:$B$63,10))*(1-E75))</f>
        <v/>
      </c>
      <c r="W76" s="15">
        <f>MAX(0,V75*(1-INDEX($B$11:$B$63,11))*(1-E75))</f>
        <v/>
      </c>
      <c r="X76" s="15">
        <f>MAX(0,W75*(1-INDEX($B$11:$B$63,12))*(1-E75))</f>
        <v/>
      </c>
      <c r="Y76" s="15">
        <f>MAX(0,X75*(1-INDEX($B$11:$B$63,13))*(1-E75))</f>
        <v/>
      </c>
      <c r="Z76" s="15">
        <f>MAX(0,Y75*(1-INDEX($B$11:$B$63,14))*(1-E75))</f>
        <v/>
      </c>
      <c r="AA76" s="15">
        <f>MAX(0,Z75*(1-INDEX($B$11:$B$63,15))*(1-E75))</f>
        <v/>
      </c>
      <c r="AB76" s="15">
        <f>MAX(0,AA75*(1-INDEX($B$11:$B$63,16))*(1-E75))</f>
        <v/>
      </c>
      <c r="AC76" s="15">
        <f>MAX(0,AB75*(1-INDEX($B$11:$B$63,17))*(1-E75))</f>
        <v/>
      </c>
      <c r="AD76" s="15">
        <f>MAX(0,AC75*(1-INDEX($B$11:$B$63,18))*(1-E75))</f>
        <v/>
      </c>
      <c r="AE76" s="15">
        <f>MAX(0,AD75*(1-INDEX($B$11:$B$63,19))*(1-E75))</f>
        <v/>
      </c>
      <c r="AF76" s="15">
        <f>MAX(0,AE75*(1-INDEX($B$11:$B$63,20))*(1-E75))</f>
        <v/>
      </c>
      <c r="AG76" s="15">
        <f>MAX(0,AF75*(1-INDEX($B$11:$B$63,21))*(1-E75))</f>
        <v/>
      </c>
      <c r="AH76" s="15">
        <f>MAX(0,AG75*(1-INDEX($B$11:$B$63,22))*(1-E75))</f>
        <v/>
      </c>
      <c r="AI76" s="15">
        <f>MAX(0,AH75*(1-INDEX($B$11:$B$63,23))*(1-E75))</f>
        <v/>
      </c>
      <c r="AJ76" s="15">
        <f>MAX(0,AI75*(1-INDEX($B$11:$B$63,24))*(1-E75))</f>
        <v/>
      </c>
      <c r="AK76" s="15">
        <f>MAX(0,AJ75*(1-INDEX($B$11:$B$63,25))*(1-E75))</f>
        <v/>
      </c>
      <c r="AL76" s="15">
        <f>MAX(0,AK75*(1-INDEX($B$11:$B$63,26))*(1-E75))</f>
        <v/>
      </c>
      <c r="AM76" s="15">
        <f>MAX(0,AL75*(1-INDEX($B$11:$B$63,27))*(1-E75))</f>
        <v/>
      </c>
      <c r="AN76" s="15">
        <f>MAX(0,AM75*(1-INDEX($B$11:$B$63,28))*(1-E75))</f>
        <v/>
      </c>
      <c r="AO76" s="15">
        <f>MAX(0,AN75*(1-INDEX($B$11:$B$63,29))*(1-E75))</f>
        <v/>
      </c>
      <c r="AP76" s="15">
        <f>MAX(0,AO75*(1-INDEX($B$11:$B$63,30))*(1-E75))</f>
        <v/>
      </c>
      <c r="AQ76" s="15">
        <f>MAX(0,AP75*(1-INDEX($B$11:$B$63,31))*(1-E75))</f>
        <v/>
      </c>
      <c r="AR76" s="15">
        <f>MAX(0,AQ75*(1-INDEX($B$11:$B$63,32))*(1-E75))</f>
        <v/>
      </c>
      <c r="AS76" s="15">
        <f>MAX(0,AR75*(1-INDEX($B$11:$B$63,33))*(1-E75))</f>
        <v/>
      </c>
      <c r="AT76" s="15">
        <f>MAX(0,AS75*(1-INDEX($B$11:$B$63,34))*(1-E75))</f>
        <v/>
      </c>
      <c r="AU76" s="15">
        <f>MAX(0,AT75*(1-INDEX($B$11:$B$63,35))*(1-E75))</f>
        <v/>
      </c>
      <c r="AV76" s="15">
        <f>MAX(0,AU75*(1-INDEX($B$11:$B$63,36))*(1-E75))</f>
        <v/>
      </c>
      <c r="AW76" s="15">
        <f>MAX(0,AV75*(1-INDEX($B$11:$B$63,37))*(1-E75))</f>
        <v/>
      </c>
      <c r="AX76" s="15">
        <f>MAX(0,AW75*(1-INDEX($B$11:$B$63,38))*(1-E75))</f>
        <v/>
      </c>
      <c r="AY76" s="15">
        <f>MAX(0,AX75*(1-INDEX($B$11:$B$63,39))*(1-E75))</f>
        <v/>
      </c>
      <c r="AZ76" s="15">
        <f>MAX(0,AY75*(1-INDEX($B$11:$B$63,40))*(1-E75))</f>
        <v/>
      </c>
      <c r="BA76" s="15">
        <f>MAX(0,AZ75*(1-INDEX($B$11:$B$63,41))*(1-E75))</f>
        <v/>
      </c>
      <c r="BB76" s="15">
        <f>MAX(0,BA75*(1-INDEX($B$11:$B$63,42))*(1-E75))</f>
        <v/>
      </c>
      <c r="BC76" s="15">
        <f>MAX(0,BB75*(1-INDEX($B$11:$B$63,43))*(1-E75))</f>
        <v/>
      </c>
      <c r="BD76" s="15">
        <f>MAX(0,BC75*(1-INDEX($B$11:$B$63,44))*(1-E75))</f>
        <v/>
      </c>
      <c r="BE76" s="15">
        <f>MAX(0,BD75*(1-INDEX($B$11:$B$63,45))*(1-E75))</f>
        <v/>
      </c>
      <c r="BF76" s="15">
        <f>MAX(0,BE75*(1-INDEX($B$11:$B$63,46))*(1-E75))</f>
        <v/>
      </c>
      <c r="BG76" s="15">
        <f>MAX(0,BF75*(1-INDEX($B$11:$B$63,47))*(1-E75))</f>
        <v/>
      </c>
      <c r="BH76" s="15">
        <f>MAX(0,BG75*(1-INDEX($B$11:$B$63,48))*(1-E75))</f>
        <v/>
      </c>
      <c r="BI76" s="15">
        <f>MAX(0,BH75*(1-INDEX($B$11:$B$63,49))*(1-E75))</f>
        <v/>
      </c>
      <c r="BJ76" s="15">
        <f>MAX(0,BI75*(1-INDEX($B$11:$B$63,50))*(1-E75))</f>
        <v/>
      </c>
      <c r="BK76" s="15">
        <f>MAX(0,BJ75*(1-INDEX($B$11:$B$63,51))*(1-E75))</f>
        <v/>
      </c>
      <c r="BL76" s="15">
        <f>MAX(0,(BL75+BK75)*(1-INDEX($B$11:$B$63,53))*(1-E75))</f>
        <v/>
      </c>
    </row>
    <row r="77">
      <c r="A77" s="55" t="n">
        <v>11</v>
      </c>
      <c r="B77" s="15">
        <f>IF(A77&gt;Inputs!$C$62,"",SUM(M77:BK77))</f>
        <v/>
      </c>
      <c r="C77" s="15">
        <f>IF(A77&gt;Inputs!$C$62,"",INDEX(Trajectory!$C$23:$C$2000,A77))</f>
        <v/>
      </c>
      <c r="D77" s="15">
        <f>IF(A77&gt;Inputs!$C$62,"",SUM(L77:BK77))</f>
        <v/>
      </c>
      <c r="E77" s="12">
        <f>IF(A77&gt;Inputs!$C$62,"",INDEX(Trajectory!$AG$23:$AG$2000,A77))</f>
        <v/>
      </c>
      <c r="F77" s="12">
        <f>IF(D77=0,0,SUMPRODUCT(L77:BK77,$B$11:$B$63)/D77)</f>
        <v/>
      </c>
      <c r="G77" s="12">
        <f>IF(D77=0,0,MIN(0.95,1-(1-F77)*(1-E77)))</f>
        <v/>
      </c>
      <c r="H77" s="15">
        <f>IF(D77=0,0,D77*G77)</f>
        <v/>
      </c>
      <c r="I77" s="15">
        <f>IF(D77=0,0,D77-H77)</f>
        <v/>
      </c>
      <c r="L77" s="15">
        <f>C77</f>
        <v/>
      </c>
      <c r="M77" s="15">
        <f>MAX(0,L76*(1-INDEX($B$11:$B$63,1))*(1-E76))</f>
        <v/>
      </c>
      <c r="N77" s="15">
        <f>MAX(0,M76*(1-INDEX($B$11:$B$63,2))*(1-E76))</f>
        <v/>
      </c>
      <c r="O77" s="15">
        <f>MAX(0,N76*(1-INDEX($B$11:$B$63,3))*(1-E76))</f>
        <v/>
      </c>
      <c r="P77" s="15">
        <f>MAX(0,O76*(1-INDEX($B$11:$B$63,4))*(1-E76))</f>
        <v/>
      </c>
      <c r="Q77" s="15">
        <f>MAX(0,P76*(1-INDEX($B$11:$B$63,5))*(1-E76))</f>
        <v/>
      </c>
      <c r="R77" s="15">
        <f>MAX(0,Q76*(1-INDEX($B$11:$B$63,6))*(1-E76))</f>
        <v/>
      </c>
      <c r="S77" s="15">
        <f>MAX(0,R76*(1-INDEX($B$11:$B$63,7))*(1-E76))</f>
        <v/>
      </c>
      <c r="T77" s="15">
        <f>MAX(0,S76*(1-INDEX($B$11:$B$63,8))*(1-E76))</f>
        <v/>
      </c>
      <c r="U77" s="15">
        <f>MAX(0,T76*(1-INDEX($B$11:$B$63,9))*(1-E76))</f>
        <v/>
      </c>
      <c r="V77" s="15">
        <f>MAX(0,U76*(1-INDEX($B$11:$B$63,10))*(1-E76))</f>
        <v/>
      </c>
      <c r="W77" s="15">
        <f>MAX(0,V76*(1-INDEX($B$11:$B$63,11))*(1-E76))</f>
        <v/>
      </c>
      <c r="X77" s="15">
        <f>MAX(0,W76*(1-INDEX($B$11:$B$63,12))*(1-E76))</f>
        <v/>
      </c>
      <c r="Y77" s="15">
        <f>MAX(0,X76*(1-INDEX($B$11:$B$63,13))*(1-E76))</f>
        <v/>
      </c>
      <c r="Z77" s="15">
        <f>MAX(0,Y76*(1-INDEX($B$11:$B$63,14))*(1-E76))</f>
        <v/>
      </c>
      <c r="AA77" s="15">
        <f>MAX(0,Z76*(1-INDEX($B$11:$B$63,15))*(1-E76))</f>
        <v/>
      </c>
      <c r="AB77" s="15">
        <f>MAX(0,AA76*(1-INDEX($B$11:$B$63,16))*(1-E76))</f>
        <v/>
      </c>
      <c r="AC77" s="15">
        <f>MAX(0,AB76*(1-INDEX($B$11:$B$63,17))*(1-E76))</f>
        <v/>
      </c>
      <c r="AD77" s="15">
        <f>MAX(0,AC76*(1-INDEX($B$11:$B$63,18))*(1-E76))</f>
        <v/>
      </c>
      <c r="AE77" s="15">
        <f>MAX(0,AD76*(1-INDEX($B$11:$B$63,19))*(1-E76))</f>
        <v/>
      </c>
      <c r="AF77" s="15">
        <f>MAX(0,AE76*(1-INDEX($B$11:$B$63,20))*(1-E76))</f>
        <v/>
      </c>
      <c r="AG77" s="15">
        <f>MAX(0,AF76*(1-INDEX($B$11:$B$63,21))*(1-E76))</f>
        <v/>
      </c>
      <c r="AH77" s="15">
        <f>MAX(0,AG76*(1-INDEX($B$11:$B$63,22))*(1-E76))</f>
        <v/>
      </c>
      <c r="AI77" s="15">
        <f>MAX(0,AH76*(1-INDEX($B$11:$B$63,23))*(1-E76))</f>
        <v/>
      </c>
      <c r="AJ77" s="15">
        <f>MAX(0,AI76*(1-INDEX($B$11:$B$63,24))*(1-E76))</f>
        <v/>
      </c>
      <c r="AK77" s="15">
        <f>MAX(0,AJ76*(1-INDEX($B$11:$B$63,25))*(1-E76))</f>
        <v/>
      </c>
      <c r="AL77" s="15">
        <f>MAX(0,AK76*(1-INDEX($B$11:$B$63,26))*(1-E76))</f>
        <v/>
      </c>
      <c r="AM77" s="15">
        <f>MAX(0,AL76*(1-INDEX($B$11:$B$63,27))*(1-E76))</f>
        <v/>
      </c>
      <c r="AN77" s="15">
        <f>MAX(0,AM76*(1-INDEX($B$11:$B$63,28))*(1-E76))</f>
        <v/>
      </c>
      <c r="AO77" s="15">
        <f>MAX(0,AN76*(1-INDEX($B$11:$B$63,29))*(1-E76))</f>
        <v/>
      </c>
      <c r="AP77" s="15">
        <f>MAX(0,AO76*(1-INDEX($B$11:$B$63,30))*(1-E76))</f>
        <v/>
      </c>
      <c r="AQ77" s="15">
        <f>MAX(0,AP76*(1-INDEX($B$11:$B$63,31))*(1-E76))</f>
        <v/>
      </c>
      <c r="AR77" s="15">
        <f>MAX(0,AQ76*(1-INDEX($B$11:$B$63,32))*(1-E76))</f>
        <v/>
      </c>
      <c r="AS77" s="15">
        <f>MAX(0,AR76*(1-INDEX($B$11:$B$63,33))*(1-E76))</f>
        <v/>
      </c>
      <c r="AT77" s="15">
        <f>MAX(0,AS76*(1-INDEX($B$11:$B$63,34))*(1-E76))</f>
        <v/>
      </c>
      <c r="AU77" s="15">
        <f>MAX(0,AT76*(1-INDEX($B$11:$B$63,35))*(1-E76))</f>
        <v/>
      </c>
      <c r="AV77" s="15">
        <f>MAX(0,AU76*(1-INDEX($B$11:$B$63,36))*(1-E76))</f>
        <v/>
      </c>
      <c r="AW77" s="15">
        <f>MAX(0,AV76*(1-INDEX($B$11:$B$63,37))*(1-E76))</f>
        <v/>
      </c>
      <c r="AX77" s="15">
        <f>MAX(0,AW76*(1-INDEX($B$11:$B$63,38))*(1-E76))</f>
        <v/>
      </c>
      <c r="AY77" s="15">
        <f>MAX(0,AX76*(1-INDEX($B$11:$B$63,39))*(1-E76))</f>
        <v/>
      </c>
      <c r="AZ77" s="15">
        <f>MAX(0,AY76*(1-INDEX($B$11:$B$63,40))*(1-E76))</f>
        <v/>
      </c>
      <c r="BA77" s="15">
        <f>MAX(0,AZ76*(1-INDEX($B$11:$B$63,41))*(1-E76))</f>
        <v/>
      </c>
      <c r="BB77" s="15">
        <f>MAX(0,BA76*(1-INDEX($B$11:$B$63,42))*(1-E76))</f>
        <v/>
      </c>
      <c r="BC77" s="15">
        <f>MAX(0,BB76*(1-INDEX($B$11:$B$63,43))*(1-E76))</f>
        <v/>
      </c>
      <c r="BD77" s="15">
        <f>MAX(0,BC76*(1-INDEX($B$11:$B$63,44))*(1-E76))</f>
        <v/>
      </c>
      <c r="BE77" s="15">
        <f>MAX(0,BD76*(1-INDEX($B$11:$B$63,45))*(1-E76))</f>
        <v/>
      </c>
      <c r="BF77" s="15">
        <f>MAX(0,BE76*(1-INDEX($B$11:$B$63,46))*(1-E76))</f>
        <v/>
      </c>
      <c r="BG77" s="15">
        <f>MAX(0,BF76*(1-INDEX($B$11:$B$63,47))*(1-E76))</f>
        <v/>
      </c>
      <c r="BH77" s="15">
        <f>MAX(0,BG76*(1-INDEX($B$11:$B$63,48))*(1-E76))</f>
        <v/>
      </c>
      <c r="BI77" s="15">
        <f>MAX(0,BH76*(1-INDEX($B$11:$B$63,49))*(1-E76))</f>
        <v/>
      </c>
      <c r="BJ77" s="15">
        <f>MAX(0,BI76*(1-INDEX($B$11:$B$63,50))*(1-E76))</f>
        <v/>
      </c>
      <c r="BK77" s="15">
        <f>MAX(0,BJ76*(1-INDEX($B$11:$B$63,51))*(1-E76))</f>
        <v/>
      </c>
      <c r="BL77" s="15">
        <f>MAX(0,(BL76+BK76)*(1-INDEX($B$11:$B$63,53))*(1-E76))</f>
        <v/>
      </c>
    </row>
    <row r="78">
      <c r="A78" s="55" t="n">
        <v>12</v>
      </c>
      <c r="B78" s="15">
        <f>IF(A78&gt;Inputs!$C$62,"",SUM(M78:BK78))</f>
        <v/>
      </c>
      <c r="C78" s="15">
        <f>IF(A78&gt;Inputs!$C$62,"",INDEX(Trajectory!$C$23:$C$2000,A78))</f>
        <v/>
      </c>
      <c r="D78" s="15">
        <f>IF(A78&gt;Inputs!$C$62,"",SUM(L78:BK78))</f>
        <v/>
      </c>
      <c r="E78" s="12">
        <f>IF(A78&gt;Inputs!$C$62,"",INDEX(Trajectory!$AG$23:$AG$2000,A78))</f>
        <v/>
      </c>
      <c r="F78" s="12">
        <f>IF(D78=0,0,SUMPRODUCT(L78:BK78,$B$11:$B$63)/D78)</f>
        <v/>
      </c>
      <c r="G78" s="12">
        <f>IF(D78=0,0,MIN(0.95,1-(1-F78)*(1-E78)))</f>
        <v/>
      </c>
      <c r="H78" s="15">
        <f>IF(D78=0,0,D78*G78)</f>
        <v/>
      </c>
      <c r="I78" s="15">
        <f>IF(D78=0,0,D78-H78)</f>
        <v/>
      </c>
      <c r="L78" s="15">
        <f>C78</f>
        <v/>
      </c>
      <c r="M78" s="15">
        <f>MAX(0,L77*(1-INDEX($B$11:$B$63,1))*(1-E77))</f>
        <v/>
      </c>
      <c r="N78" s="15">
        <f>MAX(0,M77*(1-INDEX($B$11:$B$63,2))*(1-E77))</f>
        <v/>
      </c>
      <c r="O78" s="15">
        <f>MAX(0,N77*(1-INDEX($B$11:$B$63,3))*(1-E77))</f>
        <v/>
      </c>
      <c r="P78" s="15">
        <f>MAX(0,O77*(1-INDEX($B$11:$B$63,4))*(1-E77))</f>
        <v/>
      </c>
      <c r="Q78" s="15">
        <f>MAX(0,P77*(1-INDEX($B$11:$B$63,5))*(1-E77))</f>
        <v/>
      </c>
      <c r="R78" s="15">
        <f>MAX(0,Q77*(1-INDEX($B$11:$B$63,6))*(1-E77))</f>
        <v/>
      </c>
      <c r="S78" s="15">
        <f>MAX(0,R77*(1-INDEX($B$11:$B$63,7))*(1-E77))</f>
        <v/>
      </c>
      <c r="T78" s="15">
        <f>MAX(0,S77*(1-INDEX($B$11:$B$63,8))*(1-E77))</f>
        <v/>
      </c>
      <c r="U78" s="15">
        <f>MAX(0,T77*(1-INDEX($B$11:$B$63,9))*(1-E77))</f>
        <v/>
      </c>
      <c r="V78" s="15">
        <f>MAX(0,U77*(1-INDEX($B$11:$B$63,10))*(1-E77))</f>
        <v/>
      </c>
      <c r="W78" s="15">
        <f>MAX(0,V77*(1-INDEX($B$11:$B$63,11))*(1-E77))</f>
        <v/>
      </c>
      <c r="X78" s="15">
        <f>MAX(0,W77*(1-INDEX($B$11:$B$63,12))*(1-E77))</f>
        <v/>
      </c>
      <c r="Y78" s="15">
        <f>MAX(0,X77*(1-INDEX($B$11:$B$63,13))*(1-E77))</f>
        <v/>
      </c>
      <c r="Z78" s="15">
        <f>MAX(0,Y77*(1-INDEX($B$11:$B$63,14))*(1-E77))</f>
        <v/>
      </c>
      <c r="AA78" s="15">
        <f>MAX(0,Z77*(1-INDEX($B$11:$B$63,15))*(1-E77))</f>
        <v/>
      </c>
      <c r="AB78" s="15">
        <f>MAX(0,AA77*(1-INDEX($B$11:$B$63,16))*(1-E77))</f>
        <v/>
      </c>
      <c r="AC78" s="15">
        <f>MAX(0,AB77*(1-INDEX($B$11:$B$63,17))*(1-E77))</f>
        <v/>
      </c>
      <c r="AD78" s="15">
        <f>MAX(0,AC77*(1-INDEX($B$11:$B$63,18))*(1-E77))</f>
        <v/>
      </c>
      <c r="AE78" s="15">
        <f>MAX(0,AD77*(1-INDEX($B$11:$B$63,19))*(1-E77))</f>
        <v/>
      </c>
      <c r="AF78" s="15">
        <f>MAX(0,AE77*(1-INDEX($B$11:$B$63,20))*(1-E77))</f>
        <v/>
      </c>
      <c r="AG78" s="15">
        <f>MAX(0,AF77*(1-INDEX($B$11:$B$63,21))*(1-E77))</f>
        <v/>
      </c>
      <c r="AH78" s="15">
        <f>MAX(0,AG77*(1-INDEX($B$11:$B$63,22))*(1-E77))</f>
        <v/>
      </c>
      <c r="AI78" s="15">
        <f>MAX(0,AH77*(1-INDEX($B$11:$B$63,23))*(1-E77))</f>
        <v/>
      </c>
      <c r="AJ78" s="15">
        <f>MAX(0,AI77*(1-INDEX($B$11:$B$63,24))*(1-E77))</f>
        <v/>
      </c>
      <c r="AK78" s="15">
        <f>MAX(0,AJ77*(1-INDEX($B$11:$B$63,25))*(1-E77))</f>
        <v/>
      </c>
      <c r="AL78" s="15">
        <f>MAX(0,AK77*(1-INDEX($B$11:$B$63,26))*(1-E77))</f>
        <v/>
      </c>
      <c r="AM78" s="15">
        <f>MAX(0,AL77*(1-INDEX($B$11:$B$63,27))*(1-E77))</f>
        <v/>
      </c>
      <c r="AN78" s="15">
        <f>MAX(0,AM77*(1-INDEX($B$11:$B$63,28))*(1-E77))</f>
        <v/>
      </c>
      <c r="AO78" s="15">
        <f>MAX(0,AN77*(1-INDEX($B$11:$B$63,29))*(1-E77))</f>
        <v/>
      </c>
      <c r="AP78" s="15">
        <f>MAX(0,AO77*(1-INDEX($B$11:$B$63,30))*(1-E77))</f>
        <v/>
      </c>
      <c r="AQ78" s="15">
        <f>MAX(0,AP77*(1-INDEX($B$11:$B$63,31))*(1-E77))</f>
        <v/>
      </c>
      <c r="AR78" s="15">
        <f>MAX(0,AQ77*(1-INDEX($B$11:$B$63,32))*(1-E77))</f>
        <v/>
      </c>
      <c r="AS78" s="15">
        <f>MAX(0,AR77*(1-INDEX($B$11:$B$63,33))*(1-E77))</f>
        <v/>
      </c>
      <c r="AT78" s="15">
        <f>MAX(0,AS77*(1-INDEX($B$11:$B$63,34))*(1-E77))</f>
        <v/>
      </c>
      <c r="AU78" s="15">
        <f>MAX(0,AT77*(1-INDEX($B$11:$B$63,35))*(1-E77))</f>
        <v/>
      </c>
      <c r="AV78" s="15">
        <f>MAX(0,AU77*(1-INDEX($B$11:$B$63,36))*(1-E77))</f>
        <v/>
      </c>
      <c r="AW78" s="15">
        <f>MAX(0,AV77*(1-INDEX($B$11:$B$63,37))*(1-E77))</f>
        <v/>
      </c>
      <c r="AX78" s="15">
        <f>MAX(0,AW77*(1-INDEX($B$11:$B$63,38))*(1-E77))</f>
        <v/>
      </c>
      <c r="AY78" s="15">
        <f>MAX(0,AX77*(1-INDEX($B$11:$B$63,39))*(1-E77))</f>
        <v/>
      </c>
      <c r="AZ78" s="15">
        <f>MAX(0,AY77*(1-INDEX($B$11:$B$63,40))*(1-E77))</f>
        <v/>
      </c>
      <c r="BA78" s="15">
        <f>MAX(0,AZ77*(1-INDEX($B$11:$B$63,41))*(1-E77))</f>
        <v/>
      </c>
      <c r="BB78" s="15">
        <f>MAX(0,BA77*(1-INDEX($B$11:$B$63,42))*(1-E77))</f>
        <v/>
      </c>
      <c r="BC78" s="15">
        <f>MAX(0,BB77*(1-INDEX($B$11:$B$63,43))*(1-E77))</f>
        <v/>
      </c>
      <c r="BD78" s="15">
        <f>MAX(0,BC77*(1-INDEX($B$11:$B$63,44))*(1-E77))</f>
        <v/>
      </c>
      <c r="BE78" s="15">
        <f>MAX(0,BD77*(1-INDEX($B$11:$B$63,45))*(1-E77))</f>
        <v/>
      </c>
      <c r="BF78" s="15">
        <f>MAX(0,BE77*(1-INDEX($B$11:$B$63,46))*(1-E77))</f>
        <v/>
      </c>
      <c r="BG78" s="15">
        <f>MAX(0,BF77*(1-INDEX($B$11:$B$63,47))*(1-E77))</f>
        <v/>
      </c>
      <c r="BH78" s="15">
        <f>MAX(0,BG77*(1-INDEX($B$11:$B$63,48))*(1-E77))</f>
        <v/>
      </c>
      <c r="BI78" s="15">
        <f>MAX(0,BH77*(1-INDEX($B$11:$B$63,49))*(1-E77))</f>
        <v/>
      </c>
      <c r="BJ78" s="15">
        <f>MAX(0,BI77*(1-INDEX($B$11:$B$63,50))*(1-E77))</f>
        <v/>
      </c>
      <c r="BK78" s="15">
        <f>MAX(0,BJ77*(1-INDEX($B$11:$B$63,51))*(1-E77))</f>
        <v/>
      </c>
      <c r="BL78" s="15">
        <f>MAX(0,(BL77+BK77)*(1-INDEX($B$11:$B$63,53))*(1-E77))</f>
        <v/>
      </c>
    </row>
    <row r="79">
      <c r="A79" s="55" t="n">
        <v>13</v>
      </c>
      <c r="B79" s="15">
        <f>IF(A79&gt;Inputs!$C$62,"",SUM(M79:BK79))</f>
        <v/>
      </c>
      <c r="C79" s="15">
        <f>IF(A79&gt;Inputs!$C$62,"",INDEX(Trajectory!$C$23:$C$2000,A79))</f>
        <v/>
      </c>
      <c r="D79" s="15">
        <f>IF(A79&gt;Inputs!$C$62,"",SUM(L79:BK79))</f>
        <v/>
      </c>
      <c r="E79" s="12">
        <f>IF(A79&gt;Inputs!$C$62,"",INDEX(Trajectory!$AG$23:$AG$2000,A79))</f>
        <v/>
      </c>
      <c r="F79" s="12">
        <f>IF(D79=0,0,SUMPRODUCT(L79:BK79,$B$11:$B$63)/D79)</f>
        <v/>
      </c>
      <c r="G79" s="12">
        <f>IF(D79=0,0,MIN(0.95,1-(1-F79)*(1-E79)))</f>
        <v/>
      </c>
      <c r="H79" s="15">
        <f>IF(D79=0,0,D79*G79)</f>
        <v/>
      </c>
      <c r="I79" s="15">
        <f>IF(D79=0,0,D79-H79)</f>
        <v/>
      </c>
      <c r="L79" s="15">
        <f>C79</f>
        <v/>
      </c>
      <c r="M79" s="15">
        <f>MAX(0,L78*(1-INDEX($B$11:$B$63,1))*(1-E78))</f>
        <v/>
      </c>
      <c r="N79" s="15">
        <f>MAX(0,M78*(1-INDEX($B$11:$B$63,2))*(1-E78))</f>
        <v/>
      </c>
      <c r="O79" s="15">
        <f>MAX(0,N78*(1-INDEX($B$11:$B$63,3))*(1-E78))</f>
        <v/>
      </c>
      <c r="P79" s="15">
        <f>MAX(0,O78*(1-INDEX($B$11:$B$63,4))*(1-E78))</f>
        <v/>
      </c>
      <c r="Q79" s="15">
        <f>MAX(0,P78*(1-INDEX($B$11:$B$63,5))*(1-E78))</f>
        <v/>
      </c>
      <c r="R79" s="15">
        <f>MAX(0,Q78*(1-INDEX($B$11:$B$63,6))*(1-E78))</f>
        <v/>
      </c>
      <c r="S79" s="15">
        <f>MAX(0,R78*(1-INDEX($B$11:$B$63,7))*(1-E78))</f>
        <v/>
      </c>
      <c r="T79" s="15">
        <f>MAX(0,S78*(1-INDEX($B$11:$B$63,8))*(1-E78))</f>
        <v/>
      </c>
      <c r="U79" s="15">
        <f>MAX(0,T78*(1-INDEX($B$11:$B$63,9))*(1-E78))</f>
        <v/>
      </c>
      <c r="V79" s="15">
        <f>MAX(0,U78*(1-INDEX($B$11:$B$63,10))*(1-E78))</f>
        <v/>
      </c>
      <c r="W79" s="15">
        <f>MAX(0,V78*(1-INDEX($B$11:$B$63,11))*(1-E78))</f>
        <v/>
      </c>
      <c r="X79" s="15">
        <f>MAX(0,W78*(1-INDEX($B$11:$B$63,12))*(1-E78))</f>
        <v/>
      </c>
      <c r="Y79" s="15">
        <f>MAX(0,X78*(1-INDEX($B$11:$B$63,13))*(1-E78))</f>
        <v/>
      </c>
      <c r="Z79" s="15">
        <f>MAX(0,Y78*(1-INDEX($B$11:$B$63,14))*(1-E78))</f>
        <v/>
      </c>
      <c r="AA79" s="15">
        <f>MAX(0,Z78*(1-INDEX($B$11:$B$63,15))*(1-E78))</f>
        <v/>
      </c>
      <c r="AB79" s="15">
        <f>MAX(0,AA78*(1-INDEX($B$11:$B$63,16))*(1-E78))</f>
        <v/>
      </c>
      <c r="AC79" s="15">
        <f>MAX(0,AB78*(1-INDEX($B$11:$B$63,17))*(1-E78))</f>
        <v/>
      </c>
      <c r="AD79" s="15">
        <f>MAX(0,AC78*(1-INDEX($B$11:$B$63,18))*(1-E78))</f>
        <v/>
      </c>
      <c r="AE79" s="15">
        <f>MAX(0,AD78*(1-INDEX($B$11:$B$63,19))*(1-E78))</f>
        <v/>
      </c>
      <c r="AF79" s="15">
        <f>MAX(0,AE78*(1-INDEX($B$11:$B$63,20))*(1-E78))</f>
        <v/>
      </c>
      <c r="AG79" s="15">
        <f>MAX(0,AF78*(1-INDEX($B$11:$B$63,21))*(1-E78))</f>
        <v/>
      </c>
      <c r="AH79" s="15">
        <f>MAX(0,AG78*(1-INDEX($B$11:$B$63,22))*(1-E78))</f>
        <v/>
      </c>
      <c r="AI79" s="15">
        <f>MAX(0,AH78*(1-INDEX($B$11:$B$63,23))*(1-E78))</f>
        <v/>
      </c>
      <c r="AJ79" s="15">
        <f>MAX(0,AI78*(1-INDEX($B$11:$B$63,24))*(1-E78))</f>
        <v/>
      </c>
      <c r="AK79" s="15">
        <f>MAX(0,AJ78*(1-INDEX($B$11:$B$63,25))*(1-E78))</f>
        <v/>
      </c>
      <c r="AL79" s="15">
        <f>MAX(0,AK78*(1-INDEX($B$11:$B$63,26))*(1-E78))</f>
        <v/>
      </c>
      <c r="AM79" s="15">
        <f>MAX(0,AL78*(1-INDEX($B$11:$B$63,27))*(1-E78))</f>
        <v/>
      </c>
      <c r="AN79" s="15">
        <f>MAX(0,AM78*(1-INDEX($B$11:$B$63,28))*(1-E78))</f>
        <v/>
      </c>
      <c r="AO79" s="15">
        <f>MAX(0,AN78*(1-INDEX($B$11:$B$63,29))*(1-E78))</f>
        <v/>
      </c>
      <c r="AP79" s="15">
        <f>MAX(0,AO78*(1-INDEX($B$11:$B$63,30))*(1-E78))</f>
        <v/>
      </c>
      <c r="AQ79" s="15">
        <f>MAX(0,AP78*(1-INDEX($B$11:$B$63,31))*(1-E78))</f>
        <v/>
      </c>
      <c r="AR79" s="15">
        <f>MAX(0,AQ78*(1-INDEX($B$11:$B$63,32))*(1-E78))</f>
        <v/>
      </c>
      <c r="AS79" s="15">
        <f>MAX(0,AR78*(1-INDEX($B$11:$B$63,33))*(1-E78))</f>
        <v/>
      </c>
      <c r="AT79" s="15">
        <f>MAX(0,AS78*(1-INDEX($B$11:$B$63,34))*(1-E78))</f>
        <v/>
      </c>
      <c r="AU79" s="15">
        <f>MAX(0,AT78*(1-INDEX($B$11:$B$63,35))*(1-E78))</f>
        <v/>
      </c>
      <c r="AV79" s="15">
        <f>MAX(0,AU78*(1-INDEX($B$11:$B$63,36))*(1-E78))</f>
        <v/>
      </c>
      <c r="AW79" s="15">
        <f>MAX(0,AV78*(1-INDEX($B$11:$B$63,37))*(1-E78))</f>
        <v/>
      </c>
      <c r="AX79" s="15">
        <f>MAX(0,AW78*(1-INDEX($B$11:$B$63,38))*(1-E78))</f>
        <v/>
      </c>
      <c r="AY79" s="15">
        <f>MAX(0,AX78*(1-INDEX($B$11:$B$63,39))*(1-E78))</f>
        <v/>
      </c>
      <c r="AZ79" s="15">
        <f>MAX(0,AY78*(1-INDEX($B$11:$B$63,40))*(1-E78))</f>
        <v/>
      </c>
      <c r="BA79" s="15">
        <f>MAX(0,AZ78*(1-INDEX($B$11:$B$63,41))*(1-E78))</f>
        <v/>
      </c>
      <c r="BB79" s="15">
        <f>MAX(0,BA78*(1-INDEX($B$11:$B$63,42))*(1-E78))</f>
        <v/>
      </c>
      <c r="BC79" s="15">
        <f>MAX(0,BB78*(1-INDEX($B$11:$B$63,43))*(1-E78))</f>
        <v/>
      </c>
      <c r="BD79" s="15">
        <f>MAX(0,BC78*(1-INDEX($B$11:$B$63,44))*(1-E78))</f>
        <v/>
      </c>
      <c r="BE79" s="15">
        <f>MAX(0,BD78*(1-INDEX($B$11:$B$63,45))*(1-E78))</f>
        <v/>
      </c>
      <c r="BF79" s="15">
        <f>MAX(0,BE78*(1-INDEX($B$11:$B$63,46))*(1-E78))</f>
        <v/>
      </c>
      <c r="BG79" s="15">
        <f>MAX(0,BF78*(1-INDEX($B$11:$B$63,47))*(1-E78))</f>
        <v/>
      </c>
      <c r="BH79" s="15">
        <f>MAX(0,BG78*(1-INDEX($B$11:$B$63,48))*(1-E78))</f>
        <v/>
      </c>
      <c r="BI79" s="15">
        <f>MAX(0,BH78*(1-INDEX($B$11:$B$63,49))*(1-E78))</f>
        <v/>
      </c>
      <c r="BJ79" s="15">
        <f>MAX(0,BI78*(1-INDEX($B$11:$B$63,50))*(1-E78))</f>
        <v/>
      </c>
      <c r="BK79" s="15">
        <f>MAX(0,BJ78*(1-INDEX($B$11:$B$63,51))*(1-E78))</f>
        <v/>
      </c>
      <c r="BL79" s="15">
        <f>MAX(0,(BL78+BK78)*(1-INDEX($B$11:$B$63,53))*(1-E78))</f>
        <v/>
      </c>
    </row>
    <row r="80">
      <c r="A80" s="55" t="n">
        <v>14</v>
      </c>
      <c r="B80" s="15">
        <f>IF(A80&gt;Inputs!$C$62,"",SUM(M80:BK80))</f>
        <v/>
      </c>
      <c r="C80" s="15">
        <f>IF(A80&gt;Inputs!$C$62,"",INDEX(Trajectory!$C$23:$C$2000,A80))</f>
        <v/>
      </c>
      <c r="D80" s="15">
        <f>IF(A80&gt;Inputs!$C$62,"",SUM(L80:BK80))</f>
        <v/>
      </c>
      <c r="E80" s="12">
        <f>IF(A80&gt;Inputs!$C$62,"",INDEX(Trajectory!$AG$23:$AG$2000,A80))</f>
        <v/>
      </c>
      <c r="F80" s="12">
        <f>IF(D80=0,0,SUMPRODUCT(L80:BK80,$B$11:$B$63)/D80)</f>
        <v/>
      </c>
      <c r="G80" s="12">
        <f>IF(D80=0,0,MIN(0.95,1-(1-F80)*(1-E80)))</f>
        <v/>
      </c>
      <c r="H80" s="15">
        <f>IF(D80=0,0,D80*G80)</f>
        <v/>
      </c>
      <c r="I80" s="15">
        <f>IF(D80=0,0,D80-H80)</f>
        <v/>
      </c>
      <c r="L80" s="15">
        <f>C80</f>
        <v/>
      </c>
      <c r="M80" s="15">
        <f>MAX(0,L79*(1-INDEX($B$11:$B$63,1))*(1-E79))</f>
        <v/>
      </c>
      <c r="N80" s="15">
        <f>MAX(0,M79*(1-INDEX($B$11:$B$63,2))*(1-E79))</f>
        <v/>
      </c>
      <c r="O80" s="15">
        <f>MAX(0,N79*(1-INDEX($B$11:$B$63,3))*(1-E79))</f>
        <v/>
      </c>
      <c r="P80" s="15">
        <f>MAX(0,O79*(1-INDEX($B$11:$B$63,4))*(1-E79))</f>
        <v/>
      </c>
      <c r="Q80" s="15">
        <f>MAX(0,P79*(1-INDEX($B$11:$B$63,5))*(1-E79))</f>
        <v/>
      </c>
      <c r="R80" s="15">
        <f>MAX(0,Q79*(1-INDEX($B$11:$B$63,6))*(1-E79))</f>
        <v/>
      </c>
      <c r="S80" s="15">
        <f>MAX(0,R79*(1-INDEX($B$11:$B$63,7))*(1-E79))</f>
        <v/>
      </c>
      <c r="T80" s="15">
        <f>MAX(0,S79*(1-INDEX($B$11:$B$63,8))*(1-E79))</f>
        <v/>
      </c>
      <c r="U80" s="15">
        <f>MAX(0,T79*(1-INDEX($B$11:$B$63,9))*(1-E79))</f>
        <v/>
      </c>
      <c r="V80" s="15">
        <f>MAX(0,U79*(1-INDEX($B$11:$B$63,10))*(1-E79))</f>
        <v/>
      </c>
      <c r="W80" s="15">
        <f>MAX(0,V79*(1-INDEX($B$11:$B$63,11))*(1-E79))</f>
        <v/>
      </c>
      <c r="X80" s="15">
        <f>MAX(0,W79*(1-INDEX($B$11:$B$63,12))*(1-E79))</f>
        <v/>
      </c>
      <c r="Y80" s="15">
        <f>MAX(0,X79*(1-INDEX($B$11:$B$63,13))*(1-E79))</f>
        <v/>
      </c>
      <c r="Z80" s="15">
        <f>MAX(0,Y79*(1-INDEX($B$11:$B$63,14))*(1-E79))</f>
        <v/>
      </c>
      <c r="AA80" s="15">
        <f>MAX(0,Z79*(1-INDEX($B$11:$B$63,15))*(1-E79))</f>
        <v/>
      </c>
      <c r="AB80" s="15">
        <f>MAX(0,AA79*(1-INDEX($B$11:$B$63,16))*(1-E79))</f>
        <v/>
      </c>
      <c r="AC80" s="15">
        <f>MAX(0,AB79*(1-INDEX($B$11:$B$63,17))*(1-E79))</f>
        <v/>
      </c>
      <c r="AD80" s="15">
        <f>MAX(0,AC79*(1-INDEX($B$11:$B$63,18))*(1-E79))</f>
        <v/>
      </c>
      <c r="AE80" s="15">
        <f>MAX(0,AD79*(1-INDEX($B$11:$B$63,19))*(1-E79))</f>
        <v/>
      </c>
      <c r="AF80" s="15">
        <f>MAX(0,AE79*(1-INDEX($B$11:$B$63,20))*(1-E79))</f>
        <v/>
      </c>
      <c r="AG80" s="15">
        <f>MAX(0,AF79*(1-INDEX($B$11:$B$63,21))*(1-E79))</f>
        <v/>
      </c>
      <c r="AH80" s="15">
        <f>MAX(0,AG79*(1-INDEX($B$11:$B$63,22))*(1-E79))</f>
        <v/>
      </c>
      <c r="AI80" s="15">
        <f>MAX(0,AH79*(1-INDEX($B$11:$B$63,23))*(1-E79))</f>
        <v/>
      </c>
      <c r="AJ80" s="15">
        <f>MAX(0,AI79*(1-INDEX($B$11:$B$63,24))*(1-E79))</f>
        <v/>
      </c>
      <c r="AK80" s="15">
        <f>MAX(0,AJ79*(1-INDEX($B$11:$B$63,25))*(1-E79))</f>
        <v/>
      </c>
      <c r="AL80" s="15">
        <f>MAX(0,AK79*(1-INDEX($B$11:$B$63,26))*(1-E79))</f>
        <v/>
      </c>
      <c r="AM80" s="15">
        <f>MAX(0,AL79*(1-INDEX($B$11:$B$63,27))*(1-E79))</f>
        <v/>
      </c>
      <c r="AN80" s="15">
        <f>MAX(0,AM79*(1-INDEX($B$11:$B$63,28))*(1-E79))</f>
        <v/>
      </c>
      <c r="AO80" s="15">
        <f>MAX(0,AN79*(1-INDEX($B$11:$B$63,29))*(1-E79))</f>
        <v/>
      </c>
      <c r="AP80" s="15">
        <f>MAX(0,AO79*(1-INDEX($B$11:$B$63,30))*(1-E79))</f>
        <v/>
      </c>
      <c r="AQ80" s="15">
        <f>MAX(0,AP79*(1-INDEX($B$11:$B$63,31))*(1-E79))</f>
        <v/>
      </c>
      <c r="AR80" s="15">
        <f>MAX(0,AQ79*(1-INDEX($B$11:$B$63,32))*(1-E79))</f>
        <v/>
      </c>
      <c r="AS80" s="15">
        <f>MAX(0,AR79*(1-INDEX($B$11:$B$63,33))*(1-E79))</f>
        <v/>
      </c>
      <c r="AT80" s="15">
        <f>MAX(0,AS79*(1-INDEX($B$11:$B$63,34))*(1-E79))</f>
        <v/>
      </c>
      <c r="AU80" s="15">
        <f>MAX(0,AT79*(1-INDEX($B$11:$B$63,35))*(1-E79))</f>
        <v/>
      </c>
      <c r="AV80" s="15">
        <f>MAX(0,AU79*(1-INDEX($B$11:$B$63,36))*(1-E79))</f>
        <v/>
      </c>
      <c r="AW80" s="15">
        <f>MAX(0,AV79*(1-INDEX($B$11:$B$63,37))*(1-E79))</f>
        <v/>
      </c>
      <c r="AX80" s="15">
        <f>MAX(0,AW79*(1-INDEX($B$11:$B$63,38))*(1-E79))</f>
        <v/>
      </c>
      <c r="AY80" s="15">
        <f>MAX(0,AX79*(1-INDEX($B$11:$B$63,39))*(1-E79))</f>
        <v/>
      </c>
      <c r="AZ80" s="15">
        <f>MAX(0,AY79*(1-INDEX($B$11:$B$63,40))*(1-E79))</f>
        <v/>
      </c>
      <c r="BA80" s="15">
        <f>MAX(0,AZ79*(1-INDEX($B$11:$B$63,41))*(1-E79))</f>
        <v/>
      </c>
      <c r="BB80" s="15">
        <f>MAX(0,BA79*(1-INDEX($B$11:$B$63,42))*(1-E79))</f>
        <v/>
      </c>
      <c r="BC80" s="15">
        <f>MAX(0,BB79*(1-INDEX($B$11:$B$63,43))*(1-E79))</f>
        <v/>
      </c>
      <c r="BD80" s="15">
        <f>MAX(0,BC79*(1-INDEX($B$11:$B$63,44))*(1-E79))</f>
        <v/>
      </c>
      <c r="BE80" s="15">
        <f>MAX(0,BD79*(1-INDEX($B$11:$B$63,45))*(1-E79))</f>
        <v/>
      </c>
      <c r="BF80" s="15">
        <f>MAX(0,BE79*(1-INDEX($B$11:$B$63,46))*(1-E79))</f>
        <v/>
      </c>
      <c r="BG80" s="15">
        <f>MAX(0,BF79*(1-INDEX($B$11:$B$63,47))*(1-E79))</f>
        <v/>
      </c>
      <c r="BH80" s="15">
        <f>MAX(0,BG79*(1-INDEX($B$11:$B$63,48))*(1-E79))</f>
        <v/>
      </c>
      <c r="BI80" s="15">
        <f>MAX(0,BH79*(1-INDEX($B$11:$B$63,49))*(1-E79))</f>
        <v/>
      </c>
      <c r="BJ80" s="15">
        <f>MAX(0,BI79*(1-INDEX($B$11:$B$63,50))*(1-E79))</f>
        <v/>
      </c>
      <c r="BK80" s="15">
        <f>MAX(0,BJ79*(1-INDEX($B$11:$B$63,51))*(1-E79))</f>
        <v/>
      </c>
      <c r="BL80" s="15">
        <f>MAX(0,(BL79+BK79)*(1-INDEX($B$11:$B$63,53))*(1-E79))</f>
        <v/>
      </c>
    </row>
    <row r="81">
      <c r="A81" s="55" t="n">
        <v>15</v>
      </c>
      <c r="B81" s="15">
        <f>IF(A81&gt;Inputs!$C$62,"",SUM(M81:BK81))</f>
        <v/>
      </c>
      <c r="C81" s="15">
        <f>IF(A81&gt;Inputs!$C$62,"",INDEX(Trajectory!$C$23:$C$2000,A81))</f>
        <v/>
      </c>
      <c r="D81" s="15">
        <f>IF(A81&gt;Inputs!$C$62,"",SUM(L81:BK81))</f>
        <v/>
      </c>
      <c r="E81" s="12">
        <f>IF(A81&gt;Inputs!$C$62,"",INDEX(Trajectory!$AG$23:$AG$2000,A81))</f>
        <v/>
      </c>
      <c r="F81" s="12">
        <f>IF(D81=0,0,SUMPRODUCT(L81:BK81,$B$11:$B$63)/D81)</f>
        <v/>
      </c>
      <c r="G81" s="12">
        <f>IF(D81=0,0,MIN(0.95,1-(1-F81)*(1-E81)))</f>
        <v/>
      </c>
      <c r="H81" s="15">
        <f>IF(D81=0,0,D81*G81)</f>
        <v/>
      </c>
      <c r="I81" s="15">
        <f>IF(D81=0,0,D81-H81)</f>
        <v/>
      </c>
      <c r="L81" s="15">
        <f>C81</f>
        <v/>
      </c>
      <c r="M81" s="15">
        <f>MAX(0,L80*(1-INDEX($B$11:$B$63,1))*(1-E80))</f>
        <v/>
      </c>
      <c r="N81" s="15">
        <f>MAX(0,M80*(1-INDEX($B$11:$B$63,2))*(1-E80))</f>
        <v/>
      </c>
      <c r="O81" s="15">
        <f>MAX(0,N80*(1-INDEX($B$11:$B$63,3))*(1-E80))</f>
        <v/>
      </c>
      <c r="P81" s="15">
        <f>MAX(0,O80*(1-INDEX($B$11:$B$63,4))*(1-E80))</f>
        <v/>
      </c>
      <c r="Q81" s="15">
        <f>MAX(0,P80*(1-INDEX($B$11:$B$63,5))*(1-E80))</f>
        <v/>
      </c>
      <c r="R81" s="15">
        <f>MAX(0,Q80*(1-INDEX($B$11:$B$63,6))*(1-E80))</f>
        <v/>
      </c>
      <c r="S81" s="15">
        <f>MAX(0,R80*(1-INDEX($B$11:$B$63,7))*(1-E80))</f>
        <v/>
      </c>
      <c r="T81" s="15">
        <f>MAX(0,S80*(1-INDEX($B$11:$B$63,8))*(1-E80))</f>
        <v/>
      </c>
      <c r="U81" s="15">
        <f>MAX(0,T80*(1-INDEX($B$11:$B$63,9))*(1-E80))</f>
        <v/>
      </c>
      <c r="V81" s="15">
        <f>MAX(0,U80*(1-INDEX($B$11:$B$63,10))*(1-E80))</f>
        <v/>
      </c>
      <c r="W81" s="15">
        <f>MAX(0,V80*(1-INDEX($B$11:$B$63,11))*(1-E80))</f>
        <v/>
      </c>
      <c r="X81" s="15">
        <f>MAX(0,W80*(1-INDEX($B$11:$B$63,12))*(1-E80))</f>
        <v/>
      </c>
      <c r="Y81" s="15">
        <f>MAX(0,X80*(1-INDEX($B$11:$B$63,13))*(1-E80))</f>
        <v/>
      </c>
      <c r="Z81" s="15">
        <f>MAX(0,Y80*(1-INDEX($B$11:$B$63,14))*(1-E80))</f>
        <v/>
      </c>
      <c r="AA81" s="15">
        <f>MAX(0,Z80*(1-INDEX($B$11:$B$63,15))*(1-E80))</f>
        <v/>
      </c>
      <c r="AB81" s="15">
        <f>MAX(0,AA80*(1-INDEX($B$11:$B$63,16))*(1-E80))</f>
        <v/>
      </c>
      <c r="AC81" s="15">
        <f>MAX(0,AB80*(1-INDEX($B$11:$B$63,17))*(1-E80))</f>
        <v/>
      </c>
      <c r="AD81" s="15">
        <f>MAX(0,AC80*(1-INDEX($B$11:$B$63,18))*(1-E80))</f>
        <v/>
      </c>
      <c r="AE81" s="15">
        <f>MAX(0,AD80*(1-INDEX($B$11:$B$63,19))*(1-E80))</f>
        <v/>
      </c>
      <c r="AF81" s="15">
        <f>MAX(0,AE80*(1-INDEX($B$11:$B$63,20))*(1-E80))</f>
        <v/>
      </c>
      <c r="AG81" s="15">
        <f>MAX(0,AF80*(1-INDEX($B$11:$B$63,21))*(1-E80))</f>
        <v/>
      </c>
      <c r="AH81" s="15">
        <f>MAX(0,AG80*(1-INDEX($B$11:$B$63,22))*(1-E80))</f>
        <v/>
      </c>
      <c r="AI81" s="15">
        <f>MAX(0,AH80*(1-INDEX($B$11:$B$63,23))*(1-E80))</f>
        <v/>
      </c>
      <c r="AJ81" s="15">
        <f>MAX(0,AI80*(1-INDEX($B$11:$B$63,24))*(1-E80))</f>
        <v/>
      </c>
      <c r="AK81" s="15">
        <f>MAX(0,AJ80*(1-INDEX($B$11:$B$63,25))*(1-E80))</f>
        <v/>
      </c>
      <c r="AL81" s="15">
        <f>MAX(0,AK80*(1-INDEX($B$11:$B$63,26))*(1-E80))</f>
        <v/>
      </c>
      <c r="AM81" s="15">
        <f>MAX(0,AL80*(1-INDEX($B$11:$B$63,27))*(1-E80))</f>
        <v/>
      </c>
      <c r="AN81" s="15">
        <f>MAX(0,AM80*(1-INDEX($B$11:$B$63,28))*(1-E80))</f>
        <v/>
      </c>
      <c r="AO81" s="15">
        <f>MAX(0,AN80*(1-INDEX($B$11:$B$63,29))*(1-E80))</f>
        <v/>
      </c>
      <c r="AP81" s="15">
        <f>MAX(0,AO80*(1-INDEX($B$11:$B$63,30))*(1-E80))</f>
        <v/>
      </c>
      <c r="AQ81" s="15">
        <f>MAX(0,AP80*(1-INDEX($B$11:$B$63,31))*(1-E80))</f>
        <v/>
      </c>
      <c r="AR81" s="15">
        <f>MAX(0,AQ80*(1-INDEX($B$11:$B$63,32))*(1-E80))</f>
        <v/>
      </c>
      <c r="AS81" s="15">
        <f>MAX(0,AR80*(1-INDEX($B$11:$B$63,33))*(1-E80))</f>
        <v/>
      </c>
      <c r="AT81" s="15">
        <f>MAX(0,AS80*(1-INDEX($B$11:$B$63,34))*(1-E80))</f>
        <v/>
      </c>
      <c r="AU81" s="15">
        <f>MAX(0,AT80*(1-INDEX($B$11:$B$63,35))*(1-E80))</f>
        <v/>
      </c>
      <c r="AV81" s="15">
        <f>MAX(0,AU80*(1-INDEX($B$11:$B$63,36))*(1-E80))</f>
        <v/>
      </c>
      <c r="AW81" s="15">
        <f>MAX(0,AV80*(1-INDEX($B$11:$B$63,37))*(1-E80))</f>
        <v/>
      </c>
      <c r="AX81" s="15">
        <f>MAX(0,AW80*(1-INDEX($B$11:$B$63,38))*(1-E80))</f>
        <v/>
      </c>
      <c r="AY81" s="15">
        <f>MAX(0,AX80*(1-INDEX($B$11:$B$63,39))*(1-E80))</f>
        <v/>
      </c>
      <c r="AZ81" s="15">
        <f>MAX(0,AY80*(1-INDEX($B$11:$B$63,40))*(1-E80))</f>
        <v/>
      </c>
      <c r="BA81" s="15">
        <f>MAX(0,AZ80*(1-INDEX($B$11:$B$63,41))*(1-E80))</f>
        <v/>
      </c>
      <c r="BB81" s="15">
        <f>MAX(0,BA80*(1-INDEX($B$11:$B$63,42))*(1-E80))</f>
        <v/>
      </c>
      <c r="BC81" s="15">
        <f>MAX(0,BB80*(1-INDEX($B$11:$B$63,43))*(1-E80))</f>
        <v/>
      </c>
      <c r="BD81" s="15">
        <f>MAX(0,BC80*(1-INDEX($B$11:$B$63,44))*(1-E80))</f>
        <v/>
      </c>
      <c r="BE81" s="15">
        <f>MAX(0,BD80*(1-INDEX($B$11:$B$63,45))*(1-E80))</f>
        <v/>
      </c>
      <c r="BF81" s="15">
        <f>MAX(0,BE80*(1-INDEX($B$11:$B$63,46))*(1-E80))</f>
        <v/>
      </c>
      <c r="BG81" s="15">
        <f>MAX(0,BF80*(1-INDEX($B$11:$B$63,47))*(1-E80))</f>
        <v/>
      </c>
      <c r="BH81" s="15">
        <f>MAX(0,BG80*(1-INDEX($B$11:$B$63,48))*(1-E80))</f>
        <v/>
      </c>
      <c r="BI81" s="15">
        <f>MAX(0,BH80*(1-INDEX($B$11:$B$63,49))*(1-E80))</f>
        <v/>
      </c>
      <c r="BJ81" s="15">
        <f>MAX(0,BI80*(1-INDEX($B$11:$B$63,50))*(1-E80))</f>
        <v/>
      </c>
      <c r="BK81" s="15">
        <f>MAX(0,BJ80*(1-INDEX($B$11:$B$63,51))*(1-E80))</f>
        <v/>
      </c>
      <c r="BL81" s="15">
        <f>MAX(0,(BL80+BK80)*(1-INDEX($B$11:$B$63,53))*(1-E80))</f>
        <v/>
      </c>
    </row>
    <row r="82">
      <c r="A82" s="55" t="n">
        <v>16</v>
      </c>
      <c r="B82" s="15">
        <f>IF(A82&gt;Inputs!$C$62,"",SUM(M82:BK82))</f>
        <v/>
      </c>
      <c r="C82" s="15">
        <f>IF(A82&gt;Inputs!$C$62,"",INDEX(Trajectory!$C$23:$C$2000,A82))</f>
        <v/>
      </c>
      <c r="D82" s="15">
        <f>IF(A82&gt;Inputs!$C$62,"",SUM(L82:BK82))</f>
        <v/>
      </c>
      <c r="E82" s="12">
        <f>IF(A82&gt;Inputs!$C$62,"",INDEX(Trajectory!$AG$23:$AG$2000,A82))</f>
        <v/>
      </c>
      <c r="F82" s="12">
        <f>IF(D82=0,0,SUMPRODUCT(L82:BK82,$B$11:$B$63)/D82)</f>
        <v/>
      </c>
      <c r="G82" s="12">
        <f>IF(D82=0,0,MIN(0.95,1-(1-F82)*(1-E82)))</f>
        <v/>
      </c>
      <c r="H82" s="15">
        <f>IF(D82=0,0,D82*G82)</f>
        <v/>
      </c>
      <c r="I82" s="15">
        <f>IF(D82=0,0,D82-H82)</f>
        <v/>
      </c>
      <c r="L82" s="15">
        <f>C82</f>
        <v/>
      </c>
      <c r="M82" s="15">
        <f>MAX(0,L81*(1-INDEX($B$11:$B$63,1))*(1-E81))</f>
        <v/>
      </c>
      <c r="N82" s="15">
        <f>MAX(0,M81*(1-INDEX($B$11:$B$63,2))*(1-E81))</f>
        <v/>
      </c>
      <c r="O82" s="15">
        <f>MAX(0,N81*(1-INDEX($B$11:$B$63,3))*(1-E81))</f>
        <v/>
      </c>
      <c r="P82" s="15">
        <f>MAX(0,O81*(1-INDEX($B$11:$B$63,4))*(1-E81))</f>
        <v/>
      </c>
      <c r="Q82" s="15">
        <f>MAX(0,P81*(1-INDEX($B$11:$B$63,5))*(1-E81))</f>
        <v/>
      </c>
      <c r="R82" s="15">
        <f>MAX(0,Q81*(1-INDEX($B$11:$B$63,6))*(1-E81))</f>
        <v/>
      </c>
      <c r="S82" s="15">
        <f>MAX(0,R81*(1-INDEX($B$11:$B$63,7))*(1-E81))</f>
        <v/>
      </c>
      <c r="T82" s="15">
        <f>MAX(0,S81*(1-INDEX($B$11:$B$63,8))*(1-E81))</f>
        <v/>
      </c>
      <c r="U82" s="15">
        <f>MAX(0,T81*(1-INDEX($B$11:$B$63,9))*(1-E81))</f>
        <v/>
      </c>
      <c r="V82" s="15">
        <f>MAX(0,U81*(1-INDEX($B$11:$B$63,10))*(1-E81))</f>
        <v/>
      </c>
      <c r="W82" s="15">
        <f>MAX(0,V81*(1-INDEX($B$11:$B$63,11))*(1-E81))</f>
        <v/>
      </c>
      <c r="X82" s="15">
        <f>MAX(0,W81*(1-INDEX($B$11:$B$63,12))*(1-E81))</f>
        <v/>
      </c>
      <c r="Y82" s="15">
        <f>MAX(0,X81*(1-INDEX($B$11:$B$63,13))*(1-E81))</f>
        <v/>
      </c>
      <c r="Z82" s="15">
        <f>MAX(0,Y81*(1-INDEX($B$11:$B$63,14))*(1-E81))</f>
        <v/>
      </c>
      <c r="AA82" s="15">
        <f>MAX(0,Z81*(1-INDEX($B$11:$B$63,15))*(1-E81))</f>
        <v/>
      </c>
      <c r="AB82" s="15">
        <f>MAX(0,AA81*(1-INDEX($B$11:$B$63,16))*(1-E81))</f>
        <v/>
      </c>
      <c r="AC82" s="15">
        <f>MAX(0,AB81*(1-INDEX($B$11:$B$63,17))*(1-E81))</f>
        <v/>
      </c>
      <c r="AD82" s="15">
        <f>MAX(0,AC81*(1-INDEX($B$11:$B$63,18))*(1-E81))</f>
        <v/>
      </c>
      <c r="AE82" s="15">
        <f>MAX(0,AD81*(1-INDEX($B$11:$B$63,19))*(1-E81))</f>
        <v/>
      </c>
      <c r="AF82" s="15">
        <f>MAX(0,AE81*(1-INDEX($B$11:$B$63,20))*(1-E81))</f>
        <v/>
      </c>
      <c r="AG82" s="15">
        <f>MAX(0,AF81*(1-INDEX($B$11:$B$63,21))*(1-E81))</f>
        <v/>
      </c>
      <c r="AH82" s="15">
        <f>MAX(0,AG81*(1-INDEX($B$11:$B$63,22))*(1-E81))</f>
        <v/>
      </c>
      <c r="AI82" s="15">
        <f>MAX(0,AH81*(1-INDEX($B$11:$B$63,23))*(1-E81))</f>
        <v/>
      </c>
      <c r="AJ82" s="15">
        <f>MAX(0,AI81*(1-INDEX($B$11:$B$63,24))*(1-E81))</f>
        <v/>
      </c>
      <c r="AK82" s="15">
        <f>MAX(0,AJ81*(1-INDEX($B$11:$B$63,25))*(1-E81))</f>
        <v/>
      </c>
      <c r="AL82" s="15">
        <f>MAX(0,AK81*(1-INDEX($B$11:$B$63,26))*(1-E81))</f>
        <v/>
      </c>
      <c r="AM82" s="15">
        <f>MAX(0,AL81*(1-INDEX($B$11:$B$63,27))*(1-E81))</f>
        <v/>
      </c>
      <c r="AN82" s="15">
        <f>MAX(0,AM81*(1-INDEX($B$11:$B$63,28))*(1-E81))</f>
        <v/>
      </c>
      <c r="AO82" s="15">
        <f>MAX(0,AN81*(1-INDEX($B$11:$B$63,29))*(1-E81))</f>
        <v/>
      </c>
      <c r="AP82" s="15">
        <f>MAX(0,AO81*(1-INDEX($B$11:$B$63,30))*(1-E81))</f>
        <v/>
      </c>
      <c r="AQ82" s="15">
        <f>MAX(0,AP81*(1-INDEX($B$11:$B$63,31))*(1-E81))</f>
        <v/>
      </c>
      <c r="AR82" s="15">
        <f>MAX(0,AQ81*(1-INDEX($B$11:$B$63,32))*(1-E81))</f>
        <v/>
      </c>
      <c r="AS82" s="15">
        <f>MAX(0,AR81*(1-INDEX($B$11:$B$63,33))*(1-E81))</f>
        <v/>
      </c>
      <c r="AT82" s="15">
        <f>MAX(0,AS81*(1-INDEX($B$11:$B$63,34))*(1-E81))</f>
        <v/>
      </c>
      <c r="AU82" s="15">
        <f>MAX(0,AT81*(1-INDEX($B$11:$B$63,35))*(1-E81))</f>
        <v/>
      </c>
      <c r="AV82" s="15">
        <f>MAX(0,AU81*(1-INDEX($B$11:$B$63,36))*(1-E81))</f>
        <v/>
      </c>
      <c r="AW82" s="15">
        <f>MAX(0,AV81*(1-INDEX($B$11:$B$63,37))*(1-E81))</f>
        <v/>
      </c>
      <c r="AX82" s="15">
        <f>MAX(0,AW81*(1-INDEX($B$11:$B$63,38))*(1-E81))</f>
        <v/>
      </c>
      <c r="AY82" s="15">
        <f>MAX(0,AX81*(1-INDEX($B$11:$B$63,39))*(1-E81))</f>
        <v/>
      </c>
      <c r="AZ82" s="15">
        <f>MAX(0,AY81*(1-INDEX($B$11:$B$63,40))*(1-E81))</f>
        <v/>
      </c>
      <c r="BA82" s="15">
        <f>MAX(0,AZ81*(1-INDEX($B$11:$B$63,41))*(1-E81))</f>
        <v/>
      </c>
      <c r="BB82" s="15">
        <f>MAX(0,BA81*(1-INDEX($B$11:$B$63,42))*(1-E81))</f>
        <v/>
      </c>
      <c r="BC82" s="15">
        <f>MAX(0,BB81*(1-INDEX($B$11:$B$63,43))*(1-E81))</f>
        <v/>
      </c>
      <c r="BD82" s="15">
        <f>MAX(0,BC81*(1-INDEX($B$11:$B$63,44))*(1-E81))</f>
        <v/>
      </c>
      <c r="BE82" s="15">
        <f>MAX(0,BD81*(1-INDEX($B$11:$B$63,45))*(1-E81))</f>
        <v/>
      </c>
      <c r="BF82" s="15">
        <f>MAX(0,BE81*(1-INDEX($B$11:$B$63,46))*(1-E81))</f>
        <v/>
      </c>
      <c r="BG82" s="15">
        <f>MAX(0,BF81*(1-INDEX($B$11:$B$63,47))*(1-E81))</f>
        <v/>
      </c>
      <c r="BH82" s="15">
        <f>MAX(0,BG81*(1-INDEX($B$11:$B$63,48))*(1-E81))</f>
        <v/>
      </c>
      <c r="BI82" s="15">
        <f>MAX(0,BH81*(1-INDEX($B$11:$B$63,49))*(1-E81))</f>
        <v/>
      </c>
      <c r="BJ82" s="15">
        <f>MAX(0,BI81*(1-INDEX($B$11:$B$63,50))*(1-E81))</f>
        <v/>
      </c>
      <c r="BK82" s="15">
        <f>MAX(0,BJ81*(1-INDEX($B$11:$B$63,51))*(1-E81))</f>
        <v/>
      </c>
      <c r="BL82" s="15">
        <f>MAX(0,(BL81+BK81)*(1-INDEX($B$11:$B$63,53))*(1-E81))</f>
        <v/>
      </c>
    </row>
    <row r="83">
      <c r="A83" s="55" t="n">
        <v>17</v>
      </c>
      <c r="B83" s="15">
        <f>IF(A83&gt;Inputs!$C$62,"",SUM(M83:BK83))</f>
        <v/>
      </c>
      <c r="C83" s="15">
        <f>IF(A83&gt;Inputs!$C$62,"",INDEX(Trajectory!$C$23:$C$2000,A83))</f>
        <v/>
      </c>
      <c r="D83" s="15">
        <f>IF(A83&gt;Inputs!$C$62,"",SUM(L83:BK83))</f>
        <v/>
      </c>
      <c r="E83" s="12">
        <f>IF(A83&gt;Inputs!$C$62,"",INDEX(Trajectory!$AG$23:$AG$2000,A83))</f>
        <v/>
      </c>
      <c r="F83" s="12">
        <f>IF(D83=0,0,SUMPRODUCT(L83:BK83,$B$11:$B$63)/D83)</f>
        <v/>
      </c>
      <c r="G83" s="12">
        <f>IF(D83=0,0,MIN(0.95,1-(1-F83)*(1-E83)))</f>
        <v/>
      </c>
      <c r="H83" s="15">
        <f>IF(D83=0,0,D83*G83)</f>
        <v/>
      </c>
      <c r="I83" s="15">
        <f>IF(D83=0,0,D83-H83)</f>
        <v/>
      </c>
      <c r="L83" s="15">
        <f>C83</f>
        <v/>
      </c>
      <c r="M83" s="15">
        <f>MAX(0,L82*(1-INDEX($B$11:$B$63,1))*(1-E82))</f>
        <v/>
      </c>
      <c r="N83" s="15">
        <f>MAX(0,M82*(1-INDEX($B$11:$B$63,2))*(1-E82))</f>
        <v/>
      </c>
      <c r="O83" s="15">
        <f>MAX(0,N82*(1-INDEX($B$11:$B$63,3))*(1-E82))</f>
        <v/>
      </c>
      <c r="P83" s="15">
        <f>MAX(0,O82*(1-INDEX($B$11:$B$63,4))*(1-E82))</f>
        <v/>
      </c>
      <c r="Q83" s="15">
        <f>MAX(0,P82*(1-INDEX($B$11:$B$63,5))*(1-E82))</f>
        <v/>
      </c>
      <c r="R83" s="15">
        <f>MAX(0,Q82*(1-INDEX($B$11:$B$63,6))*(1-E82))</f>
        <v/>
      </c>
      <c r="S83" s="15">
        <f>MAX(0,R82*(1-INDEX($B$11:$B$63,7))*(1-E82))</f>
        <v/>
      </c>
      <c r="T83" s="15">
        <f>MAX(0,S82*(1-INDEX($B$11:$B$63,8))*(1-E82))</f>
        <v/>
      </c>
      <c r="U83" s="15">
        <f>MAX(0,T82*(1-INDEX($B$11:$B$63,9))*(1-E82))</f>
        <v/>
      </c>
      <c r="V83" s="15">
        <f>MAX(0,U82*(1-INDEX($B$11:$B$63,10))*(1-E82))</f>
        <v/>
      </c>
      <c r="W83" s="15">
        <f>MAX(0,V82*(1-INDEX($B$11:$B$63,11))*(1-E82))</f>
        <v/>
      </c>
      <c r="X83" s="15">
        <f>MAX(0,W82*(1-INDEX($B$11:$B$63,12))*(1-E82))</f>
        <v/>
      </c>
      <c r="Y83" s="15">
        <f>MAX(0,X82*(1-INDEX($B$11:$B$63,13))*(1-E82))</f>
        <v/>
      </c>
      <c r="Z83" s="15">
        <f>MAX(0,Y82*(1-INDEX($B$11:$B$63,14))*(1-E82))</f>
        <v/>
      </c>
      <c r="AA83" s="15">
        <f>MAX(0,Z82*(1-INDEX($B$11:$B$63,15))*(1-E82))</f>
        <v/>
      </c>
      <c r="AB83" s="15">
        <f>MAX(0,AA82*(1-INDEX($B$11:$B$63,16))*(1-E82))</f>
        <v/>
      </c>
      <c r="AC83" s="15">
        <f>MAX(0,AB82*(1-INDEX($B$11:$B$63,17))*(1-E82))</f>
        <v/>
      </c>
      <c r="AD83" s="15">
        <f>MAX(0,AC82*(1-INDEX($B$11:$B$63,18))*(1-E82))</f>
        <v/>
      </c>
      <c r="AE83" s="15">
        <f>MAX(0,AD82*(1-INDEX($B$11:$B$63,19))*(1-E82))</f>
        <v/>
      </c>
      <c r="AF83" s="15">
        <f>MAX(0,AE82*(1-INDEX($B$11:$B$63,20))*(1-E82))</f>
        <v/>
      </c>
      <c r="AG83" s="15">
        <f>MAX(0,AF82*(1-INDEX($B$11:$B$63,21))*(1-E82))</f>
        <v/>
      </c>
      <c r="AH83" s="15">
        <f>MAX(0,AG82*(1-INDEX($B$11:$B$63,22))*(1-E82))</f>
        <v/>
      </c>
      <c r="AI83" s="15">
        <f>MAX(0,AH82*(1-INDEX($B$11:$B$63,23))*(1-E82))</f>
        <v/>
      </c>
      <c r="AJ83" s="15">
        <f>MAX(0,AI82*(1-INDEX($B$11:$B$63,24))*(1-E82))</f>
        <v/>
      </c>
      <c r="AK83" s="15">
        <f>MAX(0,AJ82*(1-INDEX($B$11:$B$63,25))*(1-E82))</f>
        <v/>
      </c>
      <c r="AL83" s="15">
        <f>MAX(0,AK82*(1-INDEX($B$11:$B$63,26))*(1-E82))</f>
        <v/>
      </c>
      <c r="AM83" s="15">
        <f>MAX(0,AL82*(1-INDEX($B$11:$B$63,27))*(1-E82))</f>
        <v/>
      </c>
      <c r="AN83" s="15">
        <f>MAX(0,AM82*(1-INDEX($B$11:$B$63,28))*(1-E82))</f>
        <v/>
      </c>
      <c r="AO83" s="15">
        <f>MAX(0,AN82*(1-INDEX($B$11:$B$63,29))*(1-E82))</f>
        <v/>
      </c>
      <c r="AP83" s="15">
        <f>MAX(0,AO82*(1-INDEX($B$11:$B$63,30))*(1-E82))</f>
        <v/>
      </c>
      <c r="AQ83" s="15">
        <f>MAX(0,AP82*(1-INDEX($B$11:$B$63,31))*(1-E82))</f>
        <v/>
      </c>
      <c r="AR83" s="15">
        <f>MAX(0,AQ82*(1-INDEX($B$11:$B$63,32))*(1-E82))</f>
        <v/>
      </c>
      <c r="AS83" s="15">
        <f>MAX(0,AR82*(1-INDEX($B$11:$B$63,33))*(1-E82))</f>
        <v/>
      </c>
      <c r="AT83" s="15">
        <f>MAX(0,AS82*(1-INDEX($B$11:$B$63,34))*(1-E82))</f>
        <v/>
      </c>
      <c r="AU83" s="15">
        <f>MAX(0,AT82*(1-INDEX($B$11:$B$63,35))*(1-E82))</f>
        <v/>
      </c>
      <c r="AV83" s="15">
        <f>MAX(0,AU82*(1-INDEX($B$11:$B$63,36))*(1-E82))</f>
        <v/>
      </c>
      <c r="AW83" s="15">
        <f>MAX(0,AV82*(1-INDEX($B$11:$B$63,37))*(1-E82))</f>
        <v/>
      </c>
      <c r="AX83" s="15">
        <f>MAX(0,AW82*(1-INDEX($B$11:$B$63,38))*(1-E82))</f>
        <v/>
      </c>
      <c r="AY83" s="15">
        <f>MAX(0,AX82*(1-INDEX($B$11:$B$63,39))*(1-E82))</f>
        <v/>
      </c>
      <c r="AZ83" s="15">
        <f>MAX(0,AY82*(1-INDEX($B$11:$B$63,40))*(1-E82))</f>
        <v/>
      </c>
      <c r="BA83" s="15">
        <f>MAX(0,AZ82*(1-INDEX($B$11:$B$63,41))*(1-E82))</f>
        <v/>
      </c>
      <c r="BB83" s="15">
        <f>MAX(0,BA82*(1-INDEX($B$11:$B$63,42))*(1-E82))</f>
        <v/>
      </c>
      <c r="BC83" s="15">
        <f>MAX(0,BB82*(1-INDEX($B$11:$B$63,43))*(1-E82))</f>
        <v/>
      </c>
      <c r="BD83" s="15">
        <f>MAX(0,BC82*(1-INDEX($B$11:$B$63,44))*(1-E82))</f>
        <v/>
      </c>
      <c r="BE83" s="15">
        <f>MAX(0,BD82*(1-INDEX($B$11:$B$63,45))*(1-E82))</f>
        <v/>
      </c>
      <c r="BF83" s="15">
        <f>MAX(0,BE82*(1-INDEX($B$11:$B$63,46))*(1-E82))</f>
        <v/>
      </c>
      <c r="BG83" s="15">
        <f>MAX(0,BF82*(1-INDEX($B$11:$B$63,47))*(1-E82))</f>
        <v/>
      </c>
      <c r="BH83" s="15">
        <f>MAX(0,BG82*(1-INDEX($B$11:$B$63,48))*(1-E82))</f>
        <v/>
      </c>
      <c r="BI83" s="15">
        <f>MAX(0,BH82*(1-INDEX($B$11:$B$63,49))*(1-E82))</f>
        <v/>
      </c>
      <c r="BJ83" s="15">
        <f>MAX(0,BI82*(1-INDEX($B$11:$B$63,50))*(1-E82))</f>
        <v/>
      </c>
      <c r="BK83" s="15">
        <f>MAX(0,BJ82*(1-INDEX($B$11:$B$63,51))*(1-E82))</f>
        <v/>
      </c>
      <c r="BL83" s="15">
        <f>MAX(0,(BL82+BK82)*(1-INDEX($B$11:$B$63,53))*(1-E82))</f>
        <v/>
      </c>
    </row>
    <row r="84">
      <c r="A84" s="55" t="n">
        <v>18</v>
      </c>
      <c r="B84" s="15">
        <f>IF(A84&gt;Inputs!$C$62,"",SUM(M84:BK84))</f>
        <v/>
      </c>
      <c r="C84" s="15">
        <f>IF(A84&gt;Inputs!$C$62,"",INDEX(Trajectory!$C$23:$C$2000,A84))</f>
        <v/>
      </c>
      <c r="D84" s="15">
        <f>IF(A84&gt;Inputs!$C$62,"",SUM(L84:BK84))</f>
        <v/>
      </c>
      <c r="E84" s="12">
        <f>IF(A84&gt;Inputs!$C$62,"",INDEX(Trajectory!$AG$23:$AG$2000,A84))</f>
        <v/>
      </c>
      <c r="F84" s="12">
        <f>IF(D84=0,0,SUMPRODUCT(L84:BK84,$B$11:$B$63)/D84)</f>
        <v/>
      </c>
      <c r="G84" s="12">
        <f>IF(D84=0,0,MIN(0.95,1-(1-F84)*(1-E84)))</f>
        <v/>
      </c>
      <c r="H84" s="15">
        <f>IF(D84=0,0,D84*G84)</f>
        <v/>
      </c>
      <c r="I84" s="15">
        <f>IF(D84=0,0,D84-H84)</f>
        <v/>
      </c>
      <c r="L84" s="15">
        <f>C84</f>
        <v/>
      </c>
      <c r="M84" s="15">
        <f>MAX(0,L83*(1-INDEX($B$11:$B$63,1))*(1-E83))</f>
        <v/>
      </c>
      <c r="N84" s="15">
        <f>MAX(0,M83*(1-INDEX($B$11:$B$63,2))*(1-E83))</f>
        <v/>
      </c>
      <c r="O84" s="15">
        <f>MAX(0,N83*(1-INDEX($B$11:$B$63,3))*(1-E83))</f>
        <v/>
      </c>
      <c r="P84" s="15">
        <f>MAX(0,O83*(1-INDEX($B$11:$B$63,4))*(1-E83))</f>
        <v/>
      </c>
      <c r="Q84" s="15">
        <f>MAX(0,P83*(1-INDEX($B$11:$B$63,5))*(1-E83))</f>
        <v/>
      </c>
      <c r="R84" s="15">
        <f>MAX(0,Q83*(1-INDEX($B$11:$B$63,6))*(1-E83))</f>
        <v/>
      </c>
      <c r="S84" s="15">
        <f>MAX(0,R83*(1-INDEX($B$11:$B$63,7))*(1-E83))</f>
        <v/>
      </c>
      <c r="T84" s="15">
        <f>MAX(0,S83*(1-INDEX($B$11:$B$63,8))*(1-E83))</f>
        <v/>
      </c>
      <c r="U84" s="15">
        <f>MAX(0,T83*(1-INDEX($B$11:$B$63,9))*(1-E83))</f>
        <v/>
      </c>
      <c r="V84" s="15">
        <f>MAX(0,U83*(1-INDEX($B$11:$B$63,10))*(1-E83))</f>
        <v/>
      </c>
      <c r="W84" s="15">
        <f>MAX(0,V83*(1-INDEX($B$11:$B$63,11))*(1-E83))</f>
        <v/>
      </c>
      <c r="X84" s="15">
        <f>MAX(0,W83*(1-INDEX($B$11:$B$63,12))*(1-E83))</f>
        <v/>
      </c>
      <c r="Y84" s="15">
        <f>MAX(0,X83*(1-INDEX($B$11:$B$63,13))*(1-E83))</f>
        <v/>
      </c>
      <c r="Z84" s="15">
        <f>MAX(0,Y83*(1-INDEX($B$11:$B$63,14))*(1-E83))</f>
        <v/>
      </c>
      <c r="AA84" s="15">
        <f>MAX(0,Z83*(1-INDEX($B$11:$B$63,15))*(1-E83))</f>
        <v/>
      </c>
      <c r="AB84" s="15">
        <f>MAX(0,AA83*(1-INDEX($B$11:$B$63,16))*(1-E83))</f>
        <v/>
      </c>
      <c r="AC84" s="15">
        <f>MAX(0,AB83*(1-INDEX($B$11:$B$63,17))*(1-E83))</f>
        <v/>
      </c>
      <c r="AD84" s="15">
        <f>MAX(0,AC83*(1-INDEX($B$11:$B$63,18))*(1-E83))</f>
        <v/>
      </c>
      <c r="AE84" s="15">
        <f>MAX(0,AD83*(1-INDEX($B$11:$B$63,19))*(1-E83))</f>
        <v/>
      </c>
      <c r="AF84" s="15">
        <f>MAX(0,AE83*(1-INDEX($B$11:$B$63,20))*(1-E83))</f>
        <v/>
      </c>
      <c r="AG84" s="15">
        <f>MAX(0,AF83*(1-INDEX($B$11:$B$63,21))*(1-E83))</f>
        <v/>
      </c>
      <c r="AH84" s="15">
        <f>MAX(0,AG83*(1-INDEX($B$11:$B$63,22))*(1-E83))</f>
        <v/>
      </c>
      <c r="AI84" s="15">
        <f>MAX(0,AH83*(1-INDEX($B$11:$B$63,23))*(1-E83))</f>
        <v/>
      </c>
      <c r="AJ84" s="15">
        <f>MAX(0,AI83*(1-INDEX($B$11:$B$63,24))*(1-E83))</f>
        <v/>
      </c>
      <c r="AK84" s="15">
        <f>MAX(0,AJ83*(1-INDEX($B$11:$B$63,25))*(1-E83))</f>
        <v/>
      </c>
      <c r="AL84" s="15">
        <f>MAX(0,AK83*(1-INDEX($B$11:$B$63,26))*(1-E83))</f>
        <v/>
      </c>
      <c r="AM84" s="15">
        <f>MAX(0,AL83*(1-INDEX($B$11:$B$63,27))*(1-E83))</f>
        <v/>
      </c>
      <c r="AN84" s="15">
        <f>MAX(0,AM83*(1-INDEX($B$11:$B$63,28))*(1-E83))</f>
        <v/>
      </c>
      <c r="AO84" s="15">
        <f>MAX(0,AN83*(1-INDEX($B$11:$B$63,29))*(1-E83))</f>
        <v/>
      </c>
      <c r="AP84" s="15">
        <f>MAX(0,AO83*(1-INDEX($B$11:$B$63,30))*(1-E83))</f>
        <v/>
      </c>
      <c r="AQ84" s="15">
        <f>MAX(0,AP83*(1-INDEX($B$11:$B$63,31))*(1-E83))</f>
        <v/>
      </c>
      <c r="AR84" s="15">
        <f>MAX(0,AQ83*(1-INDEX($B$11:$B$63,32))*(1-E83))</f>
        <v/>
      </c>
      <c r="AS84" s="15">
        <f>MAX(0,AR83*(1-INDEX($B$11:$B$63,33))*(1-E83))</f>
        <v/>
      </c>
      <c r="AT84" s="15">
        <f>MAX(0,AS83*(1-INDEX($B$11:$B$63,34))*(1-E83))</f>
        <v/>
      </c>
      <c r="AU84" s="15">
        <f>MAX(0,AT83*(1-INDEX($B$11:$B$63,35))*(1-E83))</f>
        <v/>
      </c>
      <c r="AV84" s="15">
        <f>MAX(0,AU83*(1-INDEX($B$11:$B$63,36))*(1-E83))</f>
        <v/>
      </c>
      <c r="AW84" s="15">
        <f>MAX(0,AV83*(1-INDEX($B$11:$B$63,37))*(1-E83))</f>
        <v/>
      </c>
      <c r="AX84" s="15">
        <f>MAX(0,AW83*(1-INDEX($B$11:$B$63,38))*(1-E83))</f>
        <v/>
      </c>
      <c r="AY84" s="15">
        <f>MAX(0,AX83*(1-INDEX($B$11:$B$63,39))*(1-E83))</f>
        <v/>
      </c>
      <c r="AZ84" s="15">
        <f>MAX(0,AY83*(1-INDEX($B$11:$B$63,40))*(1-E83))</f>
        <v/>
      </c>
      <c r="BA84" s="15">
        <f>MAX(0,AZ83*(1-INDEX($B$11:$B$63,41))*(1-E83))</f>
        <v/>
      </c>
      <c r="BB84" s="15">
        <f>MAX(0,BA83*(1-INDEX($B$11:$B$63,42))*(1-E83))</f>
        <v/>
      </c>
      <c r="BC84" s="15">
        <f>MAX(0,BB83*(1-INDEX($B$11:$B$63,43))*(1-E83))</f>
        <v/>
      </c>
      <c r="BD84" s="15">
        <f>MAX(0,BC83*(1-INDEX($B$11:$B$63,44))*(1-E83))</f>
        <v/>
      </c>
      <c r="BE84" s="15">
        <f>MAX(0,BD83*(1-INDEX($B$11:$B$63,45))*(1-E83))</f>
        <v/>
      </c>
      <c r="BF84" s="15">
        <f>MAX(0,BE83*(1-INDEX($B$11:$B$63,46))*(1-E83))</f>
        <v/>
      </c>
      <c r="BG84" s="15">
        <f>MAX(0,BF83*(1-INDEX($B$11:$B$63,47))*(1-E83))</f>
        <v/>
      </c>
      <c r="BH84" s="15">
        <f>MAX(0,BG83*(1-INDEX($B$11:$B$63,48))*(1-E83))</f>
        <v/>
      </c>
      <c r="BI84" s="15">
        <f>MAX(0,BH83*(1-INDEX($B$11:$B$63,49))*(1-E83))</f>
        <v/>
      </c>
      <c r="BJ84" s="15">
        <f>MAX(0,BI83*(1-INDEX($B$11:$B$63,50))*(1-E83))</f>
        <v/>
      </c>
      <c r="BK84" s="15">
        <f>MAX(0,BJ83*(1-INDEX($B$11:$B$63,51))*(1-E83))</f>
        <v/>
      </c>
      <c r="BL84" s="15">
        <f>MAX(0,(BL83+BK83)*(1-INDEX($B$11:$B$63,53))*(1-E83))</f>
        <v/>
      </c>
    </row>
    <row r="85">
      <c r="A85" s="55" t="n">
        <v>19</v>
      </c>
      <c r="B85" s="15">
        <f>IF(A85&gt;Inputs!$C$62,"",SUM(M85:BK85))</f>
        <v/>
      </c>
      <c r="C85" s="15">
        <f>IF(A85&gt;Inputs!$C$62,"",INDEX(Trajectory!$C$23:$C$2000,A85))</f>
        <v/>
      </c>
      <c r="D85" s="15">
        <f>IF(A85&gt;Inputs!$C$62,"",SUM(L85:BK85))</f>
        <v/>
      </c>
      <c r="E85" s="12">
        <f>IF(A85&gt;Inputs!$C$62,"",INDEX(Trajectory!$AG$23:$AG$2000,A85))</f>
        <v/>
      </c>
      <c r="F85" s="12">
        <f>IF(D85=0,0,SUMPRODUCT(L85:BK85,$B$11:$B$63)/D85)</f>
        <v/>
      </c>
      <c r="G85" s="12">
        <f>IF(D85=0,0,MIN(0.95,1-(1-F85)*(1-E85)))</f>
        <v/>
      </c>
      <c r="H85" s="15">
        <f>IF(D85=0,0,D85*G85)</f>
        <v/>
      </c>
      <c r="I85" s="15">
        <f>IF(D85=0,0,D85-H85)</f>
        <v/>
      </c>
      <c r="L85" s="15">
        <f>C85</f>
        <v/>
      </c>
      <c r="M85" s="15">
        <f>MAX(0,L84*(1-INDEX($B$11:$B$63,1))*(1-E84))</f>
        <v/>
      </c>
      <c r="N85" s="15">
        <f>MAX(0,M84*(1-INDEX($B$11:$B$63,2))*(1-E84))</f>
        <v/>
      </c>
      <c r="O85" s="15">
        <f>MAX(0,N84*(1-INDEX($B$11:$B$63,3))*(1-E84))</f>
        <v/>
      </c>
      <c r="P85" s="15">
        <f>MAX(0,O84*(1-INDEX($B$11:$B$63,4))*(1-E84))</f>
        <v/>
      </c>
      <c r="Q85" s="15">
        <f>MAX(0,P84*(1-INDEX($B$11:$B$63,5))*(1-E84))</f>
        <v/>
      </c>
      <c r="R85" s="15">
        <f>MAX(0,Q84*(1-INDEX($B$11:$B$63,6))*(1-E84))</f>
        <v/>
      </c>
      <c r="S85" s="15">
        <f>MAX(0,R84*(1-INDEX($B$11:$B$63,7))*(1-E84))</f>
        <v/>
      </c>
      <c r="T85" s="15">
        <f>MAX(0,S84*(1-INDEX($B$11:$B$63,8))*(1-E84))</f>
        <v/>
      </c>
      <c r="U85" s="15">
        <f>MAX(0,T84*(1-INDEX($B$11:$B$63,9))*(1-E84))</f>
        <v/>
      </c>
      <c r="V85" s="15">
        <f>MAX(0,U84*(1-INDEX($B$11:$B$63,10))*(1-E84))</f>
        <v/>
      </c>
      <c r="W85" s="15">
        <f>MAX(0,V84*(1-INDEX($B$11:$B$63,11))*(1-E84))</f>
        <v/>
      </c>
      <c r="X85" s="15">
        <f>MAX(0,W84*(1-INDEX($B$11:$B$63,12))*(1-E84))</f>
        <v/>
      </c>
      <c r="Y85" s="15">
        <f>MAX(0,X84*(1-INDEX($B$11:$B$63,13))*(1-E84))</f>
        <v/>
      </c>
      <c r="Z85" s="15">
        <f>MAX(0,Y84*(1-INDEX($B$11:$B$63,14))*(1-E84))</f>
        <v/>
      </c>
      <c r="AA85" s="15">
        <f>MAX(0,Z84*(1-INDEX($B$11:$B$63,15))*(1-E84))</f>
        <v/>
      </c>
      <c r="AB85" s="15">
        <f>MAX(0,AA84*(1-INDEX($B$11:$B$63,16))*(1-E84))</f>
        <v/>
      </c>
      <c r="AC85" s="15">
        <f>MAX(0,AB84*(1-INDEX($B$11:$B$63,17))*(1-E84))</f>
        <v/>
      </c>
      <c r="AD85" s="15">
        <f>MAX(0,AC84*(1-INDEX($B$11:$B$63,18))*(1-E84))</f>
        <v/>
      </c>
      <c r="AE85" s="15">
        <f>MAX(0,AD84*(1-INDEX($B$11:$B$63,19))*(1-E84))</f>
        <v/>
      </c>
      <c r="AF85" s="15">
        <f>MAX(0,AE84*(1-INDEX($B$11:$B$63,20))*(1-E84))</f>
        <v/>
      </c>
      <c r="AG85" s="15">
        <f>MAX(0,AF84*(1-INDEX($B$11:$B$63,21))*(1-E84))</f>
        <v/>
      </c>
      <c r="AH85" s="15">
        <f>MAX(0,AG84*(1-INDEX($B$11:$B$63,22))*(1-E84))</f>
        <v/>
      </c>
      <c r="AI85" s="15">
        <f>MAX(0,AH84*(1-INDEX($B$11:$B$63,23))*(1-E84))</f>
        <v/>
      </c>
      <c r="AJ85" s="15">
        <f>MAX(0,AI84*(1-INDEX($B$11:$B$63,24))*(1-E84))</f>
        <v/>
      </c>
      <c r="AK85" s="15">
        <f>MAX(0,AJ84*(1-INDEX($B$11:$B$63,25))*(1-E84))</f>
        <v/>
      </c>
      <c r="AL85" s="15">
        <f>MAX(0,AK84*(1-INDEX($B$11:$B$63,26))*(1-E84))</f>
        <v/>
      </c>
      <c r="AM85" s="15">
        <f>MAX(0,AL84*(1-INDEX($B$11:$B$63,27))*(1-E84))</f>
        <v/>
      </c>
      <c r="AN85" s="15">
        <f>MAX(0,AM84*(1-INDEX($B$11:$B$63,28))*(1-E84))</f>
        <v/>
      </c>
      <c r="AO85" s="15">
        <f>MAX(0,AN84*(1-INDEX($B$11:$B$63,29))*(1-E84))</f>
        <v/>
      </c>
      <c r="AP85" s="15">
        <f>MAX(0,AO84*(1-INDEX($B$11:$B$63,30))*(1-E84))</f>
        <v/>
      </c>
      <c r="AQ85" s="15">
        <f>MAX(0,AP84*(1-INDEX($B$11:$B$63,31))*(1-E84))</f>
        <v/>
      </c>
      <c r="AR85" s="15">
        <f>MAX(0,AQ84*(1-INDEX($B$11:$B$63,32))*(1-E84))</f>
        <v/>
      </c>
      <c r="AS85" s="15">
        <f>MAX(0,AR84*(1-INDEX($B$11:$B$63,33))*(1-E84))</f>
        <v/>
      </c>
      <c r="AT85" s="15">
        <f>MAX(0,AS84*(1-INDEX($B$11:$B$63,34))*(1-E84))</f>
        <v/>
      </c>
      <c r="AU85" s="15">
        <f>MAX(0,AT84*(1-INDEX($B$11:$B$63,35))*(1-E84))</f>
        <v/>
      </c>
      <c r="AV85" s="15">
        <f>MAX(0,AU84*(1-INDEX($B$11:$B$63,36))*(1-E84))</f>
        <v/>
      </c>
      <c r="AW85" s="15">
        <f>MAX(0,AV84*(1-INDEX($B$11:$B$63,37))*(1-E84))</f>
        <v/>
      </c>
      <c r="AX85" s="15">
        <f>MAX(0,AW84*(1-INDEX($B$11:$B$63,38))*(1-E84))</f>
        <v/>
      </c>
      <c r="AY85" s="15">
        <f>MAX(0,AX84*(1-INDEX($B$11:$B$63,39))*(1-E84))</f>
        <v/>
      </c>
      <c r="AZ85" s="15">
        <f>MAX(0,AY84*(1-INDEX($B$11:$B$63,40))*(1-E84))</f>
        <v/>
      </c>
      <c r="BA85" s="15">
        <f>MAX(0,AZ84*(1-INDEX($B$11:$B$63,41))*(1-E84))</f>
        <v/>
      </c>
      <c r="BB85" s="15">
        <f>MAX(0,BA84*(1-INDEX($B$11:$B$63,42))*(1-E84))</f>
        <v/>
      </c>
      <c r="BC85" s="15">
        <f>MAX(0,BB84*(1-INDEX($B$11:$B$63,43))*(1-E84))</f>
        <v/>
      </c>
      <c r="BD85" s="15">
        <f>MAX(0,BC84*(1-INDEX($B$11:$B$63,44))*(1-E84))</f>
        <v/>
      </c>
      <c r="BE85" s="15">
        <f>MAX(0,BD84*(1-INDEX($B$11:$B$63,45))*(1-E84))</f>
        <v/>
      </c>
      <c r="BF85" s="15">
        <f>MAX(0,BE84*(1-INDEX($B$11:$B$63,46))*(1-E84))</f>
        <v/>
      </c>
      <c r="BG85" s="15">
        <f>MAX(0,BF84*(1-INDEX($B$11:$B$63,47))*(1-E84))</f>
        <v/>
      </c>
      <c r="BH85" s="15">
        <f>MAX(0,BG84*(1-INDEX($B$11:$B$63,48))*(1-E84))</f>
        <v/>
      </c>
      <c r="BI85" s="15">
        <f>MAX(0,BH84*(1-INDEX($B$11:$B$63,49))*(1-E84))</f>
        <v/>
      </c>
      <c r="BJ85" s="15">
        <f>MAX(0,BI84*(1-INDEX($B$11:$B$63,50))*(1-E84))</f>
        <v/>
      </c>
      <c r="BK85" s="15">
        <f>MAX(0,BJ84*(1-INDEX($B$11:$B$63,51))*(1-E84))</f>
        <v/>
      </c>
      <c r="BL85" s="15">
        <f>MAX(0,(BL84+BK84)*(1-INDEX($B$11:$B$63,53))*(1-E84))</f>
        <v/>
      </c>
    </row>
    <row r="86">
      <c r="A86" s="55" t="n">
        <v>20</v>
      </c>
      <c r="B86" s="15">
        <f>IF(A86&gt;Inputs!$C$62,"",SUM(M86:BK86))</f>
        <v/>
      </c>
      <c r="C86" s="15">
        <f>IF(A86&gt;Inputs!$C$62,"",INDEX(Trajectory!$C$23:$C$2000,A86))</f>
        <v/>
      </c>
      <c r="D86" s="15">
        <f>IF(A86&gt;Inputs!$C$62,"",SUM(L86:BK86))</f>
        <v/>
      </c>
      <c r="E86" s="12">
        <f>IF(A86&gt;Inputs!$C$62,"",INDEX(Trajectory!$AG$23:$AG$2000,A86))</f>
        <v/>
      </c>
      <c r="F86" s="12">
        <f>IF(D86=0,0,SUMPRODUCT(L86:BK86,$B$11:$B$63)/D86)</f>
        <v/>
      </c>
      <c r="G86" s="12">
        <f>IF(D86=0,0,MIN(0.95,1-(1-F86)*(1-E86)))</f>
        <v/>
      </c>
      <c r="H86" s="15">
        <f>IF(D86=0,0,D86*G86)</f>
        <v/>
      </c>
      <c r="I86" s="15">
        <f>IF(D86=0,0,D86-H86)</f>
        <v/>
      </c>
      <c r="L86" s="15">
        <f>C86</f>
        <v/>
      </c>
      <c r="M86" s="15">
        <f>MAX(0,L85*(1-INDEX($B$11:$B$63,1))*(1-E85))</f>
        <v/>
      </c>
      <c r="N86" s="15">
        <f>MAX(0,M85*(1-INDEX($B$11:$B$63,2))*(1-E85))</f>
        <v/>
      </c>
      <c r="O86" s="15">
        <f>MAX(0,N85*(1-INDEX($B$11:$B$63,3))*(1-E85))</f>
        <v/>
      </c>
      <c r="P86" s="15">
        <f>MAX(0,O85*(1-INDEX($B$11:$B$63,4))*(1-E85))</f>
        <v/>
      </c>
      <c r="Q86" s="15">
        <f>MAX(0,P85*(1-INDEX($B$11:$B$63,5))*(1-E85))</f>
        <v/>
      </c>
      <c r="R86" s="15">
        <f>MAX(0,Q85*(1-INDEX($B$11:$B$63,6))*(1-E85))</f>
        <v/>
      </c>
      <c r="S86" s="15">
        <f>MAX(0,R85*(1-INDEX($B$11:$B$63,7))*(1-E85))</f>
        <v/>
      </c>
      <c r="T86" s="15">
        <f>MAX(0,S85*(1-INDEX($B$11:$B$63,8))*(1-E85))</f>
        <v/>
      </c>
      <c r="U86" s="15">
        <f>MAX(0,T85*(1-INDEX($B$11:$B$63,9))*(1-E85))</f>
        <v/>
      </c>
      <c r="V86" s="15">
        <f>MAX(0,U85*(1-INDEX($B$11:$B$63,10))*(1-E85))</f>
        <v/>
      </c>
      <c r="W86" s="15">
        <f>MAX(0,V85*(1-INDEX($B$11:$B$63,11))*(1-E85))</f>
        <v/>
      </c>
      <c r="X86" s="15">
        <f>MAX(0,W85*(1-INDEX($B$11:$B$63,12))*(1-E85))</f>
        <v/>
      </c>
      <c r="Y86" s="15">
        <f>MAX(0,X85*(1-INDEX($B$11:$B$63,13))*(1-E85))</f>
        <v/>
      </c>
      <c r="Z86" s="15">
        <f>MAX(0,Y85*(1-INDEX($B$11:$B$63,14))*(1-E85))</f>
        <v/>
      </c>
      <c r="AA86" s="15">
        <f>MAX(0,Z85*(1-INDEX($B$11:$B$63,15))*(1-E85))</f>
        <v/>
      </c>
      <c r="AB86" s="15">
        <f>MAX(0,AA85*(1-INDEX($B$11:$B$63,16))*(1-E85))</f>
        <v/>
      </c>
      <c r="AC86" s="15">
        <f>MAX(0,AB85*(1-INDEX($B$11:$B$63,17))*(1-E85))</f>
        <v/>
      </c>
      <c r="AD86" s="15">
        <f>MAX(0,AC85*(1-INDEX($B$11:$B$63,18))*(1-E85))</f>
        <v/>
      </c>
      <c r="AE86" s="15">
        <f>MAX(0,AD85*(1-INDEX($B$11:$B$63,19))*(1-E85))</f>
        <v/>
      </c>
      <c r="AF86" s="15">
        <f>MAX(0,AE85*(1-INDEX($B$11:$B$63,20))*(1-E85))</f>
        <v/>
      </c>
      <c r="AG86" s="15">
        <f>MAX(0,AF85*(1-INDEX($B$11:$B$63,21))*(1-E85))</f>
        <v/>
      </c>
      <c r="AH86" s="15">
        <f>MAX(0,AG85*(1-INDEX($B$11:$B$63,22))*(1-E85))</f>
        <v/>
      </c>
      <c r="AI86" s="15">
        <f>MAX(0,AH85*(1-INDEX($B$11:$B$63,23))*(1-E85))</f>
        <v/>
      </c>
      <c r="AJ86" s="15">
        <f>MAX(0,AI85*(1-INDEX($B$11:$B$63,24))*(1-E85))</f>
        <v/>
      </c>
      <c r="AK86" s="15">
        <f>MAX(0,AJ85*(1-INDEX($B$11:$B$63,25))*(1-E85))</f>
        <v/>
      </c>
      <c r="AL86" s="15">
        <f>MAX(0,AK85*(1-INDEX($B$11:$B$63,26))*(1-E85))</f>
        <v/>
      </c>
      <c r="AM86" s="15">
        <f>MAX(0,AL85*(1-INDEX($B$11:$B$63,27))*(1-E85))</f>
        <v/>
      </c>
      <c r="AN86" s="15">
        <f>MAX(0,AM85*(1-INDEX($B$11:$B$63,28))*(1-E85))</f>
        <v/>
      </c>
      <c r="AO86" s="15">
        <f>MAX(0,AN85*(1-INDEX($B$11:$B$63,29))*(1-E85))</f>
        <v/>
      </c>
      <c r="AP86" s="15">
        <f>MAX(0,AO85*(1-INDEX($B$11:$B$63,30))*(1-E85))</f>
        <v/>
      </c>
      <c r="AQ86" s="15">
        <f>MAX(0,AP85*(1-INDEX($B$11:$B$63,31))*(1-E85))</f>
        <v/>
      </c>
      <c r="AR86" s="15">
        <f>MAX(0,AQ85*(1-INDEX($B$11:$B$63,32))*(1-E85))</f>
        <v/>
      </c>
      <c r="AS86" s="15">
        <f>MAX(0,AR85*(1-INDEX($B$11:$B$63,33))*(1-E85))</f>
        <v/>
      </c>
      <c r="AT86" s="15">
        <f>MAX(0,AS85*(1-INDEX($B$11:$B$63,34))*(1-E85))</f>
        <v/>
      </c>
      <c r="AU86" s="15">
        <f>MAX(0,AT85*(1-INDEX($B$11:$B$63,35))*(1-E85))</f>
        <v/>
      </c>
      <c r="AV86" s="15">
        <f>MAX(0,AU85*(1-INDEX($B$11:$B$63,36))*(1-E85))</f>
        <v/>
      </c>
      <c r="AW86" s="15">
        <f>MAX(0,AV85*(1-INDEX($B$11:$B$63,37))*(1-E85))</f>
        <v/>
      </c>
      <c r="AX86" s="15">
        <f>MAX(0,AW85*(1-INDEX($B$11:$B$63,38))*(1-E85))</f>
        <v/>
      </c>
      <c r="AY86" s="15">
        <f>MAX(0,AX85*(1-INDEX($B$11:$B$63,39))*(1-E85))</f>
        <v/>
      </c>
      <c r="AZ86" s="15">
        <f>MAX(0,AY85*(1-INDEX($B$11:$B$63,40))*(1-E85))</f>
        <v/>
      </c>
      <c r="BA86" s="15">
        <f>MAX(0,AZ85*(1-INDEX($B$11:$B$63,41))*(1-E85))</f>
        <v/>
      </c>
      <c r="BB86" s="15">
        <f>MAX(0,BA85*(1-INDEX($B$11:$B$63,42))*(1-E85))</f>
        <v/>
      </c>
      <c r="BC86" s="15">
        <f>MAX(0,BB85*(1-INDEX($B$11:$B$63,43))*(1-E85))</f>
        <v/>
      </c>
      <c r="BD86" s="15">
        <f>MAX(0,BC85*(1-INDEX($B$11:$B$63,44))*(1-E85))</f>
        <v/>
      </c>
      <c r="BE86" s="15">
        <f>MAX(0,BD85*(1-INDEX($B$11:$B$63,45))*(1-E85))</f>
        <v/>
      </c>
      <c r="BF86" s="15">
        <f>MAX(0,BE85*(1-INDEX($B$11:$B$63,46))*(1-E85))</f>
        <v/>
      </c>
      <c r="BG86" s="15">
        <f>MAX(0,BF85*(1-INDEX($B$11:$B$63,47))*(1-E85))</f>
        <v/>
      </c>
      <c r="BH86" s="15">
        <f>MAX(0,BG85*(1-INDEX($B$11:$B$63,48))*(1-E85))</f>
        <v/>
      </c>
      <c r="BI86" s="15">
        <f>MAX(0,BH85*(1-INDEX($B$11:$B$63,49))*(1-E85))</f>
        <v/>
      </c>
      <c r="BJ86" s="15">
        <f>MAX(0,BI85*(1-INDEX($B$11:$B$63,50))*(1-E85))</f>
        <v/>
      </c>
      <c r="BK86" s="15">
        <f>MAX(0,BJ85*(1-INDEX($B$11:$B$63,51))*(1-E85))</f>
        <v/>
      </c>
      <c r="BL86" s="15">
        <f>MAX(0,(BL85+BK85)*(1-INDEX($B$11:$B$63,53))*(1-E85))</f>
        <v/>
      </c>
    </row>
    <row r="87">
      <c r="A87" s="55" t="n">
        <v>21</v>
      </c>
      <c r="B87" s="15">
        <f>IF(A87&gt;Inputs!$C$62,"",SUM(M87:BK87))</f>
        <v/>
      </c>
      <c r="C87" s="15">
        <f>IF(A87&gt;Inputs!$C$62,"",INDEX(Trajectory!$C$23:$C$2000,A87))</f>
        <v/>
      </c>
      <c r="D87" s="15">
        <f>IF(A87&gt;Inputs!$C$62,"",SUM(L87:BK87))</f>
        <v/>
      </c>
      <c r="E87" s="12">
        <f>IF(A87&gt;Inputs!$C$62,"",INDEX(Trajectory!$AG$23:$AG$2000,A87))</f>
        <v/>
      </c>
      <c r="F87" s="12">
        <f>IF(D87=0,0,SUMPRODUCT(L87:BK87,$B$11:$B$63)/D87)</f>
        <v/>
      </c>
      <c r="G87" s="12">
        <f>IF(D87=0,0,MIN(0.95,1-(1-F87)*(1-E87)))</f>
        <v/>
      </c>
      <c r="H87" s="15">
        <f>IF(D87=0,0,D87*G87)</f>
        <v/>
      </c>
      <c r="I87" s="15">
        <f>IF(D87=0,0,D87-H87)</f>
        <v/>
      </c>
      <c r="L87" s="15">
        <f>C87</f>
        <v/>
      </c>
      <c r="M87" s="15">
        <f>MAX(0,L86*(1-INDEX($B$11:$B$63,1))*(1-E86))</f>
        <v/>
      </c>
      <c r="N87" s="15">
        <f>MAX(0,M86*(1-INDEX($B$11:$B$63,2))*(1-E86))</f>
        <v/>
      </c>
      <c r="O87" s="15">
        <f>MAX(0,N86*(1-INDEX($B$11:$B$63,3))*(1-E86))</f>
        <v/>
      </c>
      <c r="P87" s="15">
        <f>MAX(0,O86*(1-INDEX($B$11:$B$63,4))*(1-E86))</f>
        <v/>
      </c>
      <c r="Q87" s="15">
        <f>MAX(0,P86*(1-INDEX($B$11:$B$63,5))*(1-E86))</f>
        <v/>
      </c>
      <c r="R87" s="15">
        <f>MAX(0,Q86*(1-INDEX($B$11:$B$63,6))*(1-E86))</f>
        <v/>
      </c>
      <c r="S87" s="15">
        <f>MAX(0,R86*(1-INDEX($B$11:$B$63,7))*(1-E86))</f>
        <v/>
      </c>
      <c r="T87" s="15">
        <f>MAX(0,S86*(1-INDEX($B$11:$B$63,8))*(1-E86))</f>
        <v/>
      </c>
      <c r="U87" s="15">
        <f>MAX(0,T86*(1-INDEX($B$11:$B$63,9))*(1-E86))</f>
        <v/>
      </c>
      <c r="V87" s="15">
        <f>MAX(0,U86*(1-INDEX($B$11:$B$63,10))*(1-E86))</f>
        <v/>
      </c>
      <c r="W87" s="15">
        <f>MAX(0,V86*(1-INDEX($B$11:$B$63,11))*(1-E86))</f>
        <v/>
      </c>
      <c r="X87" s="15">
        <f>MAX(0,W86*(1-INDEX($B$11:$B$63,12))*(1-E86))</f>
        <v/>
      </c>
      <c r="Y87" s="15">
        <f>MAX(0,X86*(1-INDEX($B$11:$B$63,13))*(1-E86))</f>
        <v/>
      </c>
      <c r="Z87" s="15">
        <f>MAX(0,Y86*(1-INDEX($B$11:$B$63,14))*(1-E86))</f>
        <v/>
      </c>
      <c r="AA87" s="15">
        <f>MAX(0,Z86*(1-INDEX($B$11:$B$63,15))*(1-E86))</f>
        <v/>
      </c>
      <c r="AB87" s="15">
        <f>MAX(0,AA86*(1-INDEX($B$11:$B$63,16))*(1-E86))</f>
        <v/>
      </c>
      <c r="AC87" s="15">
        <f>MAX(0,AB86*(1-INDEX($B$11:$B$63,17))*(1-E86))</f>
        <v/>
      </c>
      <c r="AD87" s="15">
        <f>MAX(0,AC86*(1-INDEX($B$11:$B$63,18))*(1-E86))</f>
        <v/>
      </c>
      <c r="AE87" s="15">
        <f>MAX(0,AD86*(1-INDEX($B$11:$B$63,19))*(1-E86))</f>
        <v/>
      </c>
      <c r="AF87" s="15">
        <f>MAX(0,AE86*(1-INDEX($B$11:$B$63,20))*(1-E86))</f>
        <v/>
      </c>
      <c r="AG87" s="15">
        <f>MAX(0,AF86*(1-INDEX($B$11:$B$63,21))*(1-E86))</f>
        <v/>
      </c>
      <c r="AH87" s="15">
        <f>MAX(0,AG86*(1-INDEX($B$11:$B$63,22))*(1-E86))</f>
        <v/>
      </c>
      <c r="AI87" s="15">
        <f>MAX(0,AH86*(1-INDEX($B$11:$B$63,23))*(1-E86))</f>
        <v/>
      </c>
      <c r="AJ87" s="15">
        <f>MAX(0,AI86*(1-INDEX($B$11:$B$63,24))*(1-E86))</f>
        <v/>
      </c>
      <c r="AK87" s="15">
        <f>MAX(0,AJ86*(1-INDEX($B$11:$B$63,25))*(1-E86))</f>
        <v/>
      </c>
      <c r="AL87" s="15">
        <f>MAX(0,AK86*(1-INDEX($B$11:$B$63,26))*(1-E86))</f>
        <v/>
      </c>
      <c r="AM87" s="15">
        <f>MAX(0,AL86*(1-INDEX($B$11:$B$63,27))*(1-E86))</f>
        <v/>
      </c>
      <c r="AN87" s="15">
        <f>MAX(0,AM86*(1-INDEX($B$11:$B$63,28))*(1-E86))</f>
        <v/>
      </c>
      <c r="AO87" s="15">
        <f>MAX(0,AN86*(1-INDEX($B$11:$B$63,29))*(1-E86))</f>
        <v/>
      </c>
      <c r="AP87" s="15">
        <f>MAX(0,AO86*(1-INDEX($B$11:$B$63,30))*(1-E86))</f>
        <v/>
      </c>
      <c r="AQ87" s="15">
        <f>MAX(0,AP86*(1-INDEX($B$11:$B$63,31))*(1-E86))</f>
        <v/>
      </c>
      <c r="AR87" s="15">
        <f>MAX(0,AQ86*(1-INDEX($B$11:$B$63,32))*(1-E86))</f>
        <v/>
      </c>
      <c r="AS87" s="15">
        <f>MAX(0,AR86*(1-INDEX($B$11:$B$63,33))*(1-E86))</f>
        <v/>
      </c>
      <c r="AT87" s="15">
        <f>MAX(0,AS86*(1-INDEX($B$11:$B$63,34))*(1-E86))</f>
        <v/>
      </c>
      <c r="AU87" s="15">
        <f>MAX(0,AT86*(1-INDEX($B$11:$B$63,35))*(1-E86))</f>
        <v/>
      </c>
      <c r="AV87" s="15">
        <f>MAX(0,AU86*(1-INDEX($B$11:$B$63,36))*(1-E86))</f>
        <v/>
      </c>
      <c r="AW87" s="15">
        <f>MAX(0,AV86*(1-INDEX($B$11:$B$63,37))*(1-E86))</f>
        <v/>
      </c>
      <c r="AX87" s="15">
        <f>MAX(0,AW86*(1-INDEX($B$11:$B$63,38))*(1-E86))</f>
        <v/>
      </c>
      <c r="AY87" s="15">
        <f>MAX(0,AX86*(1-INDEX($B$11:$B$63,39))*(1-E86))</f>
        <v/>
      </c>
      <c r="AZ87" s="15">
        <f>MAX(0,AY86*(1-INDEX($B$11:$B$63,40))*(1-E86))</f>
        <v/>
      </c>
      <c r="BA87" s="15">
        <f>MAX(0,AZ86*(1-INDEX($B$11:$B$63,41))*(1-E86))</f>
        <v/>
      </c>
      <c r="BB87" s="15">
        <f>MAX(0,BA86*(1-INDEX($B$11:$B$63,42))*(1-E86))</f>
        <v/>
      </c>
      <c r="BC87" s="15">
        <f>MAX(0,BB86*(1-INDEX($B$11:$B$63,43))*(1-E86))</f>
        <v/>
      </c>
      <c r="BD87" s="15">
        <f>MAX(0,BC86*(1-INDEX($B$11:$B$63,44))*(1-E86))</f>
        <v/>
      </c>
      <c r="BE87" s="15">
        <f>MAX(0,BD86*(1-INDEX($B$11:$B$63,45))*(1-E86))</f>
        <v/>
      </c>
      <c r="BF87" s="15">
        <f>MAX(0,BE86*(1-INDEX($B$11:$B$63,46))*(1-E86))</f>
        <v/>
      </c>
      <c r="BG87" s="15">
        <f>MAX(0,BF86*(1-INDEX($B$11:$B$63,47))*(1-E86))</f>
        <v/>
      </c>
      <c r="BH87" s="15">
        <f>MAX(0,BG86*(1-INDEX($B$11:$B$63,48))*(1-E86))</f>
        <v/>
      </c>
      <c r="BI87" s="15">
        <f>MAX(0,BH86*(1-INDEX($B$11:$B$63,49))*(1-E86))</f>
        <v/>
      </c>
      <c r="BJ87" s="15">
        <f>MAX(0,BI86*(1-INDEX($B$11:$B$63,50))*(1-E86))</f>
        <v/>
      </c>
      <c r="BK87" s="15">
        <f>MAX(0,BJ86*(1-INDEX($B$11:$B$63,51))*(1-E86))</f>
        <v/>
      </c>
      <c r="BL87" s="15">
        <f>MAX(0,(BL86+BK86)*(1-INDEX($B$11:$B$63,53))*(1-E86))</f>
        <v/>
      </c>
    </row>
    <row r="88">
      <c r="A88" s="55" t="n">
        <v>22</v>
      </c>
      <c r="B88" s="15">
        <f>IF(A88&gt;Inputs!$C$62,"",SUM(M88:BK88))</f>
        <v/>
      </c>
      <c r="C88" s="15">
        <f>IF(A88&gt;Inputs!$C$62,"",INDEX(Trajectory!$C$23:$C$2000,A88))</f>
        <v/>
      </c>
      <c r="D88" s="15">
        <f>IF(A88&gt;Inputs!$C$62,"",SUM(L88:BK88))</f>
        <v/>
      </c>
      <c r="E88" s="12">
        <f>IF(A88&gt;Inputs!$C$62,"",INDEX(Trajectory!$AG$23:$AG$2000,A88))</f>
        <v/>
      </c>
      <c r="F88" s="12">
        <f>IF(D88=0,0,SUMPRODUCT(L88:BK88,$B$11:$B$63)/D88)</f>
        <v/>
      </c>
      <c r="G88" s="12">
        <f>IF(D88=0,0,MIN(0.95,1-(1-F88)*(1-E88)))</f>
        <v/>
      </c>
      <c r="H88" s="15">
        <f>IF(D88=0,0,D88*G88)</f>
        <v/>
      </c>
      <c r="I88" s="15">
        <f>IF(D88=0,0,D88-H88)</f>
        <v/>
      </c>
      <c r="L88" s="15">
        <f>C88</f>
        <v/>
      </c>
      <c r="M88" s="15">
        <f>MAX(0,L87*(1-INDEX($B$11:$B$63,1))*(1-E87))</f>
        <v/>
      </c>
      <c r="N88" s="15">
        <f>MAX(0,M87*(1-INDEX($B$11:$B$63,2))*(1-E87))</f>
        <v/>
      </c>
      <c r="O88" s="15">
        <f>MAX(0,N87*(1-INDEX($B$11:$B$63,3))*(1-E87))</f>
        <v/>
      </c>
      <c r="P88" s="15">
        <f>MAX(0,O87*(1-INDEX($B$11:$B$63,4))*(1-E87))</f>
        <v/>
      </c>
      <c r="Q88" s="15">
        <f>MAX(0,P87*(1-INDEX($B$11:$B$63,5))*(1-E87))</f>
        <v/>
      </c>
      <c r="R88" s="15">
        <f>MAX(0,Q87*(1-INDEX($B$11:$B$63,6))*(1-E87))</f>
        <v/>
      </c>
      <c r="S88" s="15">
        <f>MAX(0,R87*(1-INDEX($B$11:$B$63,7))*(1-E87))</f>
        <v/>
      </c>
      <c r="T88" s="15">
        <f>MAX(0,S87*(1-INDEX($B$11:$B$63,8))*(1-E87))</f>
        <v/>
      </c>
      <c r="U88" s="15">
        <f>MAX(0,T87*(1-INDEX($B$11:$B$63,9))*(1-E87))</f>
        <v/>
      </c>
      <c r="V88" s="15">
        <f>MAX(0,U87*(1-INDEX($B$11:$B$63,10))*(1-E87))</f>
        <v/>
      </c>
      <c r="W88" s="15">
        <f>MAX(0,V87*(1-INDEX($B$11:$B$63,11))*(1-E87))</f>
        <v/>
      </c>
      <c r="X88" s="15">
        <f>MAX(0,W87*(1-INDEX($B$11:$B$63,12))*(1-E87))</f>
        <v/>
      </c>
      <c r="Y88" s="15">
        <f>MAX(0,X87*(1-INDEX($B$11:$B$63,13))*(1-E87))</f>
        <v/>
      </c>
      <c r="Z88" s="15">
        <f>MAX(0,Y87*(1-INDEX($B$11:$B$63,14))*(1-E87))</f>
        <v/>
      </c>
      <c r="AA88" s="15">
        <f>MAX(0,Z87*(1-INDEX($B$11:$B$63,15))*(1-E87))</f>
        <v/>
      </c>
      <c r="AB88" s="15">
        <f>MAX(0,AA87*(1-INDEX($B$11:$B$63,16))*(1-E87))</f>
        <v/>
      </c>
      <c r="AC88" s="15">
        <f>MAX(0,AB87*(1-INDEX($B$11:$B$63,17))*(1-E87))</f>
        <v/>
      </c>
      <c r="AD88" s="15">
        <f>MAX(0,AC87*(1-INDEX($B$11:$B$63,18))*(1-E87))</f>
        <v/>
      </c>
      <c r="AE88" s="15">
        <f>MAX(0,AD87*(1-INDEX($B$11:$B$63,19))*(1-E87))</f>
        <v/>
      </c>
      <c r="AF88" s="15">
        <f>MAX(0,AE87*(1-INDEX($B$11:$B$63,20))*(1-E87))</f>
        <v/>
      </c>
      <c r="AG88" s="15">
        <f>MAX(0,AF87*(1-INDEX($B$11:$B$63,21))*(1-E87))</f>
        <v/>
      </c>
      <c r="AH88" s="15">
        <f>MAX(0,AG87*(1-INDEX($B$11:$B$63,22))*(1-E87))</f>
        <v/>
      </c>
      <c r="AI88" s="15">
        <f>MAX(0,AH87*(1-INDEX($B$11:$B$63,23))*(1-E87))</f>
        <v/>
      </c>
      <c r="AJ88" s="15">
        <f>MAX(0,AI87*(1-INDEX($B$11:$B$63,24))*(1-E87))</f>
        <v/>
      </c>
      <c r="AK88" s="15">
        <f>MAX(0,AJ87*(1-INDEX($B$11:$B$63,25))*(1-E87))</f>
        <v/>
      </c>
      <c r="AL88" s="15">
        <f>MAX(0,AK87*(1-INDEX($B$11:$B$63,26))*(1-E87))</f>
        <v/>
      </c>
      <c r="AM88" s="15">
        <f>MAX(0,AL87*(1-INDEX($B$11:$B$63,27))*(1-E87))</f>
        <v/>
      </c>
      <c r="AN88" s="15">
        <f>MAX(0,AM87*(1-INDEX($B$11:$B$63,28))*(1-E87))</f>
        <v/>
      </c>
      <c r="AO88" s="15">
        <f>MAX(0,AN87*(1-INDEX($B$11:$B$63,29))*(1-E87))</f>
        <v/>
      </c>
      <c r="AP88" s="15">
        <f>MAX(0,AO87*(1-INDEX($B$11:$B$63,30))*(1-E87))</f>
        <v/>
      </c>
      <c r="AQ88" s="15">
        <f>MAX(0,AP87*(1-INDEX($B$11:$B$63,31))*(1-E87))</f>
        <v/>
      </c>
      <c r="AR88" s="15">
        <f>MAX(0,AQ87*(1-INDEX($B$11:$B$63,32))*(1-E87))</f>
        <v/>
      </c>
      <c r="AS88" s="15">
        <f>MAX(0,AR87*(1-INDEX($B$11:$B$63,33))*(1-E87))</f>
        <v/>
      </c>
      <c r="AT88" s="15">
        <f>MAX(0,AS87*(1-INDEX($B$11:$B$63,34))*(1-E87))</f>
        <v/>
      </c>
      <c r="AU88" s="15">
        <f>MAX(0,AT87*(1-INDEX($B$11:$B$63,35))*(1-E87))</f>
        <v/>
      </c>
      <c r="AV88" s="15">
        <f>MAX(0,AU87*(1-INDEX($B$11:$B$63,36))*(1-E87))</f>
        <v/>
      </c>
      <c r="AW88" s="15">
        <f>MAX(0,AV87*(1-INDEX($B$11:$B$63,37))*(1-E87))</f>
        <v/>
      </c>
      <c r="AX88" s="15">
        <f>MAX(0,AW87*(1-INDEX($B$11:$B$63,38))*(1-E87))</f>
        <v/>
      </c>
      <c r="AY88" s="15">
        <f>MAX(0,AX87*(1-INDEX($B$11:$B$63,39))*(1-E87))</f>
        <v/>
      </c>
      <c r="AZ88" s="15">
        <f>MAX(0,AY87*(1-INDEX($B$11:$B$63,40))*(1-E87))</f>
        <v/>
      </c>
      <c r="BA88" s="15">
        <f>MAX(0,AZ87*(1-INDEX($B$11:$B$63,41))*(1-E87))</f>
        <v/>
      </c>
      <c r="BB88" s="15">
        <f>MAX(0,BA87*(1-INDEX($B$11:$B$63,42))*(1-E87))</f>
        <v/>
      </c>
      <c r="BC88" s="15">
        <f>MAX(0,BB87*(1-INDEX($B$11:$B$63,43))*(1-E87))</f>
        <v/>
      </c>
      <c r="BD88" s="15">
        <f>MAX(0,BC87*(1-INDEX($B$11:$B$63,44))*(1-E87))</f>
        <v/>
      </c>
      <c r="BE88" s="15">
        <f>MAX(0,BD87*(1-INDEX($B$11:$B$63,45))*(1-E87))</f>
        <v/>
      </c>
      <c r="BF88" s="15">
        <f>MAX(0,BE87*(1-INDEX($B$11:$B$63,46))*(1-E87))</f>
        <v/>
      </c>
      <c r="BG88" s="15">
        <f>MAX(0,BF87*(1-INDEX($B$11:$B$63,47))*(1-E87))</f>
        <v/>
      </c>
      <c r="BH88" s="15">
        <f>MAX(0,BG87*(1-INDEX($B$11:$B$63,48))*(1-E87))</f>
        <v/>
      </c>
      <c r="BI88" s="15">
        <f>MAX(0,BH87*(1-INDEX($B$11:$B$63,49))*(1-E87))</f>
        <v/>
      </c>
      <c r="BJ88" s="15">
        <f>MAX(0,BI87*(1-INDEX($B$11:$B$63,50))*(1-E87))</f>
        <v/>
      </c>
      <c r="BK88" s="15">
        <f>MAX(0,BJ87*(1-INDEX($B$11:$B$63,51))*(1-E87))</f>
        <v/>
      </c>
      <c r="BL88" s="15">
        <f>MAX(0,(BL87+BK87)*(1-INDEX($B$11:$B$63,53))*(1-E87))</f>
        <v/>
      </c>
    </row>
    <row r="89">
      <c r="A89" s="55" t="n">
        <v>23</v>
      </c>
      <c r="B89" s="15">
        <f>IF(A89&gt;Inputs!$C$62,"",SUM(M89:BK89))</f>
        <v/>
      </c>
      <c r="C89" s="15">
        <f>IF(A89&gt;Inputs!$C$62,"",INDEX(Trajectory!$C$23:$C$2000,A89))</f>
        <v/>
      </c>
      <c r="D89" s="15">
        <f>IF(A89&gt;Inputs!$C$62,"",SUM(L89:BK89))</f>
        <v/>
      </c>
      <c r="E89" s="12">
        <f>IF(A89&gt;Inputs!$C$62,"",INDEX(Trajectory!$AG$23:$AG$2000,A89))</f>
        <v/>
      </c>
      <c r="F89" s="12">
        <f>IF(D89=0,0,SUMPRODUCT(L89:BK89,$B$11:$B$63)/D89)</f>
        <v/>
      </c>
      <c r="G89" s="12">
        <f>IF(D89=0,0,MIN(0.95,1-(1-F89)*(1-E89)))</f>
        <v/>
      </c>
      <c r="H89" s="15">
        <f>IF(D89=0,0,D89*G89)</f>
        <v/>
      </c>
      <c r="I89" s="15">
        <f>IF(D89=0,0,D89-H89)</f>
        <v/>
      </c>
      <c r="L89" s="15">
        <f>C89</f>
        <v/>
      </c>
      <c r="M89" s="15">
        <f>MAX(0,L88*(1-INDEX($B$11:$B$63,1))*(1-E88))</f>
        <v/>
      </c>
      <c r="N89" s="15">
        <f>MAX(0,M88*(1-INDEX($B$11:$B$63,2))*(1-E88))</f>
        <v/>
      </c>
      <c r="O89" s="15">
        <f>MAX(0,N88*(1-INDEX($B$11:$B$63,3))*(1-E88))</f>
        <v/>
      </c>
      <c r="P89" s="15">
        <f>MAX(0,O88*(1-INDEX($B$11:$B$63,4))*(1-E88))</f>
        <v/>
      </c>
      <c r="Q89" s="15">
        <f>MAX(0,P88*(1-INDEX($B$11:$B$63,5))*(1-E88))</f>
        <v/>
      </c>
      <c r="R89" s="15">
        <f>MAX(0,Q88*(1-INDEX($B$11:$B$63,6))*(1-E88))</f>
        <v/>
      </c>
      <c r="S89" s="15">
        <f>MAX(0,R88*(1-INDEX($B$11:$B$63,7))*(1-E88))</f>
        <v/>
      </c>
      <c r="T89" s="15">
        <f>MAX(0,S88*(1-INDEX($B$11:$B$63,8))*(1-E88))</f>
        <v/>
      </c>
      <c r="U89" s="15">
        <f>MAX(0,T88*(1-INDEX($B$11:$B$63,9))*(1-E88))</f>
        <v/>
      </c>
      <c r="V89" s="15">
        <f>MAX(0,U88*(1-INDEX($B$11:$B$63,10))*(1-E88))</f>
        <v/>
      </c>
      <c r="W89" s="15">
        <f>MAX(0,V88*(1-INDEX($B$11:$B$63,11))*(1-E88))</f>
        <v/>
      </c>
      <c r="X89" s="15">
        <f>MAX(0,W88*(1-INDEX($B$11:$B$63,12))*(1-E88))</f>
        <v/>
      </c>
      <c r="Y89" s="15">
        <f>MAX(0,X88*(1-INDEX($B$11:$B$63,13))*(1-E88))</f>
        <v/>
      </c>
      <c r="Z89" s="15">
        <f>MAX(0,Y88*(1-INDEX($B$11:$B$63,14))*(1-E88))</f>
        <v/>
      </c>
      <c r="AA89" s="15">
        <f>MAX(0,Z88*(1-INDEX($B$11:$B$63,15))*(1-E88))</f>
        <v/>
      </c>
      <c r="AB89" s="15">
        <f>MAX(0,AA88*(1-INDEX($B$11:$B$63,16))*(1-E88))</f>
        <v/>
      </c>
      <c r="AC89" s="15">
        <f>MAX(0,AB88*(1-INDEX($B$11:$B$63,17))*(1-E88))</f>
        <v/>
      </c>
      <c r="AD89" s="15">
        <f>MAX(0,AC88*(1-INDEX($B$11:$B$63,18))*(1-E88))</f>
        <v/>
      </c>
      <c r="AE89" s="15">
        <f>MAX(0,AD88*(1-INDEX($B$11:$B$63,19))*(1-E88))</f>
        <v/>
      </c>
      <c r="AF89" s="15">
        <f>MAX(0,AE88*(1-INDEX($B$11:$B$63,20))*(1-E88))</f>
        <v/>
      </c>
      <c r="AG89" s="15">
        <f>MAX(0,AF88*(1-INDEX($B$11:$B$63,21))*(1-E88))</f>
        <v/>
      </c>
      <c r="AH89" s="15">
        <f>MAX(0,AG88*(1-INDEX($B$11:$B$63,22))*(1-E88))</f>
        <v/>
      </c>
      <c r="AI89" s="15">
        <f>MAX(0,AH88*(1-INDEX($B$11:$B$63,23))*(1-E88))</f>
        <v/>
      </c>
      <c r="AJ89" s="15">
        <f>MAX(0,AI88*(1-INDEX($B$11:$B$63,24))*(1-E88))</f>
        <v/>
      </c>
      <c r="AK89" s="15">
        <f>MAX(0,AJ88*(1-INDEX($B$11:$B$63,25))*(1-E88))</f>
        <v/>
      </c>
      <c r="AL89" s="15">
        <f>MAX(0,AK88*(1-INDEX($B$11:$B$63,26))*(1-E88))</f>
        <v/>
      </c>
      <c r="AM89" s="15">
        <f>MAX(0,AL88*(1-INDEX($B$11:$B$63,27))*(1-E88))</f>
        <v/>
      </c>
      <c r="AN89" s="15">
        <f>MAX(0,AM88*(1-INDEX($B$11:$B$63,28))*(1-E88))</f>
        <v/>
      </c>
      <c r="AO89" s="15">
        <f>MAX(0,AN88*(1-INDEX($B$11:$B$63,29))*(1-E88))</f>
        <v/>
      </c>
      <c r="AP89" s="15">
        <f>MAX(0,AO88*(1-INDEX($B$11:$B$63,30))*(1-E88))</f>
        <v/>
      </c>
      <c r="AQ89" s="15">
        <f>MAX(0,AP88*(1-INDEX($B$11:$B$63,31))*(1-E88))</f>
        <v/>
      </c>
      <c r="AR89" s="15">
        <f>MAX(0,AQ88*(1-INDEX($B$11:$B$63,32))*(1-E88))</f>
        <v/>
      </c>
      <c r="AS89" s="15">
        <f>MAX(0,AR88*(1-INDEX($B$11:$B$63,33))*(1-E88))</f>
        <v/>
      </c>
      <c r="AT89" s="15">
        <f>MAX(0,AS88*(1-INDEX($B$11:$B$63,34))*(1-E88))</f>
        <v/>
      </c>
      <c r="AU89" s="15">
        <f>MAX(0,AT88*(1-INDEX($B$11:$B$63,35))*(1-E88))</f>
        <v/>
      </c>
      <c r="AV89" s="15">
        <f>MAX(0,AU88*(1-INDEX($B$11:$B$63,36))*(1-E88))</f>
        <v/>
      </c>
      <c r="AW89" s="15">
        <f>MAX(0,AV88*(1-INDEX($B$11:$B$63,37))*(1-E88))</f>
        <v/>
      </c>
      <c r="AX89" s="15">
        <f>MAX(0,AW88*(1-INDEX($B$11:$B$63,38))*(1-E88))</f>
        <v/>
      </c>
      <c r="AY89" s="15">
        <f>MAX(0,AX88*(1-INDEX($B$11:$B$63,39))*(1-E88))</f>
        <v/>
      </c>
      <c r="AZ89" s="15">
        <f>MAX(0,AY88*(1-INDEX($B$11:$B$63,40))*(1-E88))</f>
        <v/>
      </c>
      <c r="BA89" s="15">
        <f>MAX(0,AZ88*(1-INDEX($B$11:$B$63,41))*(1-E88))</f>
        <v/>
      </c>
      <c r="BB89" s="15">
        <f>MAX(0,BA88*(1-INDEX($B$11:$B$63,42))*(1-E88))</f>
        <v/>
      </c>
      <c r="BC89" s="15">
        <f>MAX(0,BB88*(1-INDEX($B$11:$B$63,43))*(1-E88))</f>
        <v/>
      </c>
      <c r="BD89" s="15">
        <f>MAX(0,BC88*(1-INDEX($B$11:$B$63,44))*(1-E88))</f>
        <v/>
      </c>
      <c r="BE89" s="15">
        <f>MAX(0,BD88*(1-INDEX($B$11:$B$63,45))*(1-E88))</f>
        <v/>
      </c>
      <c r="BF89" s="15">
        <f>MAX(0,BE88*(1-INDEX($B$11:$B$63,46))*(1-E88))</f>
        <v/>
      </c>
      <c r="BG89" s="15">
        <f>MAX(0,BF88*(1-INDEX($B$11:$B$63,47))*(1-E88))</f>
        <v/>
      </c>
      <c r="BH89" s="15">
        <f>MAX(0,BG88*(1-INDEX($B$11:$B$63,48))*(1-E88))</f>
        <v/>
      </c>
      <c r="BI89" s="15">
        <f>MAX(0,BH88*(1-INDEX($B$11:$B$63,49))*(1-E88))</f>
        <v/>
      </c>
      <c r="BJ89" s="15">
        <f>MAX(0,BI88*(1-INDEX($B$11:$B$63,50))*(1-E88))</f>
        <v/>
      </c>
      <c r="BK89" s="15">
        <f>MAX(0,BJ88*(1-INDEX($B$11:$B$63,51))*(1-E88))</f>
        <v/>
      </c>
      <c r="BL89" s="15">
        <f>MAX(0,(BL88+BK88)*(1-INDEX($B$11:$B$63,53))*(1-E88))</f>
        <v/>
      </c>
    </row>
    <row r="90">
      <c r="A90" s="55" t="n">
        <v>24</v>
      </c>
      <c r="B90" s="15">
        <f>IF(A90&gt;Inputs!$C$62,"",SUM(M90:BK90))</f>
        <v/>
      </c>
      <c r="C90" s="15">
        <f>IF(A90&gt;Inputs!$C$62,"",INDEX(Trajectory!$C$23:$C$2000,A90))</f>
        <v/>
      </c>
      <c r="D90" s="15">
        <f>IF(A90&gt;Inputs!$C$62,"",SUM(L90:BK90))</f>
        <v/>
      </c>
      <c r="E90" s="12">
        <f>IF(A90&gt;Inputs!$C$62,"",INDEX(Trajectory!$AG$23:$AG$2000,A90))</f>
        <v/>
      </c>
      <c r="F90" s="12">
        <f>IF(D90=0,0,SUMPRODUCT(L90:BK90,$B$11:$B$63)/D90)</f>
        <v/>
      </c>
      <c r="G90" s="12">
        <f>IF(D90=0,0,MIN(0.95,1-(1-F90)*(1-E90)))</f>
        <v/>
      </c>
      <c r="H90" s="15">
        <f>IF(D90=0,0,D90*G90)</f>
        <v/>
      </c>
      <c r="I90" s="15">
        <f>IF(D90=0,0,D90-H90)</f>
        <v/>
      </c>
      <c r="L90" s="15">
        <f>C90</f>
        <v/>
      </c>
      <c r="M90" s="15">
        <f>MAX(0,L89*(1-INDEX($B$11:$B$63,1))*(1-E89))</f>
        <v/>
      </c>
      <c r="N90" s="15">
        <f>MAX(0,M89*(1-INDEX($B$11:$B$63,2))*(1-E89))</f>
        <v/>
      </c>
      <c r="O90" s="15">
        <f>MAX(0,N89*(1-INDEX($B$11:$B$63,3))*(1-E89))</f>
        <v/>
      </c>
      <c r="P90" s="15">
        <f>MAX(0,O89*(1-INDEX($B$11:$B$63,4))*(1-E89))</f>
        <v/>
      </c>
      <c r="Q90" s="15">
        <f>MAX(0,P89*(1-INDEX($B$11:$B$63,5))*(1-E89))</f>
        <v/>
      </c>
      <c r="R90" s="15">
        <f>MAX(0,Q89*(1-INDEX($B$11:$B$63,6))*(1-E89))</f>
        <v/>
      </c>
      <c r="S90" s="15">
        <f>MAX(0,R89*(1-INDEX($B$11:$B$63,7))*(1-E89))</f>
        <v/>
      </c>
      <c r="T90" s="15">
        <f>MAX(0,S89*(1-INDEX($B$11:$B$63,8))*(1-E89))</f>
        <v/>
      </c>
      <c r="U90" s="15">
        <f>MAX(0,T89*(1-INDEX($B$11:$B$63,9))*(1-E89))</f>
        <v/>
      </c>
      <c r="V90" s="15">
        <f>MAX(0,U89*(1-INDEX($B$11:$B$63,10))*(1-E89))</f>
        <v/>
      </c>
      <c r="W90" s="15">
        <f>MAX(0,V89*(1-INDEX($B$11:$B$63,11))*(1-E89))</f>
        <v/>
      </c>
      <c r="X90" s="15">
        <f>MAX(0,W89*(1-INDEX($B$11:$B$63,12))*(1-E89))</f>
        <v/>
      </c>
      <c r="Y90" s="15">
        <f>MAX(0,X89*(1-INDEX($B$11:$B$63,13))*(1-E89))</f>
        <v/>
      </c>
      <c r="Z90" s="15">
        <f>MAX(0,Y89*(1-INDEX($B$11:$B$63,14))*(1-E89))</f>
        <v/>
      </c>
      <c r="AA90" s="15">
        <f>MAX(0,Z89*(1-INDEX($B$11:$B$63,15))*(1-E89))</f>
        <v/>
      </c>
      <c r="AB90" s="15">
        <f>MAX(0,AA89*(1-INDEX($B$11:$B$63,16))*(1-E89))</f>
        <v/>
      </c>
      <c r="AC90" s="15">
        <f>MAX(0,AB89*(1-INDEX($B$11:$B$63,17))*(1-E89))</f>
        <v/>
      </c>
      <c r="AD90" s="15">
        <f>MAX(0,AC89*(1-INDEX($B$11:$B$63,18))*(1-E89))</f>
        <v/>
      </c>
      <c r="AE90" s="15">
        <f>MAX(0,AD89*(1-INDEX($B$11:$B$63,19))*(1-E89))</f>
        <v/>
      </c>
      <c r="AF90" s="15">
        <f>MAX(0,AE89*(1-INDEX($B$11:$B$63,20))*(1-E89))</f>
        <v/>
      </c>
      <c r="AG90" s="15">
        <f>MAX(0,AF89*(1-INDEX($B$11:$B$63,21))*(1-E89))</f>
        <v/>
      </c>
      <c r="AH90" s="15">
        <f>MAX(0,AG89*(1-INDEX($B$11:$B$63,22))*(1-E89))</f>
        <v/>
      </c>
      <c r="AI90" s="15">
        <f>MAX(0,AH89*(1-INDEX($B$11:$B$63,23))*(1-E89))</f>
        <v/>
      </c>
      <c r="AJ90" s="15">
        <f>MAX(0,AI89*(1-INDEX($B$11:$B$63,24))*(1-E89))</f>
        <v/>
      </c>
      <c r="AK90" s="15">
        <f>MAX(0,AJ89*(1-INDEX($B$11:$B$63,25))*(1-E89))</f>
        <v/>
      </c>
      <c r="AL90" s="15">
        <f>MAX(0,AK89*(1-INDEX($B$11:$B$63,26))*(1-E89))</f>
        <v/>
      </c>
      <c r="AM90" s="15">
        <f>MAX(0,AL89*(1-INDEX($B$11:$B$63,27))*(1-E89))</f>
        <v/>
      </c>
      <c r="AN90" s="15">
        <f>MAX(0,AM89*(1-INDEX($B$11:$B$63,28))*(1-E89))</f>
        <v/>
      </c>
      <c r="AO90" s="15">
        <f>MAX(0,AN89*(1-INDEX($B$11:$B$63,29))*(1-E89))</f>
        <v/>
      </c>
      <c r="AP90" s="15">
        <f>MAX(0,AO89*(1-INDEX($B$11:$B$63,30))*(1-E89))</f>
        <v/>
      </c>
      <c r="AQ90" s="15">
        <f>MAX(0,AP89*(1-INDEX($B$11:$B$63,31))*(1-E89))</f>
        <v/>
      </c>
      <c r="AR90" s="15">
        <f>MAX(0,AQ89*(1-INDEX($B$11:$B$63,32))*(1-E89))</f>
        <v/>
      </c>
      <c r="AS90" s="15">
        <f>MAX(0,AR89*(1-INDEX($B$11:$B$63,33))*(1-E89))</f>
        <v/>
      </c>
      <c r="AT90" s="15">
        <f>MAX(0,AS89*(1-INDEX($B$11:$B$63,34))*(1-E89))</f>
        <v/>
      </c>
      <c r="AU90" s="15">
        <f>MAX(0,AT89*(1-INDEX($B$11:$B$63,35))*(1-E89))</f>
        <v/>
      </c>
      <c r="AV90" s="15">
        <f>MAX(0,AU89*(1-INDEX($B$11:$B$63,36))*(1-E89))</f>
        <v/>
      </c>
      <c r="AW90" s="15">
        <f>MAX(0,AV89*(1-INDEX($B$11:$B$63,37))*(1-E89))</f>
        <v/>
      </c>
      <c r="AX90" s="15">
        <f>MAX(0,AW89*(1-INDEX($B$11:$B$63,38))*(1-E89))</f>
        <v/>
      </c>
      <c r="AY90" s="15">
        <f>MAX(0,AX89*(1-INDEX($B$11:$B$63,39))*(1-E89))</f>
        <v/>
      </c>
      <c r="AZ90" s="15">
        <f>MAX(0,AY89*(1-INDEX($B$11:$B$63,40))*(1-E89))</f>
        <v/>
      </c>
      <c r="BA90" s="15">
        <f>MAX(0,AZ89*(1-INDEX($B$11:$B$63,41))*(1-E89))</f>
        <v/>
      </c>
      <c r="BB90" s="15">
        <f>MAX(0,BA89*(1-INDEX($B$11:$B$63,42))*(1-E89))</f>
        <v/>
      </c>
      <c r="BC90" s="15">
        <f>MAX(0,BB89*(1-INDEX($B$11:$B$63,43))*(1-E89))</f>
        <v/>
      </c>
      <c r="BD90" s="15">
        <f>MAX(0,BC89*(1-INDEX($B$11:$B$63,44))*(1-E89))</f>
        <v/>
      </c>
      <c r="BE90" s="15">
        <f>MAX(0,BD89*(1-INDEX($B$11:$B$63,45))*(1-E89))</f>
        <v/>
      </c>
      <c r="BF90" s="15">
        <f>MAX(0,BE89*(1-INDEX($B$11:$B$63,46))*(1-E89))</f>
        <v/>
      </c>
      <c r="BG90" s="15">
        <f>MAX(0,BF89*(1-INDEX($B$11:$B$63,47))*(1-E89))</f>
        <v/>
      </c>
      <c r="BH90" s="15">
        <f>MAX(0,BG89*(1-INDEX($B$11:$B$63,48))*(1-E89))</f>
        <v/>
      </c>
      <c r="BI90" s="15">
        <f>MAX(0,BH89*(1-INDEX($B$11:$B$63,49))*(1-E89))</f>
        <v/>
      </c>
      <c r="BJ90" s="15">
        <f>MAX(0,BI89*(1-INDEX($B$11:$B$63,50))*(1-E89))</f>
        <v/>
      </c>
      <c r="BK90" s="15">
        <f>MAX(0,BJ89*(1-INDEX($B$11:$B$63,51))*(1-E89))</f>
        <v/>
      </c>
      <c r="BL90" s="15">
        <f>MAX(0,(BL89+BK89)*(1-INDEX($B$11:$B$63,53))*(1-E89))</f>
        <v/>
      </c>
    </row>
    <row r="91">
      <c r="A91" s="55" t="n">
        <v>25</v>
      </c>
      <c r="B91" s="15">
        <f>IF(A91&gt;Inputs!$C$62,"",SUM(M91:BK91))</f>
        <v/>
      </c>
      <c r="C91" s="15">
        <f>IF(A91&gt;Inputs!$C$62,"",INDEX(Trajectory!$C$23:$C$2000,A91))</f>
        <v/>
      </c>
      <c r="D91" s="15">
        <f>IF(A91&gt;Inputs!$C$62,"",SUM(L91:BK91))</f>
        <v/>
      </c>
      <c r="E91" s="12">
        <f>IF(A91&gt;Inputs!$C$62,"",INDEX(Trajectory!$AG$23:$AG$2000,A91))</f>
        <v/>
      </c>
      <c r="F91" s="12">
        <f>IF(D91=0,0,SUMPRODUCT(L91:BK91,$B$11:$B$63)/D91)</f>
        <v/>
      </c>
      <c r="G91" s="12">
        <f>IF(D91=0,0,MIN(0.95,1-(1-F91)*(1-E91)))</f>
        <v/>
      </c>
      <c r="H91" s="15">
        <f>IF(D91=0,0,D91*G91)</f>
        <v/>
      </c>
      <c r="I91" s="15">
        <f>IF(D91=0,0,D91-H91)</f>
        <v/>
      </c>
      <c r="L91" s="15">
        <f>C91</f>
        <v/>
      </c>
      <c r="M91" s="15">
        <f>MAX(0,L90*(1-INDEX($B$11:$B$63,1))*(1-E90))</f>
        <v/>
      </c>
      <c r="N91" s="15">
        <f>MAX(0,M90*(1-INDEX($B$11:$B$63,2))*(1-E90))</f>
        <v/>
      </c>
      <c r="O91" s="15">
        <f>MAX(0,N90*(1-INDEX($B$11:$B$63,3))*(1-E90))</f>
        <v/>
      </c>
      <c r="P91" s="15">
        <f>MAX(0,O90*(1-INDEX($B$11:$B$63,4))*(1-E90))</f>
        <v/>
      </c>
      <c r="Q91" s="15">
        <f>MAX(0,P90*(1-INDEX($B$11:$B$63,5))*(1-E90))</f>
        <v/>
      </c>
      <c r="R91" s="15">
        <f>MAX(0,Q90*(1-INDEX($B$11:$B$63,6))*(1-E90))</f>
        <v/>
      </c>
      <c r="S91" s="15">
        <f>MAX(0,R90*(1-INDEX($B$11:$B$63,7))*(1-E90))</f>
        <v/>
      </c>
      <c r="T91" s="15">
        <f>MAX(0,S90*(1-INDEX($B$11:$B$63,8))*(1-E90))</f>
        <v/>
      </c>
      <c r="U91" s="15">
        <f>MAX(0,T90*(1-INDEX($B$11:$B$63,9))*(1-E90))</f>
        <v/>
      </c>
      <c r="V91" s="15">
        <f>MAX(0,U90*(1-INDEX($B$11:$B$63,10))*(1-E90))</f>
        <v/>
      </c>
      <c r="W91" s="15">
        <f>MAX(0,V90*(1-INDEX($B$11:$B$63,11))*(1-E90))</f>
        <v/>
      </c>
      <c r="X91" s="15">
        <f>MAX(0,W90*(1-INDEX($B$11:$B$63,12))*(1-E90))</f>
        <v/>
      </c>
      <c r="Y91" s="15">
        <f>MAX(0,X90*(1-INDEX($B$11:$B$63,13))*(1-E90))</f>
        <v/>
      </c>
      <c r="Z91" s="15">
        <f>MAX(0,Y90*(1-INDEX($B$11:$B$63,14))*(1-E90))</f>
        <v/>
      </c>
      <c r="AA91" s="15">
        <f>MAX(0,Z90*(1-INDEX($B$11:$B$63,15))*(1-E90))</f>
        <v/>
      </c>
      <c r="AB91" s="15">
        <f>MAX(0,AA90*(1-INDEX($B$11:$B$63,16))*(1-E90))</f>
        <v/>
      </c>
      <c r="AC91" s="15">
        <f>MAX(0,AB90*(1-INDEX($B$11:$B$63,17))*(1-E90))</f>
        <v/>
      </c>
      <c r="AD91" s="15">
        <f>MAX(0,AC90*(1-INDEX($B$11:$B$63,18))*(1-E90))</f>
        <v/>
      </c>
      <c r="AE91" s="15">
        <f>MAX(0,AD90*(1-INDEX($B$11:$B$63,19))*(1-E90))</f>
        <v/>
      </c>
      <c r="AF91" s="15">
        <f>MAX(0,AE90*(1-INDEX($B$11:$B$63,20))*(1-E90))</f>
        <v/>
      </c>
      <c r="AG91" s="15">
        <f>MAX(0,AF90*(1-INDEX($B$11:$B$63,21))*(1-E90))</f>
        <v/>
      </c>
      <c r="AH91" s="15">
        <f>MAX(0,AG90*(1-INDEX($B$11:$B$63,22))*(1-E90))</f>
        <v/>
      </c>
      <c r="AI91" s="15">
        <f>MAX(0,AH90*(1-INDEX($B$11:$B$63,23))*(1-E90))</f>
        <v/>
      </c>
      <c r="AJ91" s="15">
        <f>MAX(0,AI90*(1-INDEX($B$11:$B$63,24))*(1-E90))</f>
        <v/>
      </c>
      <c r="AK91" s="15">
        <f>MAX(0,AJ90*(1-INDEX($B$11:$B$63,25))*(1-E90))</f>
        <v/>
      </c>
      <c r="AL91" s="15">
        <f>MAX(0,AK90*(1-INDEX($B$11:$B$63,26))*(1-E90))</f>
        <v/>
      </c>
      <c r="AM91" s="15">
        <f>MAX(0,AL90*(1-INDEX($B$11:$B$63,27))*(1-E90))</f>
        <v/>
      </c>
      <c r="AN91" s="15">
        <f>MAX(0,AM90*(1-INDEX($B$11:$B$63,28))*(1-E90))</f>
        <v/>
      </c>
      <c r="AO91" s="15">
        <f>MAX(0,AN90*(1-INDEX($B$11:$B$63,29))*(1-E90))</f>
        <v/>
      </c>
      <c r="AP91" s="15">
        <f>MAX(0,AO90*(1-INDEX($B$11:$B$63,30))*(1-E90))</f>
        <v/>
      </c>
      <c r="AQ91" s="15">
        <f>MAX(0,AP90*(1-INDEX($B$11:$B$63,31))*(1-E90))</f>
        <v/>
      </c>
      <c r="AR91" s="15">
        <f>MAX(0,AQ90*(1-INDEX($B$11:$B$63,32))*(1-E90))</f>
        <v/>
      </c>
      <c r="AS91" s="15">
        <f>MAX(0,AR90*(1-INDEX($B$11:$B$63,33))*(1-E90))</f>
        <v/>
      </c>
      <c r="AT91" s="15">
        <f>MAX(0,AS90*(1-INDEX($B$11:$B$63,34))*(1-E90))</f>
        <v/>
      </c>
      <c r="AU91" s="15">
        <f>MAX(0,AT90*(1-INDEX($B$11:$B$63,35))*(1-E90))</f>
        <v/>
      </c>
      <c r="AV91" s="15">
        <f>MAX(0,AU90*(1-INDEX($B$11:$B$63,36))*(1-E90))</f>
        <v/>
      </c>
      <c r="AW91" s="15">
        <f>MAX(0,AV90*(1-INDEX($B$11:$B$63,37))*(1-E90))</f>
        <v/>
      </c>
      <c r="AX91" s="15">
        <f>MAX(0,AW90*(1-INDEX($B$11:$B$63,38))*(1-E90))</f>
        <v/>
      </c>
      <c r="AY91" s="15">
        <f>MAX(0,AX90*(1-INDEX($B$11:$B$63,39))*(1-E90))</f>
        <v/>
      </c>
      <c r="AZ91" s="15">
        <f>MAX(0,AY90*(1-INDEX($B$11:$B$63,40))*(1-E90))</f>
        <v/>
      </c>
      <c r="BA91" s="15">
        <f>MAX(0,AZ90*(1-INDEX($B$11:$B$63,41))*(1-E90))</f>
        <v/>
      </c>
      <c r="BB91" s="15">
        <f>MAX(0,BA90*(1-INDEX($B$11:$B$63,42))*(1-E90))</f>
        <v/>
      </c>
      <c r="BC91" s="15">
        <f>MAX(0,BB90*(1-INDEX($B$11:$B$63,43))*(1-E90))</f>
        <v/>
      </c>
      <c r="BD91" s="15">
        <f>MAX(0,BC90*(1-INDEX($B$11:$B$63,44))*(1-E90))</f>
        <v/>
      </c>
      <c r="BE91" s="15">
        <f>MAX(0,BD90*(1-INDEX($B$11:$B$63,45))*(1-E90))</f>
        <v/>
      </c>
      <c r="BF91" s="15">
        <f>MAX(0,BE90*(1-INDEX($B$11:$B$63,46))*(1-E90))</f>
        <v/>
      </c>
      <c r="BG91" s="15">
        <f>MAX(0,BF90*(1-INDEX($B$11:$B$63,47))*(1-E90))</f>
        <v/>
      </c>
      <c r="BH91" s="15">
        <f>MAX(0,BG90*(1-INDEX($B$11:$B$63,48))*(1-E90))</f>
        <v/>
      </c>
      <c r="BI91" s="15">
        <f>MAX(0,BH90*(1-INDEX($B$11:$B$63,49))*(1-E90))</f>
        <v/>
      </c>
      <c r="BJ91" s="15">
        <f>MAX(0,BI90*(1-INDEX($B$11:$B$63,50))*(1-E90))</f>
        <v/>
      </c>
      <c r="BK91" s="15">
        <f>MAX(0,BJ90*(1-INDEX($B$11:$B$63,51))*(1-E90))</f>
        <v/>
      </c>
      <c r="BL91" s="15">
        <f>MAX(0,(BL90+BK90)*(1-INDEX($B$11:$B$63,53))*(1-E90))</f>
        <v/>
      </c>
    </row>
    <row r="92">
      <c r="A92" s="55" t="n">
        <v>26</v>
      </c>
      <c r="B92" s="15">
        <f>IF(A92&gt;Inputs!$C$62,"",SUM(M92:BK92))</f>
        <v/>
      </c>
      <c r="C92" s="15">
        <f>IF(A92&gt;Inputs!$C$62,"",INDEX(Trajectory!$C$23:$C$2000,A92))</f>
        <v/>
      </c>
      <c r="D92" s="15">
        <f>IF(A92&gt;Inputs!$C$62,"",SUM(L92:BK92))</f>
        <v/>
      </c>
      <c r="E92" s="12">
        <f>IF(A92&gt;Inputs!$C$62,"",INDEX(Trajectory!$AG$23:$AG$2000,A92))</f>
        <v/>
      </c>
      <c r="F92" s="12">
        <f>IF(D92=0,0,SUMPRODUCT(L92:BK92,$B$11:$B$63)/D92)</f>
        <v/>
      </c>
      <c r="G92" s="12">
        <f>IF(D92=0,0,MIN(0.95,1-(1-F92)*(1-E92)))</f>
        <v/>
      </c>
      <c r="H92" s="15">
        <f>IF(D92=0,0,D92*G92)</f>
        <v/>
      </c>
      <c r="I92" s="15">
        <f>IF(D92=0,0,D92-H92)</f>
        <v/>
      </c>
      <c r="L92" s="15">
        <f>C92</f>
        <v/>
      </c>
      <c r="M92" s="15">
        <f>MAX(0,L91*(1-INDEX($B$11:$B$63,1))*(1-E91))</f>
        <v/>
      </c>
      <c r="N92" s="15">
        <f>MAX(0,M91*(1-INDEX($B$11:$B$63,2))*(1-E91))</f>
        <v/>
      </c>
      <c r="O92" s="15">
        <f>MAX(0,N91*(1-INDEX($B$11:$B$63,3))*(1-E91))</f>
        <v/>
      </c>
      <c r="P92" s="15">
        <f>MAX(0,O91*(1-INDEX($B$11:$B$63,4))*(1-E91))</f>
        <v/>
      </c>
      <c r="Q92" s="15">
        <f>MAX(0,P91*(1-INDEX($B$11:$B$63,5))*(1-E91))</f>
        <v/>
      </c>
      <c r="R92" s="15">
        <f>MAX(0,Q91*(1-INDEX($B$11:$B$63,6))*(1-E91))</f>
        <v/>
      </c>
      <c r="S92" s="15">
        <f>MAX(0,R91*(1-INDEX($B$11:$B$63,7))*(1-E91))</f>
        <v/>
      </c>
      <c r="T92" s="15">
        <f>MAX(0,S91*(1-INDEX($B$11:$B$63,8))*(1-E91))</f>
        <v/>
      </c>
      <c r="U92" s="15">
        <f>MAX(0,T91*(1-INDEX($B$11:$B$63,9))*(1-E91))</f>
        <v/>
      </c>
      <c r="V92" s="15">
        <f>MAX(0,U91*(1-INDEX($B$11:$B$63,10))*(1-E91))</f>
        <v/>
      </c>
      <c r="W92" s="15">
        <f>MAX(0,V91*(1-INDEX($B$11:$B$63,11))*(1-E91))</f>
        <v/>
      </c>
      <c r="X92" s="15">
        <f>MAX(0,W91*(1-INDEX($B$11:$B$63,12))*(1-E91))</f>
        <v/>
      </c>
      <c r="Y92" s="15">
        <f>MAX(0,X91*(1-INDEX($B$11:$B$63,13))*(1-E91))</f>
        <v/>
      </c>
      <c r="Z92" s="15">
        <f>MAX(0,Y91*(1-INDEX($B$11:$B$63,14))*(1-E91))</f>
        <v/>
      </c>
      <c r="AA92" s="15">
        <f>MAX(0,Z91*(1-INDEX($B$11:$B$63,15))*(1-E91))</f>
        <v/>
      </c>
      <c r="AB92" s="15">
        <f>MAX(0,AA91*(1-INDEX($B$11:$B$63,16))*(1-E91))</f>
        <v/>
      </c>
      <c r="AC92" s="15">
        <f>MAX(0,AB91*(1-INDEX($B$11:$B$63,17))*(1-E91))</f>
        <v/>
      </c>
      <c r="AD92" s="15">
        <f>MAX(0,AC91*(1-INDEX($B$11:$B$63,18))*(1-E91))</f>
        <v/>
      </c>
      <c r="AE92" s="15">
        <f>MAX(0,AD91*(1-INDEX($B$11:$B$63,19))*(1-E91))</f>
        <v/>
      </c>
      <c r="AF92" s="15">
        <f>MAX(0,AE91*(1-INDEX($B$11:$B$63,20))*(1-E91))</f>
        <v/>
      </c>
      <c r="AG92" s="15">
        <f>MAX(0,AF91*(1-INDEX($B$11:$B$63,21))*(1-E91))</f>
        <v/>
      </c>
      <c r="AH92" s="15">
        <f>MAX(0,AG91*(1-INDEX($B$11:$B$63,22))*(1-E91))</f>
        <v/>
      </c>
      <c r="AI92" s="15">
        <f>MAX(0,AH91*(1-INDEX($B$11:$B$63,23))*(1-E91))</f>
        <v/>
      </c>
      <c r="AJ92" s="15">
        <f>MAX(0,AI91*(1-INDEX($B$11:$B$63,24))*(1-E91))</f>
        <v/>
      </c>
      <c r="AK92" s="15">
        <f>MAX(0,AJ91*(1-INDEX($B$11:$B$63,25))*(1-E91))</f>
        <v/>
      </c>
      <c r="AL92" s="15">
        <f>MAX(0,AK91*(1-INDEX($B$11:$B$63,26))*(1-E91))</f>
        <v/>
      </c>
      <c r="AM92" s="15">
        <f>MAX(0,AL91*(1-INDEX($B$11:$B$63,27))*(1-E91))</f>
        <v/>
      </c>
      <c r="AN92" s="15">
        <f>MAX(0,AM91*(1-INDEX($B$11:$B$63,28))*(1-E91))</f>
        <v/>
      </c>
      <c r="AO92" s="15">
        <f>MAX(0,AN91*(1-INDEX($B$11:$B$63,29))*(1-E91))</f>
        <v/>
      </c>
      <c r="AP92" s="15">
        <f>MAX(0,AO91*(1-INDEX($B$11:$B$63,30))*(1-E91))</f>
        <v/>
      </c>
      <c r="AQ92" s="15">
        <f>MAX(0,AP91*(1-INDEX($B$11:$B$63,31))*(1-E91))</f>
        <v/>
      </c>
      <c r="AR92" s="15">
        <f>MAX(0,AQ91*(1-INDEX($B$11:$B$63,32))*(1-E91))</f>
        <v/>
      </c>
      <c r="AS92" s="15">
        <f>MAX(0,AR91*(1-INDEX($B$11:$B$63,33))*(1-E91))</f>
        <v/>
      </c>
      <c r="AT92" s="15">
        <f>MAX(0,AS91*(1-INDEX($B$11:$B$63,34))*(1-E91))</f>
        <v/>
      </c>
      <c r="AU92" s="15">
        <f>MAX(0,AT91*(1-INDEX($B$11:$B$63,35))*(1-E91))</f>
        <v/>
      </c>
      <c r="AV92" s="15">
        <f>MAX(0,AU91*(1-INDEX($B$11:$B$63,36))*(1-E91))</f>
        <v/>
      </c>
      <c r="AW92" s="15">
        <f>MAX(0,AV91*(1-INDEX($B$11:$B$63,37))*(1-E91))</f>
        <v/>
      </c>
      <c r="AX92" s="15">
        <f>MAX(0,AW91*(1-INDEX($B$11:$B$63,38))*(1-E91))</f>
        <v/>
      </c>
      <c r="AY92" s="15">
        <f>MAX(0,AX91*(1-INDEX($B$11:$B$63,39))*(1-E91))</f>
        <v/>
      </c>
      <c r="AZ92" s="15">
        <f>MAX(0,AY91*(1-INDEX($B$11:$B$63,40))*(1-E91))</f>
        <v/>
      </c>
      <c r="BA92" s="15">
        <f>MAX(0,AZ91*(1-INDEX($B$11:$B$63,41))*(1-E91))</f>
        <v/>
      </c>
      <c r="BB92" s="15">
        <f>MAX(0,BA91*(1-INDEX($B$11:$B$63,42))*(1-E91))</f>
        <v/>
      </c>
      <c r="BC92" s="15">
        <f>MAX(0,BB91*(1-INDEX($B$11:$B$63,43))*(1-E91))</f>
        <v/>
      </c>
      <c r="BD92" s="15">
        <f>MAX(0,BC91*(1-INDEX($B$11:$B$63,44))*(1-E91))</f>
        <v/>
      </c>
      <c r="BE92" s="15">
        <f>MAX(0,BD91*(1-INDEX($B$11:$B$63,45))*(1-E91))</f>
        <v/>
      </c>
      <c r="BF92" s="15">
        <f>MAX(0,BE91*(1-INDEX($B$11:$B$63,46))*(1-E91))</f>
        <v/>
      </c>
      <c r="BG92" s="15">
        <f>MAX(0,BF91*(1-INDEX($B$11:$B$63,47))*(1-E91))</f>
        <v/>
      </c>
      <c r="BH92" s="15">
        <f>MAX(0,BG91*(1-INDEX($B$11:$B$63,48))*(1-E91))</f>
        <v/>
      </c>
      <c r="BI92" s="15">
        <f>MAX(0,BH91*(1-INDEX($B$11:$B$63,49))*(1-E91))</f>
        <v/>
      </c>
      <c r="BJ92" s="15">
        <f>MAX(0,BI91*(1-INDEX($B$11:$B$63,50))*(1-E91))</f>
        <v/>
      </c>
      <c r="BK92" s="15">
        <f>MAX(0,BJ91*(1-INDEX($B$11:$B$63,51))*(1-E91))</f>
        <v/>
      </c>
      <c r="BL92" s="15">
        <f>MAX(0,(BL91+BK91)*(1-INDEX($B$11:$B$63,53))*(1-E91))</f>
        <v/>
      </c>
    </row>
    <row r="93">
      <c r="A93" s="55" t="n">
        <v>27</v>
      </c>
      <c r="B93" s="15">
        <f>IF(A93&gt;Inputs!$C$62,"",SUM(M93:BK93))</f>
        <v/>
      </c>
      <c r="C93" s="15">
        <f>IF(A93&gt;Inputs!$C$62,"",INDEX(Trajectory!$C$23:$C$2000,A93))</f>
        <v/>
      </c>
      <c r="D93" s="15">
        <f>IF(A93&gt;Inputs!$C$62,"",SUM(L93:BK93))</f>
        <v/>
      </c>
      <c r="E93" s="12">
        <f>IF(A93&gt;Inputs!$C$62,"",INDEX(Trajectory!$AG$23:$AG$2000,A93))</f>
        <v/>
      </c>
      <c r="F93" s="12">
        <f>IF(D93=0,0,SUMPRODUCT(L93:BK93,$B$11:$B$63)/D93)</f>
        <v/>
      </c>
      <c r="G93" s="12">
        <f>IF(D93=0,0,MIN(0.95,1-(1-F93)*(1-E93)))</f>
        <v/>
      </c>
      <c r="H93" s="15">
        <f>IF(D93=0,0,D93*G93)</f>
        <v/>
      </c>
      <c r="I93" s="15">
        <f>IF(D93=0,0,D93-H93)</f>
        <v/>
      </c>
      <c r="L93" s="15">
        <f>C93</f>
        <v/>
      </c>
      <c r="M93" s="15">
        <f>MAX(0,L92*(1-INDEX($B$11:$B$63,1))*(1-E92))</f>
        <v/>
      </c>
      <c r="N93" s="15">
        <f>MAX(0,M92*(1-INDEX($B$11:$B$63,2))*(1-E92))</f>
        <v/>
      </c>
      <c r="O93" s="15">
        <f>MAX(0,N92*(1-INDEX($B$11:$B$63,3))*(1-E92))</f>
        <v/>
      </c>
      <c r="P93" s="15">
        <f>MAX(0,O92*(1-INDEX($B$11:$B$63,4))*(1-E92))</f>
        <v/>
      </c>
      <c r="Q93" s="15">
        <f>MAX(0,P92*(1-INDEX($B$11:$B$63,5))*(1-E92))</f>
        <v/>
      </c>
      <c r="R93" s="15">
        <f>MAX(0,Q92*(1-INDEX($B$11:$B$63,6))*(1-E92))</f>
        <v/>
      </c>
      <c r="S93" s="15">
        <f>MAX(0,R92*(1-INDEX($B$11:$B$63,7))*(1-E92))</f>
        <v/>
      </c>
      <c r="T93" s="15">
        <f>MAX(0,S92*(1-INDEX($B$11:$B$63,8))*(1-E92))</f>
        <v/>
      </c>
      <c r="U93" s="15">
        <f>MAX(0,T92*(1-INDEX($B$11:$B$63,9))*(1-E92))</f>
        <v/>
      </c>
      <c r="V93" s="15">
        <f>MAX(0,U92*(1-INDEX($B$11:$B$63,10))*(1-E92))</f>
        <v/>
      </c>
      <c r="W93" s="15">
        <f>MAX(0,V92*(1-INDEX($B$11:$B$63,11))*(1-E92))</f>
        <v/>
      </c>
      <c r="X93" s="15">
        <f>MAX(0,W92*(1-INDEX($B$11:$B$63,12))*(1-E92))</f>
        <v/>
      </c>
      <c r="Y93" s="15">
        <f>MAX(0,X92*(1-INDEX($B$11:$B$63,13))*(1-E92))</f>
        <v/>
      </c>
      <c r="Z93" s="15">
        <f>MAX(0,Y92*(1-INDEX($B$11:$B$63,14))*(1-E92))</f>
        <v/>
      </c>
      <c r="AA93" s="15">
        <f>MAX(0,Z92*(1-INDEX($B$11:$B$63,15))*(1-E92))</f>
        <v/>
      </c>
      <c r="AB93" s="15">
        <f>MAX(0,AA92*(1-INDEX($B$11:$B$63,16))*(1-E92))</f>
        <v/>
      </c>
      <c r="AC93" s="15">
        <f>MAX(0,AB92*(1-INDEX($B$11:$B$63,17))*(1-E92))</f>
        <v/>
      </c>
      <c r="AD93" s="15">
        <f>MAX(0,AC92*(1-INDEX($B$11:$B$63,18))*(1-E92))</f>
        <v/>
      </c>
      <c r="AE93" s="15">
        <f>MAX(0,AD92*(1-INDEX($B$11:$B$63,19))*(1-E92))</f>
        <v/>
      </c>
      <c r="AF93" s="15">
        <f>MAX(0,AE92*(1-INDEX($B$11:$B$63,20))*(1-E92))</f>
        <v/>
      </c>
      <c r="AG93" s="15">
        <f>MAX(0,AF92*(1-INDEX($B$11:$B$63,21))*(1-E92))</f>
        <v/>
      </c>
      <c r="AH93" s="15">
        <f>MAX(0,AG92*(1-INDEX($B$11:$B$63,22))*(1-E92))</f>
        <v/>
      </c>
      <c r="AI93" s="15">
        <f>MAX(0,AH92*(1-INDEX($B$11:$B$63,23))*(1-E92))</f>
        <v/>
      </c>
      <c r="AJ93" s="15">
        <f>MAX(0,AI92*(1-INDEX($B$11:$B$63,24))*(1-E92))</f>
        <v/>
      </c>
      <c r="AK93" s="15">
        <f>MAX(0,AJ92*(1-INDEX($B$11:$B$63,25))*(1-E92))</f>
        <v/>
      </c>
      <c r="AL93" s="15">
        <f>MAX(0,AK92*(1-INDEX($B$11:$B$63,26))*(1-E92))</f>
        <v/>
      </c>
      <c r="AM93" s="15">
        <f>MAX(0,AL92*(1-INDEX($B$11:$B$63,27))*(1-E92))</f>
        <v/>
      </c>
      <c r="AN93" s="15">
        <f>MAX(0,AM92*(1-INDEX($B$11:$B$63,28))*(1-E92))</f>
        <v/>
      </c>
      <c r="AO93" s="15">
        <f>MAX(0,AN92*(1-INDEX($B$11:$B$63,29))*(1-E92))</f>
        <v/>
      </c>
      <c r="AP93" s="15">
        <f>MAX(0,AO92*(1-INDEX($B$11:$B$63,30))*(1-E92))</f>
        <v/>
      </c>
      <c r="AQ93" s="15">
        <f>MAX(0,AP92*(1-INDEX($B$11:$B$63,31))*(1-E92))</f>
        <v/>
      </c>
      <c r="AR93" s="15">
        <f>MAX(0,AQ92*(1-INDEX($B$11:$B$63,32))*(1-E92))</f>
        <v/>
      </c>
      <c r="AS93" s="15">
        <f>MAX(0,AR92*(1-INDEX($B$11:$B$63,33))*(1-E92))</f>
        <v/>
      </c>
      <c r="AT93" s="15">
        <f>MAX(0,AS92*(1-INDEX($B$11:$B$63,34))*(1-E92))</f>
        <v/>
      </c>
      <c r="AU93" s="15">
        <f>MAX(0,AT92*(1-INDEX($B$11:$B$63,35))*(1-E92))</f>
        <v/>
      </c>
      <c r="AV93" s="15">
        <f>MAX(0,AU92*(1-INDEX($B$11:$B$63,36))*(1-E92))</f>
        <v/>
      </c>
      <c r="AW93" s="15">
        <f>MAX(0,AV92*(1-INDEX($B$11:$B$63,37))*(1-E92))</f>
        <v/>
      </c>
      <c r="AX93" s="15">
        <f>MAX(0,AW92*(1-INDEX($B$11:$B$63,38))*(1-E92))</f>
        <v/>
      </c>
      <c r="AY93" s="15">
        <f>MAX(0,AX92*(1-INDEX($B$11:$B$63,39))*(1-E92))</f>
        <v/>
      </c>
      <c r="AZ93" s="15">
        <f>MAX(0,AY92*(1-INDEX($B$11:$B$63,40))*(1-E92))</f>
        <v/>
      </c>
      <c r="BA93" s="15">
        <f>MAX(0,AZ92*(1-INDEX($B$11:$B$63,41))*(1-E92))</f>
        <v/>
      </c>
      <c r="BB93" s="15">
        <f>MAX(0,BA92*(1-INDEX($B$11:$B$63,42))*(1-E92))</f>
        <v/>
      </c>
      <c r="BC93" s="15">
        <f>MAX(0,BB92*(1-INDEX($B$11:$B$63,43))*(1-E92))</f>
        <v/>
      </c>
      <c r="BD93" s="15">
        <f>MAX(0,BC92*(1-INDEX($B$11:$B$63,44))*(1-E92))</f>
        <v/>
      </c>
      <c r="BE93" s="15">
        <f>MAX(0,BD92*(1-INDEX($B$11:$B$63,45))*(1-E92))</f>
        <v/>
      </c>
      <c r="BF93" s="15">
        <f>MAX(0,BE92*(1-INDEX($B$11:$B$63,46))*(1-E92))</f>
        <v/>
      </c>
      <c r="BG93" s="15">
        <f>MAX(0,BF92*(1-INDEX($B$11:$B$63,47))*(1-E92))</f>
        <v/>
      </c>
      <c r="BH93" s="15">
        <f>MAX(0,BG92*(1-INDEX($B$11:$B$63,48))*(1-E92))</f>
        <v/>
      </c>
      <c r="BI93" s="15">
        <f>MAX(0,BH92*(1-INDEX($B$11:$B$63,49))*(1-E92))</f>
        <v/>
      </c>
      <c r="BJ93" s="15">
        <f>MAX(0,BI92*(1-INDEX($B$11:$B$63,50))*(1-E92))</f>
        <v/>
      </c>
      <c r="BK93" s="15">
        <f>MAX(0,BJ92*(1-INDEX($B$11:$B$63,51))*(1-E92))</f>
        <v/>
      </c>
      <c r="BL93" s="15">
        <f>MAX(0,(BL92+BK92)*(1-INDEX($B$11:$B$63,53))*(1-E92))</f>
        <v/>
      </c>
    </row>
    <row r="94">
      <c r="A94" s="55" t="n">
        <v>28</v>
      </c>
      <c r="B94" s="15">
        <f>IF(A94&gt;Inputs!$C$62,"",SUM(M94:BK94))</f>
        <v/>
      </c>
      <c r="C94" s="15">
        <f>IF(A94&gt;Inputs!$C$62,"",INDEX(Trajectory!$C$23:$C$2000,A94))</f>
        <v/>
      </c>
      <c r="D94" s="15">
        <f>IF(A94&gt;Inputs!$C$62,"",SUM(L94:BK94))</f>
        <v/>
      </c>
      <c r="E94" s="12">
        <f>IF(A94&gt;Inputs!$C$62,"",INDEX(Trajectory!$AG$23:$AG$2000,A94))</f>
        <v/>
      </c>
      <c r="F94" s="12">
        <f>IF(D94=0,0,SUMPRODUCT(L94:BK94,$B$11:$B$63)/D94)</f>
        <v/>
      </c>
      <c r="G94" s="12">
        <f>IF(D94=0,0,MIN(0.95,1-(1-F94)*(1-E94)))</f>
        <v/>
      </c>
      <c r="H94" s="15">
        <f>IF(D94=0,0,D94*G94)</f>
        <v/>
      </c>
      <c r="I94" s="15">
        <f>IF(D94=0,0,D94-H94)</f>
        <v/>
      </c>
      <c r="L94" s="15">
        <f>C94</f>
        <v/>
      </c>
      <c r="M94" s="15">
        <f>MAX(0,L93*(1-INDEX($B$11:$B$63,1))*(1-E93))</f>
        <v/>
      </c>
      <c r="N94" s="15">
        <f>MAX(0,M93*(1-INDEX($B$11:$B$63,2))*(1-E93))</f>
        <v/>
      </c>
      <c r="O94" s="15">
        <f>MAX(0,N93*(1-INDEX($B$11:$B$63,3))*(1-E93))</f>
        <v/>
      </c>
      <c r="P94" s="15">
        <f>MAX(0,O93*(1-INDEX($B$11:$B$63,4))*(1-E93))</f>
        <v/>
      </c>
      <c r="Q94" s="15">
        <f>MAX(0,P93*(1-INDEX($B$11:$B$63,5))*(1-E93))</f>
        <v/>
      </c>
      <c r="R94" s="15">
        <f>MAX(0,Q93*(1-INDEX($B$11:$B$63,6))*(1-E93))</f>
        <v/>
      </c>
      <c r="S94" s="15">
        <f>MAX(0,R93*(1-INDEX($B$11:$B$63,7))*(1-E93))</f>
        <v/>
      </c>
      <c r="T94" s="15">
        <f>MAX(0,S93*(1-INDEX($B$11:$B$63,8))*(1-E93))</f>
        <v/>
      </c>
      <c r="U94" s="15">
        <f>MAX(0,T93*(1-INDEX($B$11:$B$63,9))*(1-E93))</f>
        <v/>
      </c>
      <c r="V94" s="15">
        <f>MAX(0,U93*(1-INDEX($B$11:$B$63,10))*(1-E93))</f>
        <v/>
      </c>
      <c r="W94" s="15">
        <f>MAX(0,V93*(1-INDEX($B$11:$B$63,11))*(1-E93))</f>
        <v/>
      </c>
      <c r="X94" s="15">
        <f>MAX(0,W93*(1-INDEX($B$11:$B$63,12))*(1-E93))</f>
        <v/>
      </c>
      <c r="Y94" s="15">
        <f>MAX(0,X93*(1-INDEX($B$11:$B$63,13))*(1-E93))</f>
        <v/>
      </c>
      <c r="Z94" s="15">
        <f>MAX(0,Y93*(1-INDEX($B$11:$B$63,14))*(1-E93))</f>
        <v/>
      </c>
      <c r="AA94" s="15">
        <f>MAX(0,Z93*(1-INDEX($B$11:$B$63,15))*(1-E93))</f>
        <v/>
      </c>
      <c r="AB94" s="15">
        <f>MAX(0,AA93*(1-INDEX($B$11:$B$63,16))*(1-E93))</f>
        <v/>
      </c>
      <c r="AC94" s="15">
        <f>MAX(0,AB93*(1-INDEX($B$11:$B$63,17))*(1-E93))</f>
        <v/>
      </c>
      <c r="AD94" s="15">
        <f>MAX(0,AC93*(1-INDEX($B$11:$B$63,18))*(1-E93))</f>
        <v/>
      </c>
      <c r="AE94" s="15">
        <f>MAX(0,AD93*(1-INDEX($B$11:$B$63,19))*(1-E93))</f>
        <v/>
      </c>
      <c r="AF94" s="15">
        <f>MAX(0,AE93*(1-INDEX($B$11:$B$63,20))*(1-E93))</f>
        <v/>
      </c>
      <c r="AG94" s="15">
        <f>MAX(0,AF93*(1-INDEX($B$11:$B$63,21))*(1-E93))</f>
        <v/>
      </c>
      <c r="AH94" s="15">
        <f>MAX(0,AG93*(1-INDEX($B$11:$B$63,22))*(1-E93))</f>
        <v/>
      </c>
      <c r="AI94" s="15">
        <f>MAX(0,AH93*(1-INDEX($B$11:$B$63,23))*(1-E93))</f>
        <v/>
      </c>
      <c r="AJ94" s="15">
        <f>MAX(0,AI93*(1-INDEX($B$11:$B$63,24))*(1-E93))</f>
        <v/>
      </c>
      <c r="AK94" s="15">
        <f>MAX(0,AJ93*(1-INDEX($B$11:$B$63,25))*(1-E93))</f>
        <v/>
      </c>
      <c r="AL94" s="15">
        <f>MAX(0,AK93*(1-INDEX($B$11:$B$63,26))*(1-E93))</f>
        <v/>
      </c>
      <c r="AM94" s="15">
        <f>MAX(0,AL93*(1-INDEX($B$11:$B$63,27))*(1-E93))</f>
        <v/>
      </c>
      <c r="AN94" s="15">
        <f>MAX(0,AM93*(1-INDEX($B$11:$B$63,28))*(1-E93))</f>
        <v/>
      </c>
      <c r="AO94" s="15">
        <f>MAX(0,AN93*(1-INDEX($B$11:$B$63,29))*(1-E93))</f>
        <v/>
      </c>
      <c r="AP94" s="15">
        <f>MAX(0,AO93*(1-INDEX($B$11:$B$63,30))*(1-E93))</f>
        <v/>
      </c>
      <c r="AQ94" s="15">
        <f>MAX(0,AP93*(1-INDEX($B$11:$B$63,31))*(1-E93))</f>
        <v/>
      </c>
      <c r="AR94" s="15">
        <f>MAX(0,AQ93*(1-INDEX($B$11:$B$63,32))*(1-E93))</f>
        <v/>
      </c>
      <c r="AS94" s="15">
        <f>MAX(0,AR93*(1-INDEX($B$11:$B$63,33))*(1-E93))</f>
        <v/>
      </c>
      <c r="AT94" s="15">
        <f>MAX(0,AS93*(1-INDEX($B$11:$B$63,34))*(1-E93))</f>
        <v/>
      </c>
      <c r="AU94" s="15">
        <f>MAX(0,AT93*(1-INDEX($B$11:$B$63,35))*(1-E93))</f>
        <v/>
      </c>
      <c r="AV94" s="15">
        <f>MAX(0,AU93*(1-INDEX($B$11:$B$63,36))*(1-E93))</f>
        <v/>
      </c>
      <c r="AW94" s="15">
        <f>MAX(0,AV93*(1-INDEX($B$11:$B$63,37))*(1-E93))</f>
        <v/>
      </c>
      <c r="AX94" s="15">
        <f>MAX(0,AW93*(1-INDEX($B$11:$B$63,38))*(1-E93))</f>
        <v/>
      </c>
      <c r="AY94" s="15">
        <f>MAX(0,AX93*(1-INDEX($B$11:$B$63,39))*(1-E93))</f>
        <v/>
      </c>
      <c r="AZ94" s="15">
        <f>MAX(0,AY93*(1-INDEX($B$11:$B$63,40))*(1-E93))</f>
        <v/>
      </c>
      <c r="BA94" s="15">
        <f>MAX(0,AZ93*(1-INDEX($B$11:$B$63,41))*(1-E93))</f>
        <v/>
      </c>
      <c r="BB94" s="15">
        <f>MAX(0,BA93*(1-INDEX($B$11:$B$63,42))*(1-E93))</f>
        <v/>
      </c>
      <c r="BC94" s="15">
        <f>MAX(0,BB93*(1-INDEX($B$11:$B$63,43))*(1-E93))</f>
        <v/>
      </c>
      <c r="BD94" s="15">
        <f>MAX(0,BC93*(1-INDEX($B$11:$B$63,44))*(1-E93))</f>
        <v/>
      </c>
      <c r="BE94" s="15">
        <f>MAX(0,BD93*(1-INDEX($B$11:$B$63,45))*(1-E93))</f>
        <v/>
      </c>
      <c r="BF94" s="15">
        <f>MAX(0,BE93*(1-INDEX($B$11:$B$63,46))*(1-E93))</f>
        <v/>
      </c>
      <c r="BG94" s="15">
        <f>MAX(0,BF93*(1-INDEX($B$11:$B$63,47))*(1-E93))</f>
        <v/>
      </c>
      <c r="BH94" s="15">
        <f>MAX(0,BG93*(1-INDEX($B$11:$B$63,48))*(1-E93))</f>
        <v/>
      </c>
      <c r="BI94" s="15">
        <f>MAX(0,BH93*(1-INDEX($B$11:$B$63,49))*(1-E93))</f>
        <v/>
      </c>
      <c r="BJ94" s="15">
        <f>MAX(0,BI93*(1-INDEX($B$11:$B$63,50))*(1-E93))</f>
        <v/>
      </c>
      <c r="BK94" s="15">
        <f>MAX(0,BJ93*(1-INDEX($B$11:$B$63,51))*(1-E93))</f>
        <v/>
      </c>
      <c r="BL94" s="15">
        <f>MAX(0,(BL93+BK93)*(1-INDEX($B$11:$B$63,53))*(1-E93))</f>
        <v/>
      </c>
    </row>
    <row r="95">
      <c r="A95" s="55" t="n">
        <v>29</v>
      </c>
      <c r="B95" s="15">
        <f>IF(A95&gt;Inputs!$C$62,"",SUM(M95:BK95))</f>
        <v/>
      </c>
      <c r="C95" s="15">
        <f>IF(A95&gt;Inputs!$C$62,"",INDEX(Trajectory!$C$23:$C$2000,A95))</f>
        <v/>
      </c>
      <c r="D95" s="15">
        <f>IF(A95&gt;Inputs!$C$62,"",SUM(L95:BK95))</f>
        <v/>
      </c>
      <c r="E95" s="12">
        <f>IF(A95&gt;Inputs!$C$62,"",INDEX(Trajectory!$AG$23:$AG$2000,A95))</f>
        <v/>
      </c>
      <c r="F95" s="12">
        <f>IF(D95=0,0,SUMPRODUCT(L95:BK95,$B$11:$B$63)/D95)</f>
        <v/>
      </c>
      <c r="G95" s="12">
        <f>IF(D95=0,0,MIN(0.95,1-(1-F95)*(1-E95)))</f>
        <v/>
      </c>
      <c r="H95" s="15">
        <f>IF(D95=0,0,D95*G95)</f>
        <v/>
      </c>
      <c r="I95" s="15">
        <f>IF(D95=0,0,D95-H95)</f>
        <v/>
      </c>
      <c r="L95" s="15">
        <f>C95</f>
        <v/>
      </c>
      <c r="M95" s="15">
        <f>MAX(0,L94*(1-INDEX($B$11:$B$63,1))*(1-E94))</f>
        <v/>
      </c>
      <c r="N95" s="15">
        <f>MAX(0,M94*(1-INDEX($B$11:$B$63,2))*(1-E94))</f>
        <v/>
      </c>
      <c r="O95" s="15">
        <f>MAX(0,N94*(1-INDEX($B$11:$B$63,3))*(1-E94))</f>
        <v/>
      </c>
      <c r="P95" s="15">
        <f>MAX(0,O94*(1-INDEX($B$11:$B$63,4))*(1-E94))</f>
        <v/>
      </c>
      <c r="Q95" s="15">
        <f>MAX(0,P94*(1-INDEX($B$11:$B$63,5))*(1-E94))</f>
        <v/>
      </c>
      <c r="R95" s="15">
        <f>MAX(0,Q94*(1-INDEX($B$11:$B$63,6))*(1-E94))</f>
        <v/>
      </c>
      <c r="S95" s="15">
        <f>MAX(0,R94*(1-INDEX($B$11:$B$63,7))*(1-E94))</f>
        <v/>
      </c>
      <c r="T95" s="15">
        <f>MAX(0,S94*(1-INDEX($B$11:$B$63,8))*(1-E94))</f>
        <v/>
      </c>
      <c r="U95" s="15">
        <f>MAX(0,T94*(1-INDEX($B$11:$B$63,9))*(1-E94))</f>
        <v/>
      </c>
      <c r="V95" s="15">
        <f>MAX(0,U94*(1-INDEX($B$11:$B$63,10))*(1-E94))</f>
        <v/>
      </c>
      <c r="W95" s="15">
        <f>MAX(0,V94*(1-INDEX($B$11:$B$63,11))*(1-E94))</f>
        <v/>
      </c>
      <c r="X95" s="15">
        <f>MAX(0,W94*(1-INDEX($B$11:$B$63,12))*(1-E94))</f>
        <v/>
      </c>
      <c r="Y95" s="15">
        <f>MAX(0,X94*(1-INDEX($B$11:$B$63,13))*(1-E94))</f>
        <v/>
      </c>
      <c r="Z95" s="15">
        <f>MAX(0,Y94*(1-INDEX($B$11:$B$63,14))*(1-E94))</f>
        <v/>
      </c>
      <c r="AA95" s="15">
        <f>MAX(0,Z94*(1-INDEX($B$11:$B$63,15))*(1-E94))</f>
        <v/>
      </c>
      <c r="AB95" s="15">
        <f>MAX(0,AA94*(1-INDEX($B$11:$B$63,16))*(1-E94))</f>
        <v/>
      </c>
      <c r="AC95" s="15">
        <f>MAX(0,AB94*(1-INDEX($B$11:$B$63,17))*(1-E94))</f>
        <v/>
      </c>
      <c r="AD95" s="15">
        <f>MAX(0,AC94*(1-INDEX($B$11:$B$63,18))*(1-E94))</f>
        <v/>
      </c>
      <c r="AE95" s="15">
        <f>MAX(0,AD94*(1-INDEX($B$11:$B$63,19))*(1-E94))</f>
        <v/>
      </c>
      <c r="AF95" s="15">
        <f>MAX(0,AE94*(1-INDEX($B$11:$B$63,20))*(1-E94))</f>
        <v/>
      </c>
      <c r="AG95" s="15">
        <f>MAX(0,AF94*(1-INDEX($B$11:$B$63,21))*(1-E94))</f>
        <v/>
      </c>
      <c r="AH95" s="15">
        <f>MAX(0,AG94*(1-INDEX($B$11:$B$63,22))*(1-E94))</f>
        <v/>
      </c>
      <c r="AI95" s="15">
        <f>MAX(0,AH94*(1-INDEX($B$11:$B$63,23))*(1-E94))</f>
        <v/>
      </c>
      <c r="AJ95" s="15">
        <f>MAX(0,AI94*(1-INDEX($B$11:$B$63,24))*(1-E94))</f>
        <v/>
      </c>
      <c r="AK95" s="15">
        <f>MAX(0,AJ94*(1-INDEX($B$11:$B$63,25))*(1-E94))</f>
        <v/>
      </c>
      <c r="AL95" s="15">
        <f>MAX(0,AK94*(1-INDEX($B$11:$B$63,26))*(1-E94))</f>
        <v/>
      </c>
      <c r="AM95" s="15">
        <f>MAX(0,AL94*(1-INDEX($B$11:$B$63,27))*(1-E94))</f>
        <v/>
      </c>
      <c r="AN95" s="15">
        <f>MAX(0,AM94*(1-INDEX($B$11:$B$63,28))*(1-E94))</f>
        <v/>
      </c>
      <c r="AO95" s="15">
        <f>MAX(0,AN94*(1-INDEX($B$11:$B$63,29))*(1-E94))</f>
        <v/>
      </c>
      <c r="AP95" s="15">
        <f>MAX(0,AO94*(1-INDEX($B$11:$B$63,30))*(1-E94))</f>
        <v/>
      </c>
      <c r="AQ95" s="15">
        <f>MAX(0,AP94*(1-INDEX($B$11:$B$63,31))*(1-E94))</f>
        <v/>
      </c>
      <c r="AR95" s="15">
        <f>MAX(0,AQ94*(1-INDEX($B$11:$B$63,32))*(1-E94))</f>
        <v/>
      </c>
      <c r="AS95" s="15">
        <f>MAX(0,AR94*(1-INDEX($B$11:$B$63,33))*(1-E94))</f>
        <v/>
      </c>
      <c r="AT95" s="15">
        <f>MAX(0,AS94*(1-INDEX($B$11:$B$63,34))*(1-E94))</f>
        <v/>
      </c>
      <c r="AU95" s="15">
        <f>MAX(0,AT94*(1-INDEX($B$11:$B$63,35))*(1-E94))</f>
        <v/>
      </c>
      <c r="AV95" s="15">
        <f>MAX(0,AU94*(1-INDEX($B$11:$B$63,36))*(1-E94))</f>
        <v/>
      </c>
      <c r="AW95" s="15">
        <f>MAX(0,AV94*(1-INDEX($B$11:$B$63,37))*(1-E94))</f>
        <v/>
      </c>
      <c r="AX95" s="15">
        <f>MAX(0,AW94*(1-INDEX($B$11:$B$63,38))*(1-E94))</f>
        <v/>
      </c>
      <c r="AY95" s="15">
        <f>MAX(0,AX94*(1-INDEX($B$11:$B$63,39))*(1-E94))</f>
        <v/>
      </c>
      <c r="AZ95" s="15">
        <f>MAX(0,AY94*(1-INDEX($B$11:$B$63,40))*(1-E94))</f>
        <v/>
      </c>
      <c r="BA95" s="15">
        <f>MAX(0,AZ94*(1-INDEX($B$11:$B$63,41))*(1-E94))</f>
        <v/>
      </c>
      <c r="BB95" s="15">
        <f>MAX(0,BA94*(1-INDEX($B$11:$B$63,42))*(1-E94))</f>
        <v/>
      </c>
      <c r="BC95" s="15">
        <f>MAX(0,BB94*(1-INDEX($B$11:$B$63,43))*(1-E94))</f>
        <v/>
      </c>
      <c r="BD95" s="15">
        <f>MAX(0,BC94*(1-INDEX($B$11:$B$63,44))*(1-E94))</f>
        <v/>
      </c>
      <c r="BE95" s="15">
        <f>MAX(0,BD94*(1-INDEX($B$11:$B$63,45))*(1-E94))</f>
        <v/>
      </c>
      <c r="BF95" s="15">
        <f>MAX(0,BE94*(1-INDEX($B$11:$B$63,46))*(1-E94))</f>
        <v/>
      </c>
      <c r="BG95" s="15">
        <f>MAX(0,BF94*(1-INDEX($B$11:$B$63,47))*(1-E94))</f>
        <v/>
      </c>
      <c r="BH95" s="15">
        <f>MAX(0,BG94*(1-INDEX($B$11:$B$63,48))*(1-E94))</f>
        <v/>
      </c>
      <c r="BI95" s="15">
        <f>MAX(0,BH94*(1-INDEX($B$11:$B$63,49))*(1-E94))</f>
        <v/>
      </c>
      <c r="BJ95" s="15">
        <f>MAX(0,BI94*(1-INDEX($B$11:$B$63,50))*(1-E94))</f>
        <v/>
      </c>
      <c r="BK95" s="15">
        <f>MAX(0,BJ94*(1-INDEX($B$11:$B$63,51))*(1-E94))</f>
        <v/>
      </c>
      <c r="BL95" s="15">
        <f>MAX(0,(BL94+BK94)*(1-INDEX($B$11:$B$63,53))*(1-E94))</f>
        <v/>
      </c>
    </row>
    <row r="96">
      <c r="A96" s="55" t="n">
        <v>30</v>
      </c>
      <c r="B96" s="15">
        <f>IF(A96&gt;Inputs!$C$62,"",SUM(M96:BK96))</f>
        <v/>
      </c>
      <c r="C96" s="15">
        <f>IF(A96&gt;Inputs!$C$62,"",INDEX(Trajectory!$C$23:$C$2000,A96))</f>
        <v/>
      </c>
      <c r="D96" s="15">
        <f>IF(A96&gt;Inputs!$C$62,"",SUM(L96:BK96))</f>
        <v/>
      </c>
      <c r="E96" s="12">
        <f>IF(A96&gt;Inputs!$C$62,"",INDEX(Trajectory!$AG$23:$AG$2000,A96))</f>
        <v/>
      </c>
      <c r="F96" s="12">
        <f>IF(D96=0,0,SUMPRODUCT(L96:BK96,$B$11:$B$63)/D96)</f>
        <v/>
      </c>
      <c r="G96" s="12">
        <f>IF(D96=0,0,MIN(0.95,1-(1-F96)*(1-E96)))</f>
        <v/>
      </c>
      <c r="H96" s="15">
        <f>IF(D96=0,0,D96*G96)</f>
        <v/>
      </c>
      <c r="I96" s="15">
        <f>IF(D96=0,0,D96-H96)</f>
        <v/>
      </c>
      <c r="L96" s="15">
        <f>C96</f>
        <v/>
      </c>
      <c r="M96" s="15">
        <f>MAX(0,L95*(1-INDEX($B$11:$B$63,1))*(1-E95))</f>
        <v/>
      </c>
      <c r="N96" s="15">
        <f>MAX(0,M95*(1-INDEX($B$11:$B$63,2))*(1-E95))</f>
        <v/>
      </c>
      <c r="O96" s="15">
        <f>MAX(0,N95*(1-INDEX($B$11:$B$63,3))*(1-E95))</f>
        <v/>
      </c>
      <c r="P96" s="15">
        <f>MAX(0,O95*(1-INDEX($B$11:$B$63,4))*(1-E95))</f>
        <v/>
      </c>
      <c r="Q96" s="15">
        <f>MAX(0,P95*(1-INDEX($B$11:$B$63,5))*(1-E95))</f>
        <v/>
      </c>
      <c r="R96" s="15">
        <f>MAX(0,Q95*(1-INDEX($B$11:$B$63,6))*(1-E95))</f>
        <v/>
      </c>
      <c r="S96" s="15">
        <f>MAX(0,R95*(1-INDEX($B$11:$B$63,7))*(1-E95))</f>
        <v/>
      </c>
      <c r="T96" s="15">
        <f>MAX(0,S95*(1-INDEX($B$11:$B$63,8))*(1-E95))</f>
        <v/>
      </c>
      <c r="U96" s="15">
        <f>MAX(0,T95*(1-INDEX($B$11:$B$63,9))*(1-E95))</f>
        <v/>
      </c>
      <c r="V96" s="15">
        <f>MAX(0,U95*(1-INDEX($B$11:$B$63,10))*(1-E95))</f>
        <v/>
      </c>
      <c r="W96" s="15">
        <f>MAX(0,V95*(1-INDEX($B$11:$B$63,11))*(1-E95))</f>
        <v/>
      </c>
      <c r="X96" s="15">
        <f>MAX(0,W95*(1-INDEX($B$11:$B$63,12))*(1-E95))</f>
        <v/>
      </c>
      <c r="Y96" s="15">
        <f>MAX(0,X95*(1-INDEX($B$11:$B$63,13))*(1-E95))</f>
        <v/>
      </c>
      <c r="Z96" s="15">
        <f>MAX(0,Y95*(1-INDEX($B$11:$B$63,14))*(1-E95))</f>
        <v/>
      </c>
      <c r="AA96" s="15">
        <f>MAX(0,Z95*(1-INDEX($B$11:$B$63,15))*(1-E95))</f>
        <v/>
      </c>
      <c r="AB96" s="15">
        <f>MAX(0,AA95*(1-INDEX($B$11:$B$63,16))*(1-E95))</f>
        <v/>
      </c>
      <c r="AC96" s="15">
        <f>MAX(0,AB95*(1-INDEX($B$11:$B$63,17))*(1-E95))</f>
        <v/>
      </c>
      <c r="AD96" s="15">
        <f>MAX(0,AC95*(1-INDEX($B$11:$B$63,18))*(1-E95))</f>
        <v/>
      </c>
      <c r="AE96" s="15">
        <f>MAX(0,AD95*(1-INDEX($B$11:$B$63,19))*(1-E95))</f>
        <v/>
      </c>
      <c r="AF96" s="15">
        <f>MAX(0,AE95*(1-INDEX($B$11:$B$63,20))*(1-E95))</f>
        <v/>
      </c>
      <c r="AG96" s="15">
        <f>MAX(0,AF95*(1-INDEX($B$11:$B$63,21))*(1-E95))</f>
        <v/>
      </c>
      <c r="AH96" s="15">
        <f>MAX(0,AG95*(1-INDEX($B$11:$B$63,22))*(1-E95))</f>
        <v/>
      </c>
      <c r="AI96" s="15">
        <f>MAX(0,AH95*(1-INDEX($B$11:$B$63,23))*(1-E95))</f>
        <v/>
      </c>
      <c r="AJ96" s="15">
        <f>MAX(0,AI95*(1-INDEX($B$11:$B$63,24))*(1-E95))</f>
        <v/>
      </c>
      <c r="AK96" s="15">
        <f>MAX(0,AJ95*(1-INDEX($B$11:$B$63,25))*(1-E95))</f>
        <v/>
      </c>
      <c r="AL96" s="15">
        <f>MAX(0,AK95*(1-INDEX($B$11:$B$63,26))*(1-E95))</f>
        <v/>
      </c>
      <c r="AM96" s="15">
        <f>MAX(0,AL95*(1-INDEX($B$11:$B$63,27))*(1-E95))</f>
        <v/>
      </c>
      <c r="AN96" s="15">
        <f>MAX(0,AM95*(1-INDEX($B$11:$B$63,28))*(1-E95))</f>
        <v/>
      </c>
      <c r="AO96" s="15">
        <f>MAX(0,AN95*(1-INDEX($B$11:$B$63,29))*(1-E95))</f>
        <v/>
      </c>
      <c r="AP96" s="15">
        <f>MAX(0,AO95*(1-INDEX($B$11:$B$63,30))*(1-E95))</f>
        <v/>
      </c>
      <c r="AQ96" s="15">
        <f>MAX(0,AP95*(1-INDEX($B$11:$B$63,31))*(1-E95))</f>
        <v/>
      </c>
      <c r="AR96" s="15">
        <f>MAX(0,AQ95*(1-INDEX($B$11:$B$63,32))*(1-E95))</f>
        <v/>
      </c>
      <c r="AS96" s="15">
        <f>MAX(0,AR95*(1-INDEX($B$11:$B$63,33))*(1-E95))</f>
        <v/>
      </c>
      <c r="AT96" s="15">
        <f>MAX(0,AS95*(1-INDEX($B$11:$B$63,34))*(1-E95))</f>
        <v/>
      </c>
      <c r="AU96" s="15">
        <f>MAX(0,AT95*(1-INDEX($B$11:$B$63,35))*(1-E95))</f>
        <v/>
      </c>
      <c r="AV96" s="15">
        <f>MAX(0,AU95*(1-INDEX($B$11:$B$63,36))*(1-E95))</f>
        <v/>
      </c>
      <c r="AW96" s="15">
        <f>MAX(0,AV95*(1-INDEX($B$11:$B$63,37))*(1-E95))</f>
        <v/>
      </c>
      <c r="AX96" s="15">
        <f>MAX(0,AW95*(1-INDEX($B$11:$B$63,38))*(1-E95))</f>
        <v/>
      </c>
      <c r="AY96" s="15">
        <f>MAX(0,AX95*(1-INDEX($B$11:$B$63,39))*(1-E95))</f>
        <v/>
      </c>
      <c r="AZ96" s="15">
        <f>MAX(0,AY95*(1-INDEX($B$11:$B$63,40))*(1-E95))</f>
        <v/>
      </c>
      <c r="BA96" s="15">
        <f>MAX(0,AZ95*(1-INDEX($B$11:$B$63,41))*(1-E95))</f>
        <v/>
      </c>
      <c r="BB96" s="15">
        <f>MAX(0,BA95*(1-INDEX($B$11:$B$63,42))*(1-E95))</f>
        <v/>
      </c>
      <c r="BC96" s="15">
        <f>MAX(0,BB95*(1-INDEX($B$11:$B$63,43))*(1-E95))</f>
        <v/>
      </c>
      <c r="BD96" s="15">
        <f>MAX(0,BC95*(1-INDEX($B$11:$B$63,44))*(1-E95))</f>
        <v/>
      </c>
      <c r="BE96" s="15">
        <f>MAX(0,BD95*(1-INDEX($B$11:$B$63,45))*(1-E95))</f>
        <v/>
      </c>
      <c r="BF96" s="15">
        <f>MAX(0,BE95*(1-INDEX($B$11:$B$63,46))*(1-E95))</f>
        <v/>
      </c>
      <c r="BG96" s="15">
        <f>MAX(0,BF95*(1-INDEX($B$11:$B$63,47))*(1-E95))</f>
        <v/>
      </c>
      <c r="BH96" s="15">
        <f>MAX(0,BG95*(1-INDEX($B$11:$B$63,48))*(1-E95))</f>
        <v/>
      </c>
      <c r="BI96" s="15">
        <f>MAX(0,BH95*(1-INDEX($B$11:$B$63,49))*(1-E95))</f>
        <v/>
      </c>
      <c r="BJ96" s="15">
        <f>MAX(0,BI95*(1-INDEX($B$11:$B$63,50))*(1-E95))</f>
        <v/>
      </c>
      <c r="BK96" s="15">
        <f>MAX(0,BJ95*(1-INDEX($B$11:$B$63,51))*(1-E95))</f>
        <v/>
      </c>
      <c r="BL96" s="15">
        <f>MAX(0,(BL95+BK95)*(1-INDEX($B$11:$B$63,53))*(1-E95))</f>
        <v/>
      </c>
    </row>
    <row r="97">
      <c r="A97" s="55" t="n">
        <v>31</v>
      </c>
      <c r="B97" s="15">
        <f>IF(A97&gt;Inputs!$C$62,"",SUM(M97:BK97))</f>
        <v/>
      </c>
      <c r="C97" s="15">
        <f>IF(A97&gt;Inputs!$C$62,"",INDEX(Trajectory!$C$23:$C$2000,A97))</f>
        <v/>
      </c>
      <c r="D97" s="15">
        <f>IF(A97&gt;Inputs!$C$62,"",SUM(L97:BK97))</f>
        <v/>
      </c>
      <c r="E97" s="12">
        <f>IF(A97&gt;Inputs!$C$62,"",INDEX(Trajectory!$AG$23:$AG$2000,A97))</f>
        <v/>
      </c>
      <c r="F97" s="12">
        <f>IF(D97=0,0,SUMPRODUCT(L97:BK97,$B$11:$B$63)/D97)</f>
        <v/>
      </c>
      <c r="G97" s="12">
        <f>IF(D97=0,0,MIN(0.95,1-(1-F97)*(1-E97)))</f>
        <v/>
      </c>
      <c r="H97" s="15">
        <f>IF(D97=0,0,D97*G97)</f>
        <v/>
      </c>
      <c r="I97" s="15">
        <f>IF(D97=0,0,D97-H97)</f>
        <v/>
      </c>
      <c r="L97" s="15">
        <f>C97</f>
        <v/>
      </c>
      <c r="M97" s="15">
        <f>MAX(0,L96*(1-INDEX($B$11:$B$63,1))*(1-E96))</f>
        <v/>
      </c>
      <c r="N97" s="15">
        <f>MAX(0,M96*(1-INDEX($B$11:$B$63,2))*(1-E96))</f>
        <v/>
      </c>
      <c r="O97" s="15">
        <f>MAX(0,N96*(1-INDEX($B$11:$B$63,3))*(1-E96))</f>
        <v/>
      </c>
      <c r="P97" s="15">
        <f>MAX(0,O96*(1-INDEX($B$11:$B$63,4))*(1-E96))</f>
        <v/>
      </c>
      <c r="Q97" s="15">
        <f>MAX(0,P96*(1-INDEX($B$11:$B$63,5))*(1-E96))</f>
        <v/>
      </c>
      <c r="R97" s="15">
        <f>MAX(0,Q96*(1-INDEX($B$11:$B$63,6))*(1-E96))</f>
        <v/>
      </c>
      <c r="S97" s="15">
        <f>MAX(0,R96*(1-INDEX($B$11:$B$63,7))*(1-E96))</f>
        <v/>
      </c>
      <c r="T97" s="15">
        <f>MAX(0,S96*(1-INDEX($B$11:$B$63,8))*(1-E96))</f>
        <v/>
      </c>
      <c r="U97" s="15">
        <f>MAX(0,T96*(1-INDEX($B$11:$B$63,9))*(1-E96))</f>
        <v/>
      </c>
      <c r="V97" s="15">
        <f>MAX(0,U96*(1-INDEX($B$11:$B$63,10))*(1-E96))</f>
        <v/>
      </c>
      <c r="W97" s="15">
        <f>MAX(0,V96*(1-INDEX($B$11:$B$63,11))*(1-E96))</f>
        <v/>
      </c>
      <c r="X97" s="15">
        <f>MAX(0,W96*(1-INDEX($B$11:$B$63,12))*(1-E96))</f>
        <v/>
      </c>
      <c r="Y97" s="15">
        <f>MAX(0,X96*(1-INDEX($B$11:$B$63,13))*(1-E96))</f>
        <v/>
      </c>
      <c r="Z97" s="15">
        <f>MAX(0,Y96*(1-INDEX($B$11:$B$63,14))*(1-E96))</f>
        <v/>
      </c>
      <c r="AA97" s="15">
        <f>MAX(0,Z96*(1-INDEX($B$11:$B$63,15))*(1-E96))</f>
        <v/>
      </c>
      <c r="AB97" s="15">
        <f>MAX(0,AA96*(1-INDEX($B$11:$B$63,16))*(1-E96))</f>
        <v/>
      </c>
      <c r="AC97" s="15">
        <f>MAX(0,AB96*(1-INDEX($B$11:$B$63,17))*(1-E96))</f>
        <v/>
      </c>
      <c r="AD97" s="15">
        <f>MAX(0,AC96*(1-INDEX($B$11:$B$63,18))*(1-E96))</f>
        <v/>
      </c>
      <c r="AE97" s="15">
        <f>MAX(0,AD96*(1-INDEX($B$11:$B$63,19))*(1-E96))</f>
        <v/>
      </c>
      <c r="AF97" s="15">
        <f>MAX(0,AE96*(1-INDEX($B$11:$B$63,20))*(1-E96))</f>
        <v/>
      </c>
      <c r="AG97" s="15">
        <f>MAX(0,AF96*(1-INDEX($B$11:$B$63,21))*(1-E96))</f>
        <v/>
      </c>
      <c r="AH97" s="15">
        <f>MAX(0,AG96*(1-INDEX($B$11:$B$63,22))*(1-E96))</f>
        <v/>
      </c>
      <c r="AI97" s="15">
        <f>MAX(0,AH96*(1-INDEX($B$11:$B$63,23))*(1-E96))</f>
        <v/>
      </c>
      <c r="AJ97" s="15">
        <f>MAX(0,AI96*(1-INDEX($B$11:$B$63,24))*(1-E96))</f>
        <v/>
      </c>
      <c r="AK97" s="15">
        <f>MAX(0,AJ96*(1-INDEX($B$11:$B$63,25))*(1-E96))</f>
        <v/>
      </c>
      <c r="AL97" s="15">
        <f>MAX(0,AK96*(1-INDEX($B$11:$B$63,26))*(1-E96))</f>
        <v/>
      </c>
      <c r="AM97" s="15">
        <f>MAX(0,AL96*(1-INDEX($B$11:$B$63,27))*(1-E96))</f>
        <v/>
      </c>
      <c r="AN97" s="15">
        <f>MAX(0,AM96*(1-INDEX($B$11:$B$63,28))*(1-E96))</f>
        <v/>
      </c>
      <c r="AO97" s="15">
        <f>MAX(0,AN96*(1-INDEX($B$11:$B$63,29))*(1-E96))</f>
        <v/>
      </c>
      <c r="AP97" s="15">
        <f>MAX(0,AO96*(1-INDEX($B$11:$B$63,30))*(1-E96))</f>
        <v/>
      </c>
      <c r="AQ97" s="15">
        <f>MAX(0,AP96*(1-INDEX($B$11:$B$63,31))*(1-E96))</f>
        <v/>
      </c>
      <c r="AR97" s="15">
        <f>MAX(0,AQ96*(1-INDEX($B$11:$B$63,32))*(1-E96))</f>
        <v/>
      </c>
      <c r="AS97" s="15">
        <f>MAX(0,AR96*(1-INDEX($B$11:$B$63,33))*(1-E96))</f>
        <v/>
      </c>
      <c r="AT97" s="15">
        <f>MAX(0,AS96*(1-INDEX($B$11:$B$63,34))*(1-E96))</f>
        <v/>
      </c>
      <c r="AU97" s="15">
        <f>MAX(0,AT96*(1-INDEX($B$11:$B$63,35))*(1-E96))</f>
        <v/>
      </c>
      <c r="AV97" s="15">
        <f>MAX(0,AU96*(1-INDEX($B$11:$B$63,36))*(1-E96))</f>
        <v/>
      </c>
      <c r="AW97" s="15">
        <f>MAX(0,AV96*(1-INDEX($B$11:$B$63,37))*(1-E96))</f>
        <v/>
      </c>
      <c r="AX97" s="15">
        <f>MAX(0,AW96*(1-INDEX($B$11:$B$63,38))*(1-E96))</f>
        <v/>
      </c>
      <c r="AY97" s="15">
        <f>MAX(0,AX96*(1-INDEX($B$11:$B$63,39))*(1-E96))</f>
        <v/>
      </c>
      <c r="AZ97" s="15">
        <f>MAX(0,AY96*(1-INDEX($B$11:$B$63,40))*(1-E96))</f>
        <v/>
      </c>
      <c r="BA97" s="15">
        <f>MAX(0,AZ96*(1-INDEX($B$11:$B$63,41))*(1-E96))</f>
        <v/>
      </c>
      <c r="BB97" s="15">
        <f>MAX(0,BA96*(1-INDEX($B$11:$B$63,42))*(1-E96))</f>
        <v/>
      </c>
      <c r="BC97" s="15">
        <f>MAX(0,BB96*(1-INDEX($B$11:$B$63,43))*(1-E96))</f>
        <v/>
      </c>
      <c r="BD97" s="15">
        <f>MAX(0,BC96*(1-INDEX($B$11:$B$63,44))*(1-E96))</f>
        <v/>
      </c>
      <c r="BE97" s="15">
        <f>MAX(0,BD96*(1-INDEX($B$11:$B$63,45))*(1-E96))</f>
        <v/>
      </c>
      <c r="BF97" s="15">
        <f>MAX(0,BE96*(1-INDEX($B$11:$B$63,46))*(1-E96))</f>
        <v/>
      </c>
      <c r="BG97" s="15">
        <f>MAX(0,BF96*(1-INDEX($B$11:$B$63,47))*(1-E96))</f>
        <v/>
      </c>
      <c r="BH97" s="15">
        <f>MAX(0,BG96*(1-INDEX($B$11:$B$63,48))*(1-E96))</f>
        <v/>
      </c>
      <c r="BI97" s="15">
        <f>MAX(0,BH96*(1-INDEX($B$11:$B$63,49))*(1-E96))</f>
        <v/>
      </c>
      <c r="BJ97" s="15">
        <f>MAX(0,BI96*(1-INDEX($B$11:$B$63,50))*(1-E96))</f>
        <v/>
      </c>
      <c r="BK97" s="15">
        <f>MAX(0,BJ96*(1-INDEX($B$11:$B$63,51))*(1-E96))</f>
        <v/>
      </c>
      <c r="BL97" s="15">
        <f>MAX(0,(BL96+BK96)*(1-INDEX($B$11:$B$63,53))*(1-E96))</f>
        <v/>
      </c>
    </row>
    <row r="98">
      <c r="A98" s="55" t="n">
        <v>32</v>
      </c>
      <c r="B98" s="15">
        <f>IF(A98&gt;Inputs!$C$62,"",SUM(M98:BK98))</f>
        <v/>
      </c>
      <c r="C98" s="15">
        <f>IF(A98&gt;Inputs!$C$62,"",INDEX(Trajectory!$C$23:$C$2000,A98))</f>
        <v/>
      </c>
      <c r="D98" s="15">
        <f>IF(A98&gt;Inputs!$C$62,"",SUM(L98:BK98))</f>
        <v/>
      </c>
      <c r="E98" s="12">
        <f>IF(A98&gt;Inputs!$C$62,"",INDEX(Trajectory!$AG$23:$AG$2000,A98))</f>
        <v/>
      </c>
      <c r="F98" s="12">
        <f>IF(D98=0,0,SUMPRODUCT(L98:BK98,$B$11:$B$63)/D98)</f>
        <v/>
      </c>
      <c r="G98" s="12">
        <f>IF(D98=0,0,MIN(0.95,1-(1-F98)*(1-E98)))</f>
        <v/>
      </c>
      <c r="H98" s="15">
        <f>IF(D98=0,0,D98*G98)</f>
        <v/>
      </c>
      <c r="I98" s="15">
        <f>IF(D98=0,0,D98-H98)</f>
        <v/>
      </c>
      <c r="L98" s="15">
        <f>C98</f>
        <v/>
      </c>
      <c r="M98" s="15">
        <f>MAX(0,L97*(1-INDEX($B$11:$B$63,1))*(1-E97))</f>
        <v/>
      </c>
      <c r="N98" s="15">
        <f>MAX(0,M97*(1-INDEX($B$11:$B$63,2))*(1-E97))</f>
        <v/>
      </c>
      <c r="O98" s="15">
        <f>MAX(0,N97*(1-INDEX($B$11:$B$63,3))*(1-E97))</f>
        <v/>
      </c>
      <c r="P98" s="15">
        <f>MAX(0,O97*(1-INDEX($B$11:$B$63,4))*(1-E97))</f>
        <v/>
      </c>
      <c r="Q98" s="15">
        <f>MAX(0,P97*(1-INDEX($B$11:$B$63,5))*(1-E97))</f>
        <v/>
      </c>
      <c r="R98" s="15">
        <f>MAX(0,Q97*(1-INDEX($B$11:$B$63,6))*(1-E97))</f>
        <v/>
      </c>
      <c r="S98" s="15">
        <f>MAX(0,R97*(1-INDEX($B$11:$B$63,7))*(1-E97))</f>
        <v/>
      </c>
      <c r="T98" s="15">
        <f>MAX(0,S97*(1-INDEX($B$11:$B$63,8))*(1-E97))</f>
        <v/>
      </c>
      <c r="U98" s="15">
        <f>MAX(0,T97*(1-INDEX($B$11:$B$63,9))*(1-E97))</f>
        <v/>
      </c>
      <c r="V98" s="15">
        <f>MAX(0,U97*(1-INDEX($B$11:$B$63,10))*(1-E97))</f>
        <v/>
      </c>
      <c r="W98" s="15">
        <f>MAX(0,V97*(1-INDEX($B$11:$B$63,11))*(1-E97))</f>
        <v/>
      </c>
      <c r="X98" s="15">
        <f>MAX(0,W97*(1-INDEX($B$11:$B$63,12))*(1-E97))</f>
        <v/>
      </c>
      <c r="Y98" s="15">
        <f>MAX(0,X97*(1-INDEX($B$11:$B$63,13))*(1-E97))</f>
        <v/>
      </c>
      <c r="Z98" s="15">
        <f>MAX(0,Y97*(1-INDEX($B$11:$B$63,14))*(1-E97))</f>
        <v/>
      </c>
      <c r="AA98" s="15">
        <f>MAX(0,Z97*(1-INDEX($B$11:$B$63,15))*(1-E97))</f>
        <v/>
      </c>
      <c r="AB98" s="15">
        <f>MAX(0,AA97*(1-INDEX($B$11:$B$63,16))*(1-E97))</f>
        <v/>
      </c>
      <c r="AC98" s="15">
        <f>MAX(0,AB97*(1-INDEX($B$11:$B$63,17))*(1-E97))</f>
        <v/>
      </c>
      <c r="AD98" s="15">
        <f>MAX(0,AC97*(1-INDEX($B$11:$B$63,18))*(1-E97))</f>
        <v/>
      </c>
      <c r="AE98" s="15">
        <f>MAX(0,AD97*(1-INDEX($B$11:$B$63,19))*(1-E97))</f>
        <v/>
      </c>
      <c r="AF98" s="15">
        <f>MAX(0,AE97*(1-INDEX($B$11:$B$63,20))*(1-E97))</f>
        <v/>
      </c>
      <c r="AG98" s="15">
        <f>MAX(0,AF97*(1-INDEX($B$11:$B$63,21))*(1-E97))</f>
        <v/>
      </c>
      <c r="AH98" s="15">
        <f>MAX(0,AG97*(1-INDEX($B$11:$B$63,22))*(1-E97))</f>
        <v/>
      </c>
      <c r="AI98" s="15">
        <f>MAX(0,AH97*(1-INDEX($B$11:$B$63,23))*(1-E97))</f>
        <v/>
      </c>
      <c r="AJ98" s="15">
        <f>MAX(0,AI97*(1-INDEX($B$11:$B$63,24))*(1-E97))</f>
        <v/>
      </c>
      <c r="AK98" s="15">
        <f>MAX(0,AJ97*(1-INDEX($B$11:$B$63,25))*(1-E97))</f>
        <v/>
      </c>
      <c r="AL98" s="15">
        <f>MAX(0,AK97*(1-INDEX($B$11:$B$63,26))*(1-E97))</f>
        <v/>
      </c>
      <c r="AM98" s="15">
        <f>MAX(0,AL97*(1-INDEX($B$11:$B$63,27))*(1-E97))</f>
        <v/>
      </c>
      <c r="AN98" s="15">
        <f>MAX(0,AM97*(1-INDEX($B$11:$B$63,28))*(1-E97))</f>
        <v/>
      </c>
      <c r="AO98" s="15">
        <f>MAX(0,AN97*(1-INDEX($B$11:$B$63,29))*(1-E97))</f>
        <v/>
      </c>
      <c r="AP98" s="15">
        <f>MAX(0,AO97*(1-INDEX($B$11:$B$63,30))*(1-E97))</f>
        <v/>
      </c>
      <c r="AQ98" s="15">
        <f>MAX(0,AP97*(1-INDEX($B$11:$B$63,31))*(1-E97))</f>
        <v/>
      </c>
      <c r="AR98" s="15">
        <f>MAX(0,AQ97*(1-INDEX($B$11:$B$63,32))*(1-E97))</f>
        <v/>
      </c>
      <c r="AS98" s="15">
        <f>MAX(0,AR97*(1-INDEX($B$11:$B$63,33))*(1-E97))</f>
        <v/>
      </c>
      <c r="AT98" s="15">
        <f>MAX(0,AS97*(1-INDEX($B$11:$B$63,34))*(1-E97))</f>
        <v/>
      </c>
      <c r="AU98" s="15">
        <f>MAX(0,AT97*(1-INDEX($B$11:$B$63,35))*(1-E97))</f>
        <v/>
      </c>
      <c r="AV98" s="15">
        <f>MAX(0,AU97*(1-INDEX($B$11:$B$63,36))*(1-E97))</f>
        <v/>
      </c>
      <c r="AW98" s="15">
        <f>MAX(0,AV97*(1-INDEX($B$11:$B$63,37))*(1-E97))</f>
        <v/>
      </c>
      <c r="AX98" s="15">
        <f>MAX(0,AW97*(1-INDEX($B$11:$B$63,38))*(1-E97))</f>
        <v/>
      </c>
      <c r="AY98" s="15">
        <f>MAX(0,AX97*(1-INDEX($B$11:$B$63,39))*(1-E97))</f>
        <v/>
      </c>
      <c r="AZ98" s="15">
        <f>MAX(0,AY97*(1-INDEX($B$11:$B$63,40))*(1-E97))</f>
        <v/>
      </c>
      <c r="BA98" s="15">
        <f>MAX(0,AZ97*(1-INDEX($B$11:$B$63,41))*(1-E97))</f>
        <v/>
      </c>
      <c r="BB98" s="15">
        <f>MAX(0,BA97*(1-INDEX($B$11:$B$63,42))*(1-E97))</f>
        <v/>
      </c>
      <c r="BC98" s="15">
        <f>MAX(0,BB97*(1-INDEX($B$11:$B$63,43))*(1-E97))</f>
        <v/>
      </c>
      <c r="BD98" s="15">
        <f>MAX(0,BC97*(1-INDEX($B$11:$B$63,44))*(1-E97))</f>
        <v/>
      </c>
      <c r="BE98" s="15">
        <f>MAX(0,BD97*(1-INDEX($B$11:$B$63,45))*(1-E97))</f>
        <v/>
      </c>
      <c r="BF98" s="15">
        <f>MAX(0,BE97*(1-INDEX($B$11:$B$63,46))*(1-E97))</f>
        <v/>
      </c>
      <c r="BG98" s="15">
        <f>MAX(0,BF97*(1-INDEX($B$11:$B$63,47))*(1-E97))</f>
        <v/>
      </c>
      <c r="BH98" s="15">
        <f>MAX(0,BG97*(1-INDEX($B$11:$B$63,48))*(1-E97))</f>
        <v/>
      </c>
      <c r="BI98" s="15">
        <f>MAX(0,BH97*(1-INDEX($B$11:$B$63,49))*(1-E97))</f>
        <v/>
      </c>
      <c r="BJ98" s="15">
        <f>MAX(0,BI97*(1-INDEX($B$11:$B$63,50))*(1-E97))</f>
        <v/>
      </c>
      <c r="BK98" s="15">
        <f>MAX(0,BJ97*(1-INDEX($B$11:$B$63,51))*(1-E97))</f>
        <v/>
      </c>
      <c r="BL98" s="15">
        <f>MAX(0,(BL97+BK97)*(1-INDEX($B$11:$B$63,53))*(1-E97))</f>
        <v/>
      </c>
    </row>
    <row r="99">
      <c r="A99" s="55" t="n">
        <v>33</v>
      </c>
      <c r="B99" s="15">
        <f>IF(A99&gt;Inputs!$C$62,"",SUM(M99:BK99))</f>
        <v/>
      </c>
      <c r="C99" s="15">
        <f>IF(A99&gt;Inputs!$C$62,"",INDEX(Trajectory!$C$23:$C$2000,A99))</f>
        <v/>
      </c>
      <c r="D99" s="15">
        <f>IF(A99&gt;Inputs!$C$62,"",SUM(L99:BK99))</f>
        <v/>
      </c>
      <c r="E99" s="12">
        <f>IF(A99&gt;Inputs!$C$62,"",INDEX(Trajectory!$AG$23:$AG$2000,A99))</f>
        <v/>
      </c>
      <c r="F99" s="12">
        <f>IF(D99=0,0,SUMPRODUCT(L99:BK99,$B$11:$B$63)/D99)</f>
        <v/>
      </c>
      <c r="G99" s="12">
        <f>IF(D99=0,0,MIN(0.95,1-(1-F99)*(1-E99)))</f>
        <v/>
      </c>
      <c r="H99" s="15">
        <f>IF(D99=0,0,D99*G99)</f>
        <v/>
      </c>
      <c r="I99" s="15">
        <f>IF(D99=0,0,D99-H99)</f>
        <v/>
      </c>
      <c r="L99" s="15">
        <f>C99</f>
        <v/>
      </c>
      <c r="M99" s="15">
        <f>MAX(0,L98*(1-INDEX($B$11:$B$63,1))*(1-E98))</f>
        <v/>
      </c>
      <c r="N99" s="15">
        <f>MAX(0,M98*(1-INDEX($B$11:$B$63,2))*(1-E98))</f>
        <v/>
      </c>
      <c r="O99" s="15">
        <f>MAX(0,N98*(1-INDEX($B$11:$B$63,3))*(1-E98))</f>
        <v/>
      </c>
      <c r="P99" s="15">
        <f>MAX(0,O98*(1-INDEX($B$11:$B$63,4))*(1-E98))</f>
        <v/>
      </c>
      <c r="Q99" s="15">
        <f>MAX(0,P98*(1-INDEX($B$11:$B$63,5))*(1-E98))</f>
        <v/>
      </c>
      <c r="R99" s="15">
        <f>MAX(0,Q98*(1-INDEX($B$11:$B$63,6))*(1-E98))</f>
        <v/>
      </c>
      <c r="S99" s="15">
        <f>MAX(0,R98*(1-INDEX($B$11:$B$63,7))*(1-E98))</f>
        <v/>
      </c>
      <c r="T99" s="15">
        <f>MAX(0,S98*(1-INDEX($B$11:$B$63,8))*(1-E98))</f>
        <v/>
      </c>
      <c r="U99" s="15">
        <f>MAX(0,T98*(1-INDEX($B$11:$B$63,9))*(1-E98))</f>
        <v/>
      </c>
      <c r="V99" s="15">
        <f>MAX(0,U98*(1-INDEX($B$11:$B$63,10))*(1-E98))</f>
        <v/>
      </c>
      <c r="W99" s="15">
        <f>MAX(0,V98*(1-INDEX($B$11:$B$63,11))*(1-E98))</f>
        <v/>
      </c>
      <c r="X99" s="15">
        <f>MAX(0,W98*(1-INDEX($B$11:$B$63,12))*(1-E98))</f>
        <v/>
      </c>
      <c r="Y99" s="15">
        <f>MAX(0,X98*(1-INDEX($B$11:$B$63,13))*(1-E98))</f>
        <v/>
      </c>
      <c r="Z99" s="15">
        <f>MAX(0,Y98*(1-INDEX($B$11:$B$63,14))*(1-E98))</f>
        <v/>
      </c>
      <c r="AA99" s="15">
        <f>MAX(0,Z98*(1-INDEX($B$11:$B$63,15))*(1-E98))</f>
        <v/>
      </c>
      <c r="AB99" s="15">
        <f>MAX(0,AA98*(1-INDEX($B$11:$B$63,16))*(1-E98))</f>
        <v/>
      </c>
      <c r="AC99" s="15">
        <f>MAX(0,AB98*(1-INDEX($B$11:$B$63,17))*(1-E98))</f>
        <v/>
      </c>
      <c r="AD99" s="15">
        <f>MAX(0,AC98*(1-INDEX($B$11:$B$63,18))*(1-E98))</f>
        <v/>
      </c>
      <c r="AE99" s="15">
        <f>MAX(0,AD98*(1-INDEX($B$11:$B$63,19))*(1-E98))</f>
        <v/>
      </c>
      <c r="AF99" s="15">
        <f>MAX(0,AE98*(1-INDEX($B$11:$B$63,20))*(1-E98))</f>
        <v/>
      </c>
      <c r="AG99" s="15">
        <f>MAX(0,AF98*(1-INDEX($B$11:$B$63,21))*(1-E98))</f>
        <v/>
      </c>
      <c r="AH99" s="15">
        <f>MAX(0,AG98*(1-INDEX($B$11:$B$63,22))*(1-E98))</f>
        <v/>
      </c>
      <c r="AI99" s="15">
        <f>MAX(0,AH98*(1-INDEX($B$11:$B$63,23))*(1-E98))</f>
        <v/>
      </c>
      <c r="AJ99" s="15">
        <f>MAX(0,AI98*(1-INDEX($B$11:$B$63,24))*(1-E98))</f>
        <v/>
      </c>
      <c r="AK99" s="15">
        <f>MAX(0,AJ98*(1-INDEX($B$11:$B$63,25))*(1-E98))</f>
        <v/>
      </c>
      <c r="AL99" s="15">
        <f>MAX(0,AK98*(1-INDEX($B$11:$B$63,26))*(1-E98))</f>
        <v/>
      </c>
      <c r="AM99" s="15">
        <f>MAX(0,AL98*(1-INDEX($B$11:$B$63,27))*(1-E98))</f>
        <v/>
      </c>
      <c r="AN99" s="15">
        <f>MAX(0,AM98*(1-INDEX($B$11:$B$63,28))*(1-E98))</f>
        <v/>
      </c>
      <c r="AO99" s="15">
        <f>MAX(0,AN98*(1-INDEX($B$11:$B$63,29))*(1-E98))</f>
        <v/>
      </c>
      <c r="AP99" s="15">
        <f>MAX(0,AO98*(1-INDEX($B$11:$B$63,30))*(1-E98))</f>
        <v/>
      </c>
      <c r="AQ99" s="15">
        <f>MAX(0,AP98*(1-INDEX($B$11:$B$63,31))*(1-E98))</f>
        <v/>
      </c>
      <c r="AR99" s="15">
        <f>MAX(0,AQ98*(1-INDEX($B$11:$B$63,32))*(1-E98))</f>
        <v/>
      </c>
      <c r="AS99" s="15">
        <f>MAX(0,AR98*(1-INDEX($B$11:$B$63,33))*(1-E98))</f>
        <v/>
      </c>
      <c r="AT99" s="15">
        <f>MAX(0,AS98*(1-INDEX($B$11:$B$63,34))*(1-E98))</f>
        <v/>
      </c>
      <c r="AU99" s="15">
        <f>MAX(0,AT98*(1-INDEX($B$11:$B$63,35))*(1-E98))</f>
        <v/>
      </c>
      <c r="AV99" s="15">
        <f>MAX(0,AU98*(1-INDEX($B$11:$B$63,36))*(1-E98))</f>
        <v/>
      </c>
      <c r="AW99" s="15">
        <f>MAX(0,AV98*(1-INDEX($B$11:$B$63,37))*(1-E98))</f>
        <v/>
      </c>
      <c r="AX99" s="15">
        <f>MAX(0,AW98*(1-INDEX($B$11:$B$63,38))*(1-E98))</f>
        <v/>
      </c>
      <c r="AY99" s="15">
        <f>MAX(0,AX98*(1-INDEX($B$11:$B$63,39))*(1-E98))</f>
        <v/>
      </c>
      <c r="AZ99" s="15">
        <f>MAX(0,AY98*(1-INDEX($B$11:$B$63,40))*(1-E98))</f>
        <v/>
      </c>
      <c r="BA99" s="15">
        <f>MAX(0,AZ98*(1-INDEX($B$11:$B$63,41))*(1-E98))</f>
        <v/>
      </c>
      <c r="BB99" s="15">
        <f>MAX(0,BA98*(1-INDEX($B$11:$B$63,42))*(1-E98))</f>
        <v/>
      </c>
      <c r="BC99" s="15">
        <f>MAX(0,BB98*(1-INDEX($B$11:$B$63,43))*(1-E98))</f>
        <v/>
      </c>
      <c r="BD99" s="15">
        <f>MAX(0,BC98*(1-INDEX($B$11:$B$63,44))*(1-E98))</f>
        <v/>
      </c>
      <c r="BE99" s="15">
        <f>MAX(0,BD98*(1-INDEX($B$11:$B$63,45))*(1-E98))</f>
        <v/>
      </c>
      <c r="BF99" s="15">
        <f>MAX(0,BE98*(1-INDEX($B$11:$B$63,46))*(1-E98))</f>
        <v/>
      </c>
      <c r="BG99" s="15">
        <f>MAX(0,BF98*(1-INDEX($B$11:$B$63,47))*(1-E98))</f>
        <v/>
      </c>
      <c r="BH99" s="15">
        <f>MAX(0,BG98*(1-INDEX($B$11:$B$63,48))*(1-E98))</f>
        <v/>
      </c>
      <c r="BI99" s="15">
        <f>MAX(0,BH98*(1-INDEX($B$11:$B$63,49))*(1-E98))</f>
        <v/>
      </c>
      <c r="BJ99" s="15">
        <f>MAX(0,BI98*(1-INDEX($B$11:$B$63,50))*(1-E98))</f>
        <v/>
      </c>
      <c r="BK99" s="15">
        <f>MAX(0,BJ98*(1-INDEX($B$11:$B$63,51))*(1-E98))</f>
        <v/>
      </c>
      <c r="BL99" s="15">
        <f>MAX(0,(BL98+BK98)*(1-INDEX($B$11:$B$63,53))*(1-E98))</f>
        <v/>
      </c>
    </row>
    <row r="100">
      <c r="A100" s="55" t="n">
        <v>34</v>
      </c>
      <c r="B100" s="15">
        <f>IF(A100&gt;Inputs!$C$62,"",SUM(M100:BK100))</f>
        <v/>
      </c>
      <c r="C100" s="15">
        <f>IF(A100&gt;Inputs!$C$62,"",INDEX(Trajectory!$C$23:$C$2000,A100))</f>
        <v/>
      </c>
      <c r="D100" s="15">
        <f>IF(A100&gt;Inputs!$C$62,"",SUM(L100:BK100))</f>
        <v/>
      </c>
      <c r="E100" s="12">
        <f>IF(A100&gt;Inputs!$C$62,"",INDEX(Trajectory!$AG$23:$AG$2000,A100))</f>
        <v/>
      </c>
      <c r="F100" s="12">
        <f>IF(D100=0,0,SUMPRODUCT(L100:BK100,$B$11:$B$63)/D100)</f>
        <v/>
      </c>
      <c r="G100" s="12">
        <f>IF(D100=0,0,MIN(0.95,1-(1-F100)*(1-E100)))</f>
        <v/>
      </c>
      <c r="H100" s="15">
        <f>IF(D100=0,0,D100*G100)</f>
        <v/>
      </c>
      <c r="I100" s="15">
        <f>IF(D100=0,0,D100-H100)</f>
        <v/>
      </c>
      <c r="L100" s="15">
        <f>C100</f>
        <v/>
      </c>
      <c r="M100" s="15">
        <f>MAX(0,L99*(1-INDEX($B$11:$B$63,1))*(1-E99))</f>
        <v/>
      </c>
      <c r="N100" s="15">
        <f>MAX(0,M99*(1-INDEX($B$11:$B$63,2))*(1-E99))</f>
        <v/>
      </c>
      <c r="O100" s="15">
        <f>MAX(0,N99*(1-INDEX($B$11:$B$63,3))*(1-E99))</f>
        <v/>
      </c>
      <c r="P100" s="15">
        <f>MAX(0,O99*(1-INDEX($B$11:$B$63,4))*(1-E99))</f>
        <v/>
      </c>
      <c r="Q100" s="15">
        <f>MAX(0,P99*(1-INDEX($B$11:$B$63,5))*(1-E99))</f>
        <v/>
      </c>
      <c r="R100" s="15">
        <f>MAX(0,Q99*(1-INDEX($B$11:$B$63,6))*(1-E99))</f>
        <v/>
      </c>
      <c r="S100" s="15">
        <f>MAX(0,R99*(1-INDEX($B$11:$B$63,7))*(1-E99))</f>
        <v/>
      </c>
      <c r="T100" s="15">
        <f>MAX(0,S99*(1-INDEX($B$11:$B$63,8))*(1-E99))</f>
        <v/>
      </c>
      <c r="U100" s="15">
        <f>MAX(0,T99*(1-INDEX($B$11:$B$63,9))*(1-E99))</f>
        <v/>
      </c>
      <c r="V100" s="15">
        <f>MAX(0,U99*(1-INDEX($B$11:$B$63,10))*(1-E99))</f>
        <v/>
      </c>
      <c r="W100" s="15">
        <f>MAX(0,V99*(1-INDEX($B$11:$B$63,11))*(1-E99))</f>
        <v/>
      </c>
      <c r="X100" s="15">
        <f>MAX(0,W99*(1-INDEX($B$11:$B$63,12))*(1-E99))</f>
        <v/>
      </c>
      <c r="Y100" s="15">
        <f>MAX(0,X99*(1-INDEX($B$11:$B$63,13))*(1-E99))</f>
        <v/>
      </c>
      <c r="Z100" s="15">
        <f>MAX(0,Y99*(1-INDEX($B$11:$B$63,14))*(1-E99))</f>
        <v/>
      </c>
      <c r="AA100" s="15">
        <f>MAX(0,Z99*(1-INDEX($B$11:$B$63,15))*(1-E99))</f>
        <v/>
      </c>
      <c r="AB100" s="15">
        <f>MAX(0,AA99*(1-INDEX($B$11:$B$63,16))*(1-E99))</f>
        <v/>
      </c>
      <c r="AC100" s="15">
        <f>MAX(0,AB99*(1-INDEX($B$11:$B$63,17))*(1-E99))</f>
        <v/>
      </c>
      <c r="AD100" s="15">
        <f>MAX(0,AC99*(1-INDEX($B$11:$B$63,18))*(1-E99))</f>
        <v/>
      </c>
      <c r="AE100" s="15">
        <f>MAX(0,AD99*(1-INDEX($B$11:$B$63,19))*(1-E99))</f>
        <v/>
      </c>
      <c r="AF100" s="15">
        <f>MAX(0,AE99*(1-INDEX($B$11:$B$63,20))*(1-E99))</f>
        <v/>
      </c>
      <c r="AG100" s="15">
        <f>MAX(0,AF99*(1-INDEX($B$11:$B$63,21))*(1-E99))</f>
        <v/>
      </c>
      <c r="AH100" s="15">
        <f>MAX(0,AG99*(1-INDEX($B$11:$B$63,22))*(1-E99))</f>
        <v/>
      </c>
      <c r="AI100" s="15">
        <f>MAX(0,AH99*(1-INDEX($B$11:$B$63,23))*(1-E99))</f>
        <v/>
      </c>
      <c r="AJ100" s="15">
        <f>MAX(0,AI99*(1-INDEX($B$11:$B$63,24))*(1-E99))</f>
        <v/>
      </c>
      <c r="AK100" s="15">
        <f>MAX(0,AJ99*(1-INDEX($B$11:$B$63,25))*(1-E99))</f>
        <v/>
      </c>
      <c r="AL100" s="15">
        <f>MAX(0,AK99*(1-INDEX($B$11:$B$63,26))*(1-E99))</f>
        <v/>
      </c>
      <c r="AM100" s="15">
        <f>MAX(0,AL99*(1-INDEX($B$11:$B$63,27))*(1-E99))</f>
        <v/>
      </c>
      <c r="AN100" s="15">
        <f>MAX(0,AM99*(1-INDEX($B$11:$B$63,28))*(1-E99))</f>
        <v/>
      </c>
      <c r="AO100" s="15">
        <f>MAX(0,AN99*(1-INDEX($B$11:$B$63,29))*(1-E99))</f>
        <v/>
      </c>
      <c r="AP100" s="15">
        <f>MAX(0,AO99*(1-INDEX($B$11:$B$63,30))*(1-E99))</f>
        <v/>
      </c>
      <c r="AQ100" s="15">
        <f>MAX(0,AP99*(1-INDEX($B$11:$B$63,31))*(1-E99))</f>
        <v/>
      </c>
      <c r="AR100" s="15">
        <f>MAX(0,AQ99*(1-INDEX($B$11:$B$63,32))*(1-E99))</f>
        <v/>
      </c>
      <c r="AS100" s="15">
        <f>MAX(0,AR99*(1-INDEX($B$11:$B$63,33))*(1-E99))</f>
        <v/>
      </c>
      <c r="AT100" s="15">
        <f>MAX(0,AS99*(1-INDEX($B$11:$B$63,34))*(1-E99))</f>
        <v/>
      </c>
      <c r="AU100" s="15">
        <f>MAX(0,AT99*(1-INDEX($B$11:$B$63,35))*(1-E99))</f>
        <v/>
      </c>
      <c r="AV100" s="15">
        <f>MAX(0,AU99*(1-INDEX($B$11:$B$63,36))*(1-E99))</f>
        <v/>
      </c>
      <c r="AW100" s="15">
        <f>MAX(0,AV99*(1-INDEX($B$11:$B$63,37))*(1-E99))</f>
        <v/>
      </c>
      <c r="AX100" s="15">
        <f>MAX(0,AW99*(1-INDEX($B$11:$B$63,38))*(1-E99))</f>
        <v/>
      </c>
      <c r="AY100" s="15">
        <f>MAX(0,AX99*(1-INDEX($B$11:$B$63,39))*(1-E99))</f>
        <v/>
      </c>
      <c r="AZ100" s="15">
        <f>MAX(0,AY99*(1-INDEX($B$11:$B$63,40))*(1-E99))</f>
        <v/>
      </c>
      <c r="BA100" s="15">
        <f>MAX(0,AZ99*(1-INDEX($B$11:$B$63,41))*(1-E99))</f>
        <v/>
      </c>
      <c r="BB100" s="15">
        <f>MAX(0,BA99*(1-INDEX($B$11:$B$63,42))*(1-E99))</f>
        <v/>
      </c>
      <c r="BC100" s="15">
        <f>MAX(0,BB99*(1-INDEX($B$11:$B$63,43))*(1-E99))</f>
        <v/>
      </c>
      <c r="BD100" s="15">
        <f>MAX(0,BC99*(1-INDEX($B$11:$B$63,44))*(1-E99))</f>
        <v/>
      </c>
      <c r="BE100" s="15">
        <f>MAX(0,BD99*(1-INDEX($B$11:$B$63,45))*(1-E99))</f>
        <v/>
      </c>
      <c r="BF100" s="15">
        <f>MAX(0,BE99*(1-INDEX($B$11:$B$63,46))*(1-E99))</f>
        <v/>
      </c>
      <c r="BG100" s="15">
        <f>MAX(0,BF99*(1-INDEX($B$11:$B$63,47))*(1-E99))</f>
        <v/>
      </c>
      <c r="BH100" s="15">
        <f>MAX(0,BG99*(1-INDEX($B$11:$B$63,48))*(1-E99))</f>
        <v/>
      </c>
      <c r="BI100" s="15">
        <f>MAX(0,BH99*(1-INDEX($B$11:$B$63,49))*(1-E99))</f>
        <v/>
      </c>
      <c r="BJ100" s="15">
        <f>MAX(0,BI99*(1-INDEX($B$11:$B$63,50))*(1-E99))</f>
        <v/>
      </c>
      <c r="BK100" s="15">
        <f>MAX(0,BJ99*(1-INDEX($B$11:$B$63,51))*(1-E99))</f>
        <v/>
      </c>
      <c r="BL100" s="15">
        <f>MAX(0,(BL99+BK99)*(1-INDEX($B$11:$B$63,53))*(1-E99))</f>
        <v/>
      </c>
    </row>
    <row r="101">
      <c r="A101" s="55" t="n">
        <v>35</v>
      </c>
      <c r="B101" s="15">
        <f>IF(A101&gt;Inputs!$C$62,"",SUM(M101:BK101))</f>
        <v/>
      </c>
      <c r="C101" s="15">
        <f>IF(A101&gt;Inputs!$C$62,"",INDEX(Trajectory!$C$23:$C$2000,A101))</f>
        <v/>
      </c>
      <c r="D101" s="15">
        <f>IF(A101&gt;Inputs!$C$62,"",SUM(L101:BK101))</f>
        <v/>
      </c>
      <c r="E101" s="12">
        <f>IF(A101&gt;Inputs!$C$62,"",INDEX(Trajectory!$AG$23:$AG$2000,A101))</f>
        <v/>
      </c>
      <c r="F101" s="12">
        <f>IF(D101=0,0,SUMPRODUCT(L101:BK101,$B$11:$B$63)/D101)</f>
        <v/>
      </c>
      <c r="G101" s="12">
        <f>IF(D101=0,0,MIN(0.95,1-(1-F101)*(1-E101)))</f>
        <v/>
      </c>
      <c r="H101" s="15">
        <f>IF(D101=0,0,D101*G101)</f>
        <v/>
      </c>
      <c r="I101" s="15">
        <f>IF(D101=0,0,D101-H101)</f>
        <v/>
      </c>
      <c r="L101" s="15">
        <f>C101</f>
        <v/>
      </c>
      <c r="M101" s="15">
        <f>MAX(0,L100*(1-INDEX($B$11:$B$63,1))*(1-E100))</f>
        <v/>
      </c>
      <c r="N101" s="15">
        <f>MAX(0,M100*(1-INDEX($B$11:$B$63,2))*(1-E100))</f>
        <v/>
      </c>
      <c r="O101" s="15">
        <f>MAX(0,N100*(1-INDEX($B$11:$B$63,3))*(1-E100))</f>
        <v/>
      </c>
      <c r="P101" s="15">
        <f>MAX(0,O100*(1-INDEX($B$11:$B$63,4))*(1-E100))</f>
        <v/>
      </c>
      <c r="Q101" s="15">
        <f>MAX(0,P100*(1-INDEX($B$11:$B$63,5))*(1-E100))</f>
        <v/>
      </c>
      <c r="R101" s="15">
        <f>MAX(0,Q100*(1-INDEX($B$11:$B$63,6))*(1-E100))</f>
        <v/>
      </c>
      <c r="S101" s="15">
        <f>MAX(0,R100*(1-INDEX($B$11:$B$63,7))*(1-E100))</f>
        <v/>
      </c>
      <c r="T101" s="15">
        <f>MAX(0,S100*(1-INDEX($B$11:$B$63,8))*(1-E100))</f>
        <v/>
      </c>
      <c r="U101" s="15">
        <f>MAX(0,T100*(1-INDEX($B$11:$B$63,9))*(1-E100))</f>
        <v/>
      </c>
      <c r="V101" s="15">
        <f>MAX(0,U100*(1-INDEX($B$11:$B$63,10))*(1-E100))</f>
        <v/>
      </c>
      <c r="W101" s="15">
        <f>MAX(0,V100*(1-INDEX($B$11:$B$63,11))*(1-E100))</f>
        <v/>
      </c>
      <c r="X101" s="15">
        <f>MAX(0,W100*(1-INDEX($B$11:$B$63,12))*(1-E100))</f>
        <v/>
      </c>
      <c r="Y101" s="15">
        <f>MAX(0,X100*(1-INDEX($B$11:$B$63,13))*(1-E100))</f>
        <v/>
      </c>
      <c r="Z101" s="15">
        <f>MAX(0,Y100*(1-INDEX($B$11:$B$63,14))*(1-E100))</f>
        <v/>
      </c>
      <c r="AA101" s="15">
        <f>MAX(0,Z100*(1-INDEX($B$11:$B$63,15))*(1-E100))</f>
        <v/>
      </c>
      <c r="AB101" s="15">
        <f>MAX(0,AA100*(1-INDEX($B$11:$B$63,16))*(1-E100))</f>
        <v/>
      </c>
      <c r="AC101" s="15">
        <f>MAX(0,AB100*(1-INDEX($B$11:$B$63,17))*(1-E100))</f>
        <v/>
      </c>
      <c r="AD101" s="15">
        <f>MAX(0,AC100*(1-INDEX($B$11:$B$63,18))*(1-E100))</f>
        <v/>
      </c>
      <c r="AE101" s="15">
        <f>MAX(0,AD100*(1-INDEX($B$11:$B$63,19))*(1-E100))</f>
        <v/>
      </c>
      <c r="AF101" s="15">
        <f>MAX(0,AE100*(1-INDEX($B$11:$B$63,20))*(1-E100))</f>
        <v/>
      </c>
      <c r="AG101" s="15">
        <f>MAX(0,AF100*(1-INDEX($B$11:$B$63,21))*(1-E100))</f>
        <v/>
      </c>
      <c r="AH101" s="15">
        <f>MAX(0,AG100*(1-INDEX($B$11:$B$63,22))*(1-E100))</f>
        <v/>
      </c>
      <c r="AI101" s="15">
        <f>MAX(0,AH100*(1-INDEX($B$11:$B$63,23))*(1-E100))</f>
        <v/>
      </c>
      <c r="AJ101" s="15">
        <f>MAX(0,AI100*(1-INDEX($B$11:$B$63,24))*(1-E100))</f>
        <v/>
      </c>
      <c r="AK101" s="15">
        <f>MAX(0,AJ100*(1-INDEX($B$11:$B$63,25))*(1-E100))</f>
        <v/>
      </c>
      <c r="AL101" s="15">
        <f>MAX(0,AK100*(1-INDEX($B$11:$B$63,26))*(1-E100))</f>
        <v/>
      </c>
      <c r="AM101" s="15">
        <f>MAX(0,AL100*(1-INDEX($B$11:$B$63,27))*(1-E100))</f>
        <v/>
      </c>
      <c r="AN101" s="15">
        <f>MAX(0,AM100*(1-INDEX($B$11:$B$63,28))*(1-E100))</f>
        <v/>
      </c>
      <c r="AO101" s="15">
        <f>MAX(0,AN100*(1-INDEX($B$11:$B$63,29))*(1-E100))</f>
        <v/>
      </c>
      <c r="AP101" s="15">
        <f>MAX(0,AO100*(1-INDEX($B$11:$B$63,30))*(1-E100))</f>
        <v/>
      </c>
      <c r="AQ101" s="15">
        <f>MAX(0,AP100*(1-INDEX($B$11:$B$63,31))*(1-E100))</f>
        <v/>
      </c>
      <c r="AR101" s="15">
        <f>MAX(0,AQ100*(1-INDEX($B$11:$B$63,32))*(1-E100))</f>
        <v/>
      </c>
      <c r="AS101" s="15">
        <f>MAX(0,AR100*(1-INDEX($B$11:$B$63,33))*(1-E100))</f>
        <v/>
      </c>
      <c r="AT101" s="15">
        <f>MAX(0,AS100*(1-INDEX($B$11:$B$63,34))*(1-E100))</f>
        <v/>
      </c>
      <c r="AU101" s="15">
        <f>MAX(0,AT100*(1-INDEX($B$11:$B$63,35))*(1-E100))</f>
        <v/>
      </c>
      <c r="AV101" s="15">
        <f>MAX(0,AU100*(1-INDEX($B$11:$B$63,36))*(1-E100))</f>
        <v/>
      </c>
      <c r="AW101" s="15">
        <f>MAX(0,AV100*(1-INDEX($B$11:$B$63,37))*(1-E100))</f>
        <v/>
      </c>
      <c r="AX101" s="15">
        <f>MAX(0,AW100*(1-INDEX($B$11:$B$63,38))*(1-E100))</f>
        <v/>
      </c>
      <c r="AY101" s="15">
        <f>MAX(0,AX100*(1-INDEX($B$11:$B$63,39))*(1-E100))</f>
        <v/>
      </c>
      <c r="AZ101" s="15">
        <f>MAX(0,AY100*(1-INDEX($B$11:$B$63,40))*(1-E100))</f>
        <v/>
      </c>
      <c r="BA101" s="15">
        <f>MAX(0,AZ100*(1-INDEX($B$11:$B$63,41))*(1-E100))</f>
        <v/>
      </c>
      <c r="BB101" s="15">
        <f>MAX(0,BA100*(1-INDEX($B$11:$B$63,42))*(1-E100))</f>
        <v/>
      </c>
      <c r="BC101" s="15">
        <f>MAX(0,BB100*(1-INDEX($B$11:$B$63,43))*(1-E100))</f>
        <v/>
      </c>
      <c r="BD101" s="15">
        <f>MAX(0,BC100*(1-INDEX($B$11:$B$63,44))*(1-E100))</f>
        <v/>
      </c>
      <c r="BE101" s="15">
        <f>MAX(0,BD100*(1-INDEX($B$11:$B$63,45))*(1-E100))</f>
        <v/>
      </c>
      <c r="BF101" s="15">
        <f>MAX(0,BE100*(1-INDEX($B$11:$B$63,46))*(1-E100))</f>
        <v/>
      </c>
      <c r="BG101" s="15">
        <f>MAX(0,BF100*(1-INDEX($B$11:$B$63,47))*(1-E100))</f>
        <v/>
      </c>
      <c r="BH101" s="15">
        <f>MAX(0,BG100*(1-INDEX($B$11:$B$63,48))*(1-E100))</f>
        <v/>
      </c>
      <c r="BI101" s="15">
        <f>MAX(0,BH100*(1-INDEX($B$11:$B$63,49))*(1-E100))</f>
        <v/>
      </c>
      <c r="BJ101" s="15">
        <f>MAX(0,BI100*(1-INDEX($B$11:$B$63,50))*(1-E100))</f>
        <v/>
      </c>
      <c r="BK101" s="15">
        <f>MAX(0,BJ100*(1-INDEX($B$11:$B$63,51))*(1-E100))</f>
        <v/>
      </c>
      <c r="BL101" s="15">
        <f>MAX(0,(BL100+BK100)*(1-INDEX($B$11:$B$63,53))*(1-E100))</f>
        <v/>
      </c>
    </row>
    <row r="102">
      <c r="A102" s="55" t="n">
        <v>36</v>
      </c>
      <c r="B102" s="15">
        <f>IF(A102&gt;Inputs!$C$62,"",SUM(M102:BK102))</f>
        <v/>
      </c>
      <c r="C102" s="15">
        <f>IF(A102&gt;Inputs!$C$62,"",INDEX(Trajectory!$C$23:$C$2000,A102))</f>
        <v/>
      </c>
      <c r="D102" s="15">
        <f>IF(A102&gt;Inputs!$C$62,"",SUM(L102:BK102))</f>
        <v/>
      </c>
      <c r="E102" s="12">
        <f>IF(A102&gt;Inputs!$C$62,"",INDEX(Trajectory!$AG$23:$AG$2000,A102))</f>
        <v/>
      </c>
      <c r="F102" s="12">
        <f>IF(D102=0,0,SUMPRODUCT(L102:BK102,$B$11:$B$63)/D102)</f>
        <v/>
      </c>
      <c r="G102" s="12">
        <f>IF(D102=0,0,MIN(0.95,1-(1-F102)*(1-E102)))</f>
        <v/>
      </c>
      <c r="H102" s="15">
        <f>IF(D102=0,0,D102*G102)</f>
        <v/>
      </c>
      <c r="I102" s="15">
        <f>IF(D102=0,0,D102-H102)</f>
        <v/>
      </c>
      <c r="L102" s="15">
        <f>C102</f>
        <v/>
      </c>
      <c r="M102" s="15">
        <f>MAX(0,L101*(1-INDEX($B$11:$B$63,1))*(1-E101))</f>
        <v/>
      </c>
      <c r="N102" s="15">
        <f>MAX(0,M101*(1-INDEX($B$11:$B$63,2))*(1-E101))</f>
        <v/>
      </c>
      <c r="O102" s="15">
        <f>MAX(0,N101*(1-INDEX($B$11:$B$63,3))*(1-E101))</f>
        <v/>
      </c>
      <c r="P102" s="15">
        <f>MAX(0,O101*(1-INDEX($B$11:$B$63,4))*(1-E101))</f>
        <v/>
      </c>
      <c r="Q102" s="15">
        <f>MAX(0,P101*(1-INDEX($B$11:$B$63,5))*(1-E101))</f>
        <v/>
      </c>
      <c r="R102" s="15">
        <f>MAX(0,Q101*(1-INDEX($B$11:$B$63,6))*(1-E101))</f>
        <v/>
      </c>
      <c r="S102" s="15">
        <f>MAX(0,R101*(1-INDEX($B$11:$B$63,7))*(1-E101))</f>
        <v/>
      </c>
      <c r="T102" s="15">
        <f>MAX(0,S101*(1-INDEX($B$11:$B$63,8))*(1-E101))</f>
        <v/>
      </c>
      <c r="U102" s="15">
        <f>MAX(0,T101*(1-INDEX($B$11:$B$63,9))*(1-E101))</f>
        <v/>
      </c>
      <c r="V102" s="15">
        <f>MAX(0,U101*(1-INDEX($B$11:$B$63,10))*(1-E101))</f>
        <v/>
      </c>
      <c r="W102" s="15">
        <f>MAX(0,V101*(1-INDEX($B$11:$B$63,11))*(1-E101))</f>
        <v/>
      </c>
      <c r="X102" s="15">
        <f>MAX(0,W101*(1-INDEX($B$11:$B$63,12))*(1-E101))</f>
        <v/>
      </c>
      <c r="Y102" s="15">
        <f>MAX(0,X101*(1-INDEX($B$11:$B$63,13))*(1-E101))</f>
        <v/>
      </c>
      <c r="Z102" s="15">
        <f>MAX(0,Y101*(1-INDEX($B$11:$B$63,14))*(1-E101))</f>
        <v/>
      </c>
      <c r="AA102" s="15">
        <f>MAX(0,Z101*(1-INDEX($B$11:$B$63,15))*(1-E101))</f>
        <v/>
      </c>
      <c r="AB102" s="15">
        <f>MAX(0,AA101*(1-INDEX($B$11:$B$63,16))*(1-E101))</f>
        <v/>
      </c>
      <c r="AC102" s="15">
        <f>MAX(0,AB101*(1-INDEX($B$11:$B$63,17))*(1-E101))</f>
        <v/>
      </c>
      <c r="AD102" s="15">
        <f>MAX(0,AC101*(1-INDEX($B$11:$B$63,18))*(1-E101))</f>
        <v/>
      </c>
      <c r="AE102" s="15">
        <f>MAX(0,AD101*(1-INDEX($B$11:$B$63,19))*(1-E101))</f>
        <v/>
      </c>
      <c r="AF102" s="15">
        <f>MAX(0,AE101*(1-INDEX($B$11:$B$63,20))*(1-E101))</f>
        <v/>
      </c>
      <c r="AG102" s="15">
        <f>MAX(0,AF101*(1-INDEX($B$11:$B$63,21))*(1-E101))</f>
        <v/>
      </c>
      <c r="AH102" s="15">
        <f>MAX(0,AG101*(1-INDEX($B$11:$B$63,22))*(1-E101))</f>
        <v/>
      </c>
      <c r="AI102" s="15">
        <f>MAX(0,AH101*(1-INDEX($B$11:$B$63,23))*(1-E101))</f>
        <v/>
      </c>
      <c r="AJ102" s="15">
        <f>MAX(0,AI101*(1-INDEX($B$11:$B$63,24))*(1-E101))</f>
        <v/>
      </c>
      <c r="AK102" s="15">
        <f>MAX(0,AJ101*(1-INDEX($B$11:$B$63,25))*(1-E101))</f>
        <v/>
      </c>
      <c r="AL102" s="15">
        <f>MAX(0,AK101*(1-INDEX($B$11:$B$63,26))*(1-E101))</f>
        <v/>
      </c>
      <c r="AM102" s="15">
        <f>MAX(0,AL101*(1-INDEX($B$11:$B$63,27))*(1-E101))</f>
        <v/>
      </c>
      <c r="AN102" s="15">
        <f>MAX(0,AM101*(1-INDEX($B$11:$B$63,28))*(1-E101))</f>
        <v/>
      </c>
      <c r="AO102" s="15">
        <f>MAX(0,AN101*(1-INDEX($B$11:$B$63,29))*(1-E101))</f>
        <v/>
      </c>
      <c r="AP102" s="15">
        <f>MAX(0,AO101*(1-INDEX($B$11:$B$63,30))*(1-E101))</f>
        <v/>
      </c>
      <c r="AQ102" s="15">
        <f>MAX(0,AP101*(1-INDEX($B$11:$B$63,31))*(1-E101))</f>
        <v/>
      </c>
      <c r="AR102" s="15">
        <f>MAX(0,AQ101*(1-INDEX($B$11:$B$63,32))*(1-E101))</f>
        <v/>
      </c>
      <c r="AS102" s="15">
        <f>MAX(0,AR101*(1-INDEX($B$11:$B$63,33))*(1-E101))</f>
        <v/>
      </c>
      <c r="AT102" s="15">
        <f>MAX(0,AS101*(1-INDEX($B$11:$B$63,34))*(1-E101))</f>
        <v/>
      </c>
      <c r="AU102" s="15">
        <f>MAX(0,AT101*(1-INDEX($B$11:$B$63,35))*(1-E101))</f>
        <v/>
      </c>
      <c r="AV102" s="15">
        <f>MAX(0,AU101*(1-INDEX($B$11:$B$63,36))*(1-E101))</f>
        <v/>
      </c>
      <c r="AW102" s="15">
        <f>MAX(0,AV101*(1-INDEX($B$11:$B$63,37))*(1-E101))</f>
        <v/>
      </c>
      <c r="AX102" s="15">
        <f>MAX(0,AW101*(1-INDEX($B$11:$B$63,38))*(1-E101))</f>
        <v/>
      </c>
      <c r="AY102" s="15">
        <f>MAX(0,AX101*(1-INDEX($B$11:$B$63,39))*(1-E101))</f>
        <v/>
      </c>
      <c r="AZ102" s="15">
        <f>MAX(0,AY101*(1-INDEX($B$11:$B$63,40))*(1-E101))</f>
        <v/>
      </c>
      <c r="BA102" s="15">
        <f>MAX(0,AZ101*(1-INDEX($B$11:$B$63,41))*(1-E101))</f>
        <v/>
      </c>
      <c r="BB102" s="15">
        <f>MAX(0,BA101*(1-INDEX($B$11:$B$63,42))*(1-E101))</f>
        <v/>
      </c>
      <c r="BC102" s="15">
        <f>MAX(0,BB101*(1-INDEX($B$11:$B$63,43))*(1-E101))</f>
        <v/>
      </c>
      <c r="BD102" s="15">
        <f>MAX(0,BC101*(1-INDEX($B$11:$B$63,44))*(1-E101))</f>
        <v/>
      </c>
      <c r="BE102" s="15">
        <f>MAX(0,BD101*(1-INDEX($B$11:$B$63,45))*(1-E101))</f>
        <v/>
      </c>
      <c r="BF102" s="15">
        <f>MAX(0,BE101*(1-INDEX($B$11:$B$63,46))*(1-E101))</f>
        <v/>
      </c>
      <c r="BG102" s="15">
        <f>MAX(0,BF101*(1-INDEX($B$11:$B$63,47))*(1-E101))</f>
        <v/>
      </c>
      <c r="BH102" s="15">
        <f>MAX(0,BG101*(1-INDEX($B$11:$B$63,48))*(1-E101))</f>
        <v/>
      </c>
      <c r="BI102" s="15">
        <f>MAX(0,BH101*(1-INDEX($B$11:$B$63,49))*(1-E101))</f>
        <v/>
      </c>
      <c r="BJ102" s="15">
        <f>MAX(0,BI101*(1-INDEX($B$11:$B$63,50))*(1-E101))</f>
        <v/>
      </c>
      <c r="BK102" s="15">
        <f>MAX(0,BJ101*(1-INDEX($B$11:$B$63,51))*(1-E101))</f>
        <v/>
      </c>
      <c r="BL102" s="15">
        <f>MAX(0,(BL101+BK101)*(1-INDEX($B$11:$B$63,53))*(1-E101))</f>
        <v/>
      </c>
    </row>
    <row r="103">
      <c r="A103" s="55" t="n">
        <v>37</v>
      </c>
      <c r="B103" s="15">
        <f>IF(A103&gt;Inputs!$C$62,"",SUM(M103:BK103))</f>
        <v/>
      </c>
      <c r="C103" s="15">
        <f>IF(A103&gt;Inputs!$C$62,"",INDEX(Trajectory!$C$23:$C$2000,A103))</f>
        <v/>
      </c>
      <c r="D103" s="15">
        <f>IF(A103&gt;Inputs!$C$62,"",SUM(L103:BK103))</f>
        <v/>
      </c>
      <c r="E103" s="12">
        <f>IF(A103&gt;Inputs!$C$62,"",INDEX(Trajectory!$AG$23:$AG$2000,A103))</f>
        <v/>
      </c>
      <c r="F103" s="12">
        <f>IF(D103=0,0,SUMPRODUCT(L103:BK103,$B$11:$B$63)/D103)</f>
        <v/>
      </c>
      <c r="G103" s="12">
        <f>IF(D103=0,0,MIN(0.95,1-(1-F103)*(1-E103)))</f>
        <v/>
      </c>
      <c r="H103" s="15">
        <f>IF(D103=0,0,D103*G103)</f>
        <v/>
      </c>
      <c r="I103" s="15">
        <f>IF(D103=0,0,D103-H103)</f>
        <v/>
      </c>
      <c r="L103" s="15">
        <f>C103</f>
        <v/>
      </c>
      <c r="M103" s="15">
        <f>MAX(0,L102*(1-INDEX($B$11:$B$63,1))*(1-E102))</f>
        <v/>
      </c>
      <c r="N103" s="15">
        <f>MAX(0,M102*(1-INDEX($B$11:$B$63,2))*(1-E102))</f>
        <v/>
      </c>
      <c r="O103" s="15">
        <f>MAX(0,N102*(1-INDEX($B$11:$B$63,3))*(1-E102))</f>
        <v/>
      </c>
      <c r="P103" s="15">
        <f>MAX(0,O102*(1-INDEX($B$11:$B$63,4))*(1-E102))</f>
        <v/>
      </c>
      <c r="Q103" s="15">
        <f>MAX(0,P102*(1-INDEX($B$11:$B$63,5))*(1-E102))</f>
        <v/>
      </c>
      <c r="R103" s="15">
        <f>MAX(0,Q102*(1-INDEX($B$11:$B$63,6))*(1-E102))</f>
        <v/>
      </c>
      <c r="S103" s="15">
        <f>MAX(0,R102*(1-INDEX($B$11:$B$63,7))*(1-E102))</f>
        <v/>
      </c>
      <c r="T103" s="15">
        <f>MAX(0,S102*(1-INDEX($B$11:$B$63,8))*(1-E102))</f>
        <v/>
      </c>
      <c r="U103" s="15">
        <f>MAX(0,T102*(1-INDEX($B$11:$B$63,9))*(1-E102))</f>
        <v/>
      </c>
      <c r="V103" s="15">
        <f>MAX(0,U102*(1-INDEX($B$11:$B$63,10))*(1-E102))</f>
        <v/>
      </c>
      <c r="W103" s="15">
        <f>MAX(0,V102*(1-INDEX($B$11:$B$63,11))*(1-E102))</f>
        <v/>
      </c>
      <c r="X103" s="15">
        <f>MAX(0,W102*(1-INDEX($B$11:$B$63,12))*(1-E102))</f>
        <v/>
      </c>
      <c r="Y103" s="15">
        <f>MAX(0,X102*(1-INDEX($B$11:$B$63,13))*(1-E102))</f>
        <v/>
      </c>
      <c r="Z103" s="15">
        <f>MAX(0,Y102*(1-INDEX($B$11:$B$63,14))*(1-E102))</f>
        <v/>
      </c>
      <c r="AA103" s="15">
        <f>MAX(0,Z102*(1-INDEX($B$11:$B$63,15))*(1-E102))</f>
        <v/>
      </c>
      <c r="AB103" s="15">
        <f>MAX(0,AA102*(1-INDEX($B$11:$B$63,16))*(1-E102))</f>
        <v/>
      </c>
      <c r="AC103" s="15">
        <f>MAX(0,AB102*(1-INDEX($B$11:$B$63,17))*(1-E102))</f>
        <v/>
      </c>
      <c r="AD103" s="15">
        <f>MAX(0,AC102*(1-INDEX($B$11:$B$63,18))*(1-E102))</f>
        <v/>
      </c>
      <c r="AE103" s="15">
        <f>MAX(0,AD102*(1-INDEX($B$11:$B$63,19))*(1-E102))</f>
        <v/>
      </c>
      <c r="AF103" s="15">
        <f>MAX(0,AE102*(1-INDEX($B$11:$B$63,20))*(1-E102))</f>
        <v/>
      </c>
      <c r="AG103" s="15">
        <f>MAX(0,AF102*(1-INDEX($B$11:$B$63,21))*(1-E102))</f>
        <v/>
      </c>
      <c r="AH103" s="15">
        <f>MAX(0,AG102*(1-INDEX($B$11:$B$63,22))*(1-E102))</f>
        <v/>
      </c>
      <c r="AI103" s="15">
        <f>MAX(0,AH102*(1-INDEX($B$11:$B$63,23))*(1-E102))</f>
        <v/>
      </c>
      <c r="AJ103" s="15">
        <f>MAX(0,AI102*(1-INDEX($B$11:$B$63,24))*(1-E102))</f>
        <v/>
      </c>
      <c r="AK103" s="15">
        <f>MAX(0,AJ102*(1-INDEX($B$11:$B$63,25))*(1-E102))</f>
        <v/>
      </c>
      <c r="AL103" s="15">
        <f>MAX(0,AK102*(1-INDEX($B$11:$B$63,26))*(1-E102))</f>
        <v/>
      </c>
      <c r="AM103" s="15">
        <f>MAX(0,AL102*(1-INDEX($B$11:$B$63,27))*(1-E102))</f>
        <v/>
      </c>
      <c r="AN103" s="15">
        <f>MAX(0,AM102*(1-INDEX($B$11:$B$63,28))*(1-E102))</f>
        <v/>
      </c>
      <c r="AO103" s="15">
        <f>MAX(0,AN102*(1-INDEX($B$11:$B$63,29))*(1-E102))</f>
        <v/>
      </c>
      <c r="AP103" s="15">
        <f>MAX(0,AO102*(1-INDEX($B$11:$B$63,30))*(1-E102))</f>
        <v/>
      </c>
      <c r="AQ103" s="15">
        <f>MAX(0,AP102*(1-INDEX($B$11:$B$63,31))*(1-E102))</f>
        <v/>
      </c>
      <c r="AR103" s="15">
        <f>MAX(0,AQ102*(1-INDEX($B$11:$B$63,32))*(1-E102))</f>
        <v/>
      </c>
      <c r="AS103" s="15">
        <f>MAX(0,AR102*(1-INDEX($B$11:$B$63,33))*(1-E102))</f>
        <v/>
      </c>
      <c r="AT103" s="15">
        <f>MAX(0,AS102*(1-INDEX($B$11:$B$63,34))*(1-E102))</f>
        <v/>
      </c>
      <c r="AU103" s="15">
        <f>MAX(0,AT102*(1-INDEX($B$11:$B$63,35))*(1-E102))</f>
        <v/>
      </c>
      <c r="AV103" s="15">
        <f>MAX(0,AU102*(1-INDEX($B$11:$B$63,36))*(1-E102))</f>
        <v/>
      </c>
      <c r="AW103" s="15">
        <f>MAX(0,AV102*(1-INDEX($B$11:$B$63,37))*(1-E102))</f>
        <v/>
      </c>
      <c r="AX103" s="15">
        <f>MAX(0,AW102*(1-INDEX($B$11:$B$63,38))*(1-E102))</f>
        <v/>
      </c>
      <c r="AY103" s="15">
        <f>MAX(0,AX102*(1-INDEX($B$11:$B$63,39))*(1-E102))</f>
        <v/>
      </c>
      <c r="AZ103" s="15">
        <f>MAX(0,AY102*(1-INDEX($B$11:$B$63,40))*(1-E102))</f>
        <v/>
      </c>
      <c r="BA103" s="15">
        <f>MAX(0,AZ102*(1-INDEX($B$11:$B$63,41))*(1-E102))</f>
        <v/>
      </c>
      <c r="BB103" s="15">
        <f>MAX(0,BA102*(1-INDEX($B$11:$B$63,42))*(1-E102))</f>
        <v/>
      </c>
      <c r="BC103" s="15">
        <f>MAX(0,BB102*(1-INDEX($B$11:$B$63,43))*(1-E102))</f>
        <v/>
      </c>
      <c r="BD103" s="15">
        <f>MAX(0,BC102*(1-INDEX($B$11:$B$63,44))*(1-E102))</f>
        <v/>
      </c>
      <c r="BE103" s="15">
        <f>MAX(0,BD102*(1-INDEX($B$11:$B$63,45))*(1-E102))</f>
        <v/>
      </c>
      <c r="BF103" s="15">
        <f>MAX(0,BE102*(1-INDEX($B$11:$B$63,46))*(1-E102))</f>
        <v/>
      </c>
      <c r="BG103" s="15">
        <f>MAX(0,BF102*(1-INDEX($B$11:$B$63,47))*(1-E102))</f>
        <v/>
      </c>
      <c r="BH103" s="15">
        <f>MAX(0,BG102*(1-INDEX($B$11:$B$63,48))*(1-E102))</f>
        <v/>
      </c>
      <c r="BI103" s="15">
        <f>MAX(0,BH102*(1-INDEX($B$11:$B$63,49))*(1-E102))</f>
        <v/>
      </c>
      <c r="BJ103" s="15">
        <f>MAX(0,BI102*(1-INDEX($B$11:$B$63,50))*(1-E102))</f>
        <v/>
      </c>
      <c r="BK103" s="15">
        <f>MAX(0,BJ102*(1-INDEX($B$11:$B$63,51))*(1-E102))</f>
        <v/>
      </c>
      <c r="BL103" s="15">
        <f>MAX(0,(BL102+BK102)*(1-INDEX($B$11:$B$63,53))*(1-E102))</f>
        <v/>
      </c>
    </row>
    <row r="104">
      <c r="A104" s="55" t="n">
        <v>38</v>
      </c>
      <c r="B104" s="15">
        <f>IF(A104&gt;Inputs!$C$62,"",SUM(M104:BK104))</f>
        <v/>
      </c>
      <c r="C104" s="15">
        <f>IF(A104&gt;Inputs!$C$62,"",INDEX(Trajectory!$C$23:$C$2000,A104))</f>
        <v/>
      </c>
      <c r="D104" s="15">
        <f>IF(A104&gt;Inputs!$C$62,"",SUM(L104:BK104))</f>
        <v/>
      </c>
      <c r="E104" s="12">
        <f>IF(A104&gt;Inputs!$C$62,"",INDEX(Trajectory!$AG$23:$AG$2000,A104))</f>
        <v/>
      </c>
      <c r="F104" s="12">
        <f>IF(D104=0,0,SUMPRODUCT(L104:BK104,$B$11:$B$63)/D104)</f>
        <v/>
      </c>
      <c r="G104" s="12">
        <f>IF(D104=0,0,MIN(0.95,1-(1-F104)*(1-E104)))</f>
        <v/>
      </c>
      <c r="H104" s="15">
        <f>IF(D104=0,0,D104*G104)</f>
        <v/>
      </c>
      <c r="I104" s="15">
        <f>IF(D104=0,0,D104-H104)</f>
        <v/>
      </c>
      <c r="L104" s="15">
        <f>C104</f>
        <v/>
      </c>
      <c r="M104" s="15">
        <f>MAX(0,L103*(1-INDEX($B$11:$B$63,1))*(1-E103))</f>
        <v/>
      </c>
      <c r="N104" s="15">
        <f>MAX(0,M103*(1-INDEX($B$11:$B$63,2))*(1-E103))</f>
        <v/>
      </c>
      <c r="O104" s="15">
        <f>MAX(0,N103*(1-INDEX($B$11:$B$63,3))*(1-E103))</f>
        <v/>
      </c>
      <c r="P104" s="15">
        <f>MAX(0,O103*(1-INDEX($B$11:$B$63,4))*(1-E103))</f>
        <v/>
      </c>
      <c r="Q104" s="15">
        <f>MAX(0,P103*(1-INDEX($B$11:$B$63,5))*(1-E103))</f>
        <v/>
      </c>
      <c r="R104" s="15">
        <f>MAX(0,Q103*(1-INDEX($B$11:$B$63,6))*(1-E103))</f>
        <v/>
      </c>
      <c r="S104" s="15">
        <f>MAX(0,R103*(1-INDEX($B$11:$B$63,7))*(1-E103))</f>
        <v/>
      </c>
      <c r="T104" s="15">
        <f>MAX(0,S103*(1-INDEX($B$11:$B$63,8))*(1-E103))</f>
        <v/>
      </c>
      <c r="U104" s="15">
        <f>MAX(0,T103*(1-INDEX($B$11:$B$63,9))*(1-E103))</f>
        <v/>
      </c>
      <c r="V104" s="15">
        <f>MAX(0,U103*(1-INDEX($B$11:$B$63,10))*(1-E103))</f>
        <v/>
      </c>
      <c r="W104" s="15">
        <f>MAX(0,V103*(1-INDEX($B$11:$B$63,11))*(1-E103))</f>
        <v/>
      </c>
      <c r="X104" s="15">
        <f>MAX(0,W103*(1-INDEX($B$11:$B$63,12))*(1-E103))</f>
        <v/>
      </c>
      <c r="Y104" s="15">
        <f>MAX(0,X103*(1-INDEX($B$11:$B$63,13))*(1-E103))</f>
        <v/>
      </c>
      <c r="Z104" s="15">
        <f>MAX(0,Y103*(1-INDEX($B$11:$B$63,14))*(1-E103))</f>
        <v/>
      </c>
      <c r="AA104" s="15">
        <f>MAX(0,Z103*(1-INDEX($B$11:$B$63,15))*(1-E103))</f>
        <v/>
      </c>
      <c r="AB104" s="15">
        <f>MAX(0,AA103*(1-INDEX($B$11:$B$63,16))*(1-E103))</f>
        <v/>
      </c>
      <c r="AC104" s="15">
        <f>MAX(0,AB103*(1-INDEX($B$11:$B$63,17))*(1-E103))</f>
        <v/>
      </c>
      <c r="AD104" s="15">
        <f>MAX(0,AC103*(1-INDEX($B$11:$B$63,18))*(1-E103))</f>
        <v/>
      </c>
      <c r="AE104" s="15">
        <f>MAX(0,AD103*(1-INDEX($B$11:$B$63,19))*(1-E103))</f>
        <v/>
      </c>
      <c r="AF104" s="15">
        <f>MAX(0,AE103*(1-INDEX($B$11:$B$63,20))*(1-E103))</f>
        <v/>
      </c>
      <c r="AG104" s="15">
        <f>MAX(0,AF103*(1-INDEX($B$11:$B$63,21))*(1-E103))</f>
        <v/>
      </c>
      <c r="AH104" s="15">
        <f>MAX(0,AG103*(1-INDEX($B$11:$B$63,22))*(1-E103))</f>
        <v/>
      </c>
      <c r="AI104" s="15">
        <f>MAX(0,AH103*(1-INDEX($B$11:$B$63,23))*(1-E103))</f>
        <v/>
      </c>
      <c r="AJ104" s="15">
        <f>MAX(0,AI103*(1-INDEX($B$11:$B$63,24))*(1-E103))</f>
        <v/>
      </c>
      <c r="AK104" s="15">
        <f>MAX(0,AJ103*(1-INDEX($B$11:$B$63,25))*(1-E103))</f>
        <v/>
      </c>
      <c r="AL104" s="15">
        <f>MAX(0,AK103*(1-INDEX($B$11:$B$63,26))*(1-E103))</f>
        <v/>
      </c>
      <c r="AM104" s="15">
        <f>MAX(0,AL103*(1-INDEX($B$11:$B$63,27))*(1-E103))</f>
        <v/>
      </c>
      <c r="AN104" s="15">
        <f>MAX(0,AM103*(1-INDEX($B$11:$B$63,28))*(1-E103))</f>
        <v/>
      </c>
      <c r="AO104" s="15">
        <f>MAX(0,AN103*(1-INDEX($B$11:$B$63,29))*(1-E103))</f>
        <v/>
      </c>
      <c r="AP104" s="15">
        <f>MAX(0,AO103*(1-INDEX($B$11:$B$63,30))*(1-E103))</f>
        <v/>
      </c>
      <c r="AQ104" s="15">
        <f>MAX(0,AP103*(1-INDEX($B$11:$B$63,31))*(1-E103))</f>
        <v/>
      </c>
      <c r="AR104" s="15">
        <f>MAX(0,AQ103*(1-INDEX($B$11:$B$63,32))*(1-E103))</f>
        <v/>
      </c>
      <c r="AS104" s="15">
        <f>MAX(0,AR103*(1-INDEX($B$11:$B$63,33))*(1-E103))</f>
        <v/>
      </c>
      <c r="AT104" s="15">
        <f>MAX(0,AS103*(1-INDEX($B$11:$B$63,34))*(1-E103))</f>
        <v/>
      </c>
      <c r="AU104" s="15">
        <f>MAX(0,AT103*(1-INDEX($B$11:$B$63,35))*(1-E103))</f>
        <v/>
      </c>
      <c r="AV104" s="15">
        <f>MAX(0,AU103*(1-INDEX($B$11:$B$63,36))*(1-E103))</f>
        <v/>
      </c>
      <c r="AW104" s="15">
        <f>MAX(0,AV103*(1-INDEX($B$11:$B$63,37))*(1-E103))</f>
        <v/>
      </c>
      <c r="AX104" s="15">
        <f>MAX(0,AW103*(1-INDEX($B$11:$B$63,38))*(1-E103))</f>
        <v/>
      </c>
      <c r="AY104" s="15">
        <f>MAX(0,AX103*(1-INDEX($B$11:$B$63,39))*(1-E103))</f>
        <v/>
      </c>
      <c r="AZ104" s="15">
        <f>MAX(0,AY103*(1-INDEX($B$11:$B$63,40))*(1-E103))</f>
        <v/>
      </c>
      <c r="BA104" s="15">
        <f>MAX(0,AZ103*(1-INDEX($B$11:$B$63,41))*(1-E103))</f>
        <v/>
      </c>
      <c r="BB104" s="15">
        <f>MAX(0,BA103*(1-INDEX($B$11:$B$63,42))*(1-E103))</f>
        <v/>
      </c>
      <c r="BC104" s="15">
        <f>MAX(0,BB103*(1-INDEX($B$11:$B$63,43))*(1-E103))</f>
        <v/>
      </c>
      <c r="BD104" s="15">
        <f>MAX(0,BC103*(1-INDEX($B$11:$B$63,44))*(1-E103))</f>
        <v/>
      </c>
      <c r="BE104" s="15">
        <f>MAX(0,BD103*(1-INDEX($B$11:$B$63,45))*(1-E103))</f>
        <v/>
      </c>
      <c r="BF104" s="15">
        <f>MAX(0,BE103*(1-INDEX($B$11:$B$63,46))*(1-E103))</f>
        <v/>
      </c>
      <c r="BG104" s="15">
        <f>MAX(0,BF103*(1-INDEX($B$11:$B$63,47))*(1-E103))</f>
        <v/>
      </c>
      <c r="BH104" s="15">
        <f>MAX(0,BG103*(1-INDEX($B$11:$B$63,48))*(1-E103))</f>
        <v/>
      </c>
      <c r="BI104" s="15">
        <f>MAX(0,BH103*(1-INDEX($B$11:$B$63,49))*(1-E103))</f>
        <v/>
      </c>
      <c r="BJ104" s="15">
        <f>MAX(0,BI103*(1-INDEX($B$11:$B$63,50))*(1-E103))</f>
        <v/>
      </c>
      <c r="BK104" s="15">
        <f>MAX(0,BJ103*(1-INDEX($B$11:$B$63,51))*(1-E103))</f>
        <v/>
      </c>
      <c r="BL104" s="15">
        <f>MAX(0,(BL103+BK103)*(1-INDEX($B$11:$B$63,53))*(1-E103))</f>
        <v/>
      </c>
    </row>
    <row r="105">
      <c r="A105" s="55" t="n">
        <v>39</v>
      </c>
      <c r="B105" s="15">
        <f>IF(A105&gt;Inputs!$C$62,"",SUM(M105:BK105))</f>
        <v/>
      </c>
      <c r="C105" s="15">
        <f>IF(A105&gt;Inputs!$C$62,"",INDEX(Trajectory!$C$23:$C$2000,A105))</f>
        <v/>
      </c>
      <c r="D105" s="15">
        <f>IF(A105&gt;Inputs!$C$62,"",SUM(L105:BK105))</f>
        <v/>
      </c>
      <c r="E105" s="12">
        <f>IF(A105&gt;Inputs!$C$62,"",INDEX(Trajectory!$AG$23:$AG$2000,A105))</f>
        <v/>
      </c>
      <c r="F105" s="12">
        <f>IF(D105=0,0,SUMPRODUCT(L105:BK105,$B$11:$B$63)/D105)</f>
        <v/>
      </c>
      <c r="G105" s="12">
        <f>IF(D105=0,0,MIN(0.95,1-(1-F105)*(1-E105)))</f>
        <v/>
      </c>
      <c r="H105" s="15">
        <f>IF(D105=0,0,D105*G105)</f>
        <v/>
      </c>
      <c r="I105" s="15">
        <f>IF(D105=0,0,D105-H105)</f>
        <v/>
      </c>
      <c r="L105" s="15">
        <f>C105</f>
        <v/>
      </c>
      <c r="M105" s="15">
        <f>MAX(0,L104*(1-INDEX($B$11:$B$63,1))*(1-E104))</f>
        <v/>
      </c>
      <c r="N105" s="15">
        <f>MAX(0,M104*(1-INDEX($B$11:$B$63,2))*(1-E104))</f>
        <v/>
      </c>
      <c r="O105" s="15">
        <f>MAX(0,N104*(1-INDEX($B$11:$B$63,3))*(1-E104))</f>
        <v/>
      </c>
      <c r="P105" s="15">
        <f>MAX(0,O104*(1-INDEX($B$11:$B$63,4))*(1-E104))</f>
        <v/>
      </c>
      <c r="Q105" s="15">
        <f>MAX(0,P104*(1-INDEX($B$11:$B$63,5))*(1-E104))</f>
        <v/>
      </c>
      <c r="R105" s="15">
        <f>MAX(0,Q104*(1-INDEX($B$11:$B$63,6))*(1-E104))</f>
        <v/>
      </c>
      <c r="S105" s="15">
        <f>MAX(0,R104*(1-INDEX($B$11:$B$63,7))*(1-E104))</f>
        <v/>
      </c>
      <c r="T105" s="15">
        <f>MAX(0,S104*(1-INDEX($B$11:$B$63,8))*(1-E104))</f>
        <v/>
      </c>
      <c r="U105" s="15">
        <f>MAX(0,T104*(1-INDEX($B$11:$B$63,9))*(1-E104))</f>
        <v/>
      </c>
      <c r="V105" s="15">
        <f>MAX(0,U104*(1-INDEX($B$11:$B$63,10))*(1-E104))</f>
        <v/>
      </c>
      <c r="W105" s="15">
        <f>MAX(0,V104*(1-INDEX($B$11:$B$63,11))*(1-E104))</f>
        <v/>
      </c>
      <c r="X105" s="15">
        <f>MAX(0,W104*(1-INDEX($B$11:$B$63,12))*(1-E104))</f>
        <v/>
      </c>
      <c r="Y105" s="15">
        <f>MAX(0,X104*(1-INDEX($B$11:$B$63,13))*(1-E104))</f>
        <v/>
      </c>
      <c r="Z105" s="15">
        <f>MAX(0,Y104*(1-INDEX($B$11:$B$63,14))*(1-E104))</f>
        <v/>
      </c>
      <c r="AA105" s="15">
        <f>MAX(0,Z104*(1-INDEX($B$11:$B$63,15))*(1-E104))</f>
        <v/>
      </c>
      <c r="AB105" s="15">
        <f>MAX(0,AA104*(1-INDEX($B$11:$B$63,16))*(1-E104))</f>
        <v/>
      </c>
      <c r="AC105" s="15">
        <f>MAX(0,AB104*(1-INDEX($B$11:$B$63,17))*(1-E104))</f>
        <v/>
      </c>
      <c r="AD105" s="15">
        <f>MAX(0,AC104*(1-INDEX($B$11:$B$63,18))*(1-E104))</f>
        <v/>
      </c>
      <c r="AE105" s="15">
        <f>MAX(0,AD104*(1-INDEX($B$11:$B$63,19))*(1-E104))</f>
        <v/>
      </c>
      <c r="AF105" s="15">
        <f>MAX(0,AE104*(1-INDEX($B$11:$B$63,20))*(1-E104))</f>
        <v/>
      </c>
      <c r="AG105" s="15">
        <f>MAX(0,AF104*(1-INDEX($B$11:$B$63,21))*(1-E104))</f>
        <v/>
      </c>
      <c r="AH105" s="15">
        <f>MAX(0,AG104*(1-INDEX($B$11:$B$63,22))*(1-E104))</f>
        <v/>
      </c>
      <c r="AI105" s="15">
        <f>MAX(0,AH104*(1-INDEX($B$11:$B$63,23))*(1-E104))</f>
        <v/>
      </c>
      <c r="AJ105" s="15">
        <f>MAX(0,AI104*(1-INDEX($B$11:$B$63,24))*(1-E104))</f>
        <v/>
      </c>
      <c r="AK105" s="15">
        <f>MAX(0,AJ104*(1-INDEX($B$11:$B$63,25))*(1-E104))</f>
        <v/>
      </c>
      <c r="AL105" s="15">
        <f>MAX(0,AK104*(1-INDEX($B$11:$B$63,26))*(1-E104))</f>
        <v/>
      </c>
      <c r="AM105" s="15">
        <f>MAX(0,AL104*(1-INDEX($B$11:$B$63,27))*(1-E104))</f>
        <v/>
      </c>
      <c r="AN105" s="15">
        <f>MAX(0,AM104*(1-INDEX($B$11:$B$63,28))*(1-E104))</f>
        <v/>
      </c>
      <c r="AO105" s="15">
        <f>MAX(0,AN104*(1-INDEX($B$11:$B$63,29))*(1-E104))</f>
        <v/>
      </c>
      <c r="AP105" s="15">
        <f>MAX(0,AO104*(1-INDEX($B$11:$B$63,30))*(1-E104))</f>
        <v/>
      </c>
      <c r="AQ105" s="15">
        <f>MAX(0,AP104*(1-INDEX($B$11:$B$63,31))*(1-E104))</f>
        <v/>
      </c>
      <c r="AR105" s="15">
        <f>MAX(0,AQ104*(1-INDEX($B$11:$B$63,32))*(1-E104))</f>
        <v/>
      </c>
      <c r="AS105" s="15">
        <f>MAX(0,AR104*(1-INDEX($B$11:$B$63,33))*(1-E104))</f>
        <v/>
      </c>
      <c r="AT105" s="15">
        <f>MAX(0,AS104*(1-INDEX($B$11:$B$63,34))*(1-E104))</f>
        <v/>
      </c>
      <c r="AU105" s="15">
        <f>MAX(0,AT104*(1-INDEX($B$11:$B$63,35))*(1-E104))</f>
        <v/>
      </c>
      <c r="AV105" s="15">
        <f>MAX(0,AU104*(1-INDEX($B$11:$B$63,36))*(1-E104))</f>
        <v/>
      </c>
      <c r="AW105" s="15">
        <f>MAX(0,AV104*(1-INDEX($B$11:$B$63,37))*(1-E104))</f>
        <v/>
      </c>
      <c r="AX105" s="15">
        <f>MAX(0,AW104*(1-INDEX($B$11:$B$63,38))*(1-E104))</f>
        <v/>
      </c>
      <c r="AY105" s="15">
        <f>MAX(0,AX104*(1-INDEX($B$11:$B$63,39))*(1-E104))</f>
        <v/>
      </c>
      <c r="AZ105" s="15">
        <f>MAX(0,AY104*(1-INDEX($B$11:$B$63,40))*(1-E104))</f>
        <v/>
      </c>
      <c r="BA105" s="15">
        <f>MAX(0,AZ104*(1-INDEX($B$11:$B$63,41))*(1-E104))</f>
        <v/>
      </c>
      <c r="BB105" s="15">
        <f>MAX(0,BA104*(1-INDEX($B$11:$B$63,42))*(1-E104))</f>
        <v/>
      </c>
      <c r="BC105" s="15">
        <f>MAX(0,BB104*(1-INDEX($B$11:$B$63,43))*(1-E104))</f>
        <v/>
      </c>
      <c r="BD105" s="15">
        <f>MAX(0,BC104*(1-INDEX($B$11:$B$63,44))*(1-E104))</f>
        <v/>
      </c>
      <c r="BE105" s="15">
        <f>MAX(0,BD104*(1-INDEX($B$11:$B$63,45))*(1-E104))</f>
        <v/>
      </c>
      <c r="BF105" s="15">
        <f>MAX(0,BE104*(1-INDEX($B$11:$B$63,46))*(1-E104))</f>
        <v/>
      </c>
      <c r="BG105" s="15">
        <f>MAX(0,BF104*(1-INDEX($B$11:$B$63,47))*(1-E104))</f>
        <v/>
      </c>
      <c r="BH105" s="15">
        <f>MAX(0,BG104*(1-INDEX($B$11:$B$63,48))*(1-E104))</f>
        <v/>
      </c>
      <c r="BI105" s="15">
        <f>MAX(0,BH104*(1-INDEX($B$11:$B$63,49))*(1-E104))</f>
        <v/>
      </c>
      <c r="BJ105" s="15">
        <f>MAX(0,BI104*(1-INDEX($B$11:$B$63,50))*(1-E104))</f>
        <v/>
      </c>
      <c r="BK105" s="15">
        <f>MAX(0,BJ104*(1-INDEX($B$11:$B$63,51))*(1-E104))</f>
        <v/>
      </c>
      <c r="BL105" s="15">
        <f>MAX(0,(BL104+BK104)*(1-INDEX($B$11:$B$63,53))*(1-E104))</f>
        <v/>
      </c>
    </row>
    <row r="106">
      <c r="A106" s="55" t="n">
        <v>40</v>
      </c>
      <c r="B106" s="15">
        <f>IF(A106&gt;Inputs!$C$62,"",SUM(M106:BK106))</f>
        <v/>
      </c>
      <c r="C106" s="15">
        <f>IF(A106&gt;Inputs!$C$62,"",INDEX(Trajectory!$C$23:$C$2000,A106))</f>
        <v/>
      </c>
      <c r="D106" s="15">
        <f>IF(A106&gt;Inputs!$C$62,"",SUM(L106:BK106))</f>
        <v/>
      </c>
      <c r="E106" s="12">
        <f>IF(A106&gt;Inputs!$C$62,"",INDEX(Trajectory!$AG$23:$AG$2000,A106))</f>
        <v/>
      </c>
      <c r="F106" s="12">
        <f>IF(D106=0,0,SUMPRODUCT(L106:BK106,$B$11:$B$63)/D106)</f>
        <v/>
      </c>
      <c r="G106" s="12">
        <f>IF(D106=0,0,MIN(0.95,1-(1-F106)*(1-E106)))</f>
        <v/>
      </c>
      <c r="H106" s="15">
        <f>IF(D106=0,0,D106*G106)</f>
        <v/>
      </c>
      <c r="I106" s="15">
        <f>IF(D106=0,0,D106-H106)</f>
        <v/>
      </c>
      <c r="L106" s="15">
        <f>C106</f>
        <v/>
      </c>
      <c r="M106" s="15">
        <f>MAX(0,L105*(1-INDEX($B$11:$B$63,1))*(1-E105))</f>
        <v/>
      </c>
      <c r="N106" s="15">
        <f>MAX(0,M105*(1-INDEX($B$11:$B$63,2))*(1-E105))</f>
        <v/>
      </c>
      <c r="O106" s="15">
        <f>MAX(0,N105*(1-INDEX($B$11:$B$63,3))*(1-E105))</f>
        <v/>
      </c>
      <c r="P106" s="15">
        <f>MAX(0,O105*(1-INDEX($B$11:$B$63,4))*(1-E105))</f>
        <v/>
      </c>
      <c r="Q106" s="15">
        <f>MAX(0,P105*(1-INDEX($B$11:$B$63,5))*(1-E105))</f>
        <v/>
      </c>
      <c r="R106" s="15">
        <f>MAX(0,Q105*(1-INDEX($B$11:$B$63,6))*(1-E105))</f>
        <v/>
      </c>
      <c r="S106" s="15">
        <f>MAX(0,R105*(1-INDEX($B$11:$B$63,7))*(1-E105))</f>
        <v/>
      </c>
      <c r="T106" s="15">
        <f>MAX(0,S105*(1-INDEX($B$11:$B$63,8))*(1-E105))</f>
        <v/>
      </c>
      <c r="U106" s="15">
        <f>MAX(0,T105*(1-INDEX($B$11:$B$63,9))*(1-E105))</f>
        <v/>
      </c>
      <c r="V106" s="15">
        <f>MAX(0,U105*(1-INDEX($B$11:$B$63,10))*(1-E105))</f>
        <v/>
      </c>
      <c r="W106" s="15">
        <f>MAX(0,V105*(1-INDEX($B$11:$B$63,11))*(1-E105))</f>
        <v/>
      </c>
      <c r="X106" s="15">
        <f>MAX(0,W105*(1-INDEX($B$11:$B$63,12))*(1-E105))</f>
        <v/>
      </c>
      <c r="Y106" s="15">
        <f>MAX(0,X105*(1-INDEX($B$11:$B$63,13))*(1-E105))</f>
        <v/>
      </c>
      <c r="Z106" s="15">
        <f>MAX(0,Y105*(1-INDEX($B$11:$B$63,14))*(1-E105))</f>
        <v/>
      </c>
      <c r="AA106" s="15">
        <f>MAX(0,Z105*(1-INDEX($B$11:$B$63,15))*(1-E105))</f>
        <v/>
      </c>
      <c r="AB106" s="15">
        <f>MAX(0,AA105*(1-INDEX($B$11:$B$63,16))*(1-E105))</f>
        <v/>
      </c>
      <c r="AC106" s="15">
        <f>MAX(0,AB105*(1-INDEX($B$11:$B$63,17))*(1-E105))</f>
        <v/>
      </c>
      <c r="AD106" s="15">
        <f>MAX(0,AC105*(1-INDEX($B$11:$B$63,18))*(1-E105))</f>
        <v/>
      </c>
      <c r="AE106" s="15">
        <f>MAX(0,AD105*(1-INDEX($B$11:$B$63,19))*(1-E105))</f>
        <v/>
      </c>
      <c r="AF106" s="15">
        <f>MAX(0,AE105*(1-INDEX($B$11:$B$63,20))*(1-E105))</f>
        <v/>
      </c>
      <c r="AG106" s="15">
        <f>MAX(0,AF105*(1-INDEX($B$11:$B$63,21))*(1-E105))</f>
        <v/>
      </c>
      <c r="AH106" s="15">
        <f>MAX(0,AG105*(1-INDEX($B$11:$B$63,22))*(1-E105))</f>
        <v/>
      </c>
      <c r="AI106" s="15">
        <f>MAX(0,AH105*(1-INDEX($B$11:$B$63,23))*(1-E105))</f>
        <v/>
      </c>
      <c r="AJ106" s="15">
        <f>MAX(0,AI105*(1-INDEX($B$11:$B$63,24))*(1-E105))</f>
        <v/>
      </c>
      <c r="AK106" s="15">
        <f>MAX(0,AJ105*(1-INDEX($B$11:$B$63,25))*(1-E105))</f>
        <v/>
      </c>
      <c r="AL106" s="15">
        <f>MAX(0,AK105*(1-INDEX($B$11:$B$63,26))*(1-E105))</f>
        <v/>
      </c>
      <c r="AM106" s="15">
        <f>MAX(0,AL105*(1-INDEX($B$11:$B$63,27))*(1-E105))</f>
        <v/>
      </c>
      <c r="AN106" s="15">
        <f>MAX(0,AM105*(1-INDEX($B$11:$B$63,28))*(1-E105))</f>
        <v/>
      </c>
      <c r="AO106" s="15">
        <f>MAX(0,AN105*(1-INDEX($B$11:$B$63,29))*(1-E105))</f>
        <v/>
      </c>
      <c r="AP106" s="15">
        <f>MAX(0,AO105*(1-INDEX($B$11:$B$63,30))*(1-E105))</f>
        <v/>
      </c>
      <c r="AQ106" s="15">
        <f>MAX(0,AP105*(1-INDEX($B$11:$B$63,31))*(1-E105))</f>
        <v/>
      </c>
      <c r="AR106" s="15">
        <f>MAX(0,AQ105*(1-INDEX($B$11:$B$63,32))*(1-E105))</f>
        <v/>
      </c>
      <c r="AS106" s="15">
        <f>MAX(0,AR105*(1-INDEX($B$11:$B$63,33))*(1-E105))</f>
        <v/>
      </c>
      <c r="AT106" s="15">
        <f>MAX(0,AS105*(1-INDEX($B$11:$B$63,34))*(1-E105))</f>
        <v/>
      </c>
      <c r="AU106" s="15">
        <f>MAX(0,AT105*(1-INDEX($B$11:$B$63,35))*(1-E105))</f>
        <v/>
      </c>
      <c r="AV106" s="15">
        <f>MAX(0,AU105*(1-INDEX($B$11:$B$63,36))*(1-E105))</f>
        <v/>
      </c>
      <c r="AW106" s="15">
        <f>MAX(0,AV105*(1-INDEX($B$11:$B$63,37))*(1-E105))</f>
        <v/>
      </c>
      <c r="AX106" s="15">
        <f>MAX(0,AW105*(1-INDEX($B$11:$B$63,38))*(1-E105))</f>
        <v/>
      </c>
      <c r="AY106" s="15">
        <f>MAX(0,AX105*(1-INDEX($B$11:$B$63,39))*(1-E105))</f>
        <v/>
      </c>
      <c r="AZ106" s="15">
        <f>MAX(0,AY105*(1-INDEX($B$11:$B$63,40))*(1-E105))</f>
        <v/>
      </c>
      <c r="BA106" s="15">
        <f>MAX(0,AZ105*(1-INDEX($B$11:$B$63,41))*(1-E105))</f>
        <v/>
      </c>
      <c r="BB106" s="15">
        <f>MAX(0,BA105*(1-INDEX($B$11:$B$63,42))*(1-E105))</f>
        <v/>
      </c>
      <c r="BC106" s="15">
        <f>MAX(0,BB105*(1-INDEX($B$11:$B$63,43))*(1-E105))</f>
        <v/>
      </c>
      <c r="BD106" s="15">
        <f>MAX(0,BC105*(1-INDEX($B$11:$B$63,44))*(1-E105))</f>
        <v/>
      </c>
      <c r="BE106" s="15">
        <f>MAX(0,BD105*(1-INDEX($B$11:$B$63,45))*(1-E105))</f>
        <v/>
      </c>
      <c r="BF106" s="15">
        <f>MAX(0,BE105*(1-INDEX($B$11:$B$63,46))*(1-E105))</f>
        <v/>
      </c>
      <c r="BG106" s="15">
        <f>MAX(0,BF105*(1-INDEX($B$11:$B$63,47))*(1-E105))</f>
        <v/>
      </c>
      <c r="BH106" s="15">
        <f>MAX(0,BG105*(1-INDEX($B$11:$B$63,48))*(1-E105))</f>
        <v/>
      </c>
      <c r="BI106" s="15">
        <f>MAX(0,BH105*(1-INDEX($B$11:$B$63,49))*(1-E105))</f>
        <v/>
      </c>
      <c r="BJ106" s="15">
        <f>MAX(0,BI105*(1-INDEX($B$11:$B$63,50))*(1-E105))</f>
        <v/>
      </c>
      <c r="BK106" s="15">
        <f>MAX(0,BJ105*(1-INDEX($B$11:$B$63,51))*(1-E105))</f>
        <v/>
      </c>
      <c r="BL106" s="15">
        <f>MAX(0,(BL105+BK105)*(1-INDEX($B$11:$B$63,53))*(1-E105))</f>
        <v/>
      </c>
    </row>
    <row r="107">
      <c r="A107" s="55" t="n">
        <v>41</v>
      </c>
      <c r="B107" s="15">
        <f>IF(A107&gt;Inputs!$C$62,"",SUM(M107:BK107))</f>
        <v/>
      </c>
      <c r="C107" s="15">
        <f>IF(A107&gt;Inputs!$C$62,"",INDEX(Trajectory!$C$23:$C$2000,A107))</f>
        <v/>
      </c>
      <c r="D107" s="15">
        <f>IF(A107&gt;Inputs!$C$62,"",SUM(L107:BK107))</f>
        <v/>
      </c>
      <c r="E107" s="12">
        <f>IF(A107&gt;Inputs!$C$62,"",INDEX(Trajectory!$AG$23:$AG$2000,A107))</f>
        <v/>
      </c>
      <c r="F107" s="12">
        <f>IF(D107=0,0,SUMPRODUCT(L107:BK107,$B$11:$B$63)/D107)</f>
        <v/>
      </c>
      <c r="G107" s="12">
        <f>IF(D107=0,0,MIN(0.95,1-(1-F107)*(1-E107)))</f>
        <v/>
      </c>
      <c r="H107" s="15">
        <f>IF(D107=0,0,D107*G107)</f>
        <v/>
      </c>
      <c r="I107" s="15">
        <f>IF(D107=0,0,D107-H107)</f>
        <v/>
      </c>
      <c r="L107" s="15">
        <f>C107</f>
        <v/>
      </c>
      <c r="M107" s="15">
        <f>MAX(0,L106*(1-INDEX($B$11:$B$63,1))*(1-E106))</f>
        <v/>
      </c>
      <c r="N107" s="15">
        <f>MAX(0,M106*(1-INDEX($B$11:$B$63,2))*(1-E106))</f>
        <v/>
      </c>
      <c r="O107" s="15">
        <f>MAX(0,N106*(1-INDEX($B$11:$B$63,3))*(1-E106))</f>
        <v/>
      </c>
      <c r="P107" s="15">
        <f>MAX(0,O106*(1-INDEX($B$11:$B$63,4))*(1-E106))</f>
        <v/>
      </c>
      <c r="Q107" s="15">
        <f>MAX(0,P106*(1-INDEX($B$11:$B$63,5))*(1-E106))</f>
        <v/>
      </c>
      <c r="R107" s="15">
        <f>MAX(0,Q106*(1-INDEX($B$11:$B$63,6))*(1-E106))</f>
        <v/>
      </c>
      <c r="S107" s="15">
        <f>MAX(0,R106*(1-INDEX($B$11:$B$63,7))*(1-E106))</f>
        <v/>
      </c>
      <c r="T107" s="15">
        <f>MAX(0,S106*(1-INDEX($B$11:$B$63,8))*(1-E106))</f>
        <v/>
      </c>
      <c r="U107" s="15">
        <f>MAX(0,T106*(1-INDEX($B$11:$B$63,9))*(1-E106))</f>
        <v/>
      </c>
      <c r="V107" s="15">
        <f>MAX(0,U106*(1-INDEX($B$11:$B$63,10))*(1-E106))</f>
        <v/>
      </c>
      <c r="W107" s="15">
        <f>MAX(0,V106*(1-INDEX($B$11:$B$63,11))*(1-E106))</f>
        <v/>
      </c>
      <c r="X107" s="15">
        <f>MAX(0,W106*(1-INDEX($B$11:$B$63,12))*(1-E106))</f>
        <v/>
      </c>
      <c r="Y107" s="15">
        <f>MAX(0,X106*(1-INDEX($B$11:$B$63,13))*(1-E106))</f>
        <v/>
      </c>
      <c r="Z107" s="15">
        <f>MAX(0,Y106*(1-INDEX($B$11:$B$63,14))*(1-E106))</f>
        <v/>
      </c>
      <c r="AA107" s="15">
        <f>MAX(0,Z106*(1-INDEX($B$11:$B$63,15))*(1-E106))</f>
        <v/>
      </c>
      <c r="AB107" s="15">
        <f>MAX(0,AA106*(1-INDEX($B$11:$B$63,16))*(1-E106))</f>
        <v/>
      </c>
      <c r="AC107" s="15">
        <f>MAX(0,AB106*(1-INDEX($B$11:$B$63,17))*(1-E106))</f>
        <v/>
      </c>
      <c r="AD107" s="15">
        <f>MAX(0,AC106*(1-INDEX($B$11:$B$63,18))*(1-E106))</f>
        <v/>
      </c>
      <c r="AE107" s="15">
        <f>MAX(0,AD106*(1-INDEX($B$11:$B$63,19))*(1-E106))</f>
        <v/>
      </c>
      <c r="AF107" s="15">
        <f>MAX(0,AE106*(1-INDEX($B$11:$B$63,20))*(1-E106))</f>
        <v/>
      </c>
      <c r="AG107" s="15">
        <f>MAX(0,AF106*(1-INDEX($B$11:$B$63,21))*(1-E106))</f>
        <v/>
      </c>
      <c r="AH107" s="15">
        <f>MAX(0,AG106*(1-INDEX($B$11:$B$63,22))*(1-E106))</f>
        <v/>
      </c>
      <c r="AI107" s="15">
        <f>MAX(0,AH106*(1-INDEX($B$11:$B$63,23))*(1-E106))</f>
        <v/>
      </c>
      <c r="AJ107" s="15">
        <f>MAX(0,AI106*(1-INDEX($B$11:$B$63,24))*(1-E106))</f>
        <v/>
      </c>
      <c r="AK107" s="15">
        <f>MAX(0,AJ106*(1-INDEX($B$11:$B$63,25))*(1-E106))</f>
        <v/>
      </c>
      <c r="AL107" s="15">
        <f>MAX(0,AK106*(1-INDEX($B$11:$B$63,26))*(1-E106))</f>
        <v/>
      </c>
      <c r="AM107" s="15">
        <f>MAX(0,AL106*(1-INDEX($B$11:$B$63,27))*(1-E106))</f>
        <v/>
      </c>
      <c r="AN107" s="15">
        <f>MAX(0,AM106*(1-INDEX($B$11:$B$63,28))*(1-E106))</f>
        <v/>
      </c>
      <c r="AO107" s="15">
        <f>MAX(0,AN106*(1-INDEX($B$11:$B$63,29))*(1-E106))</f>
        <v/>
      </c>
      <c r="AP107" s="15">
        <f>MAX(0,AO106*(1-INDEX($B$11:$B$63,30))*(1-E106))</f>
        <v/>
      </c>
      <c r="AQ107" s="15">
        <f>MAX(0,AP106*(1-INDEX($B$11:$B$63,31))*(1-E106))</f>
        <v/>
      </c>
      <c r="AR107" s="15">
        <f>MAX(0,AQ106*(1-INDEX($B$11:$B$63,32))*(1-E106))</f>
        <v/>
      </c>
      <c r="AS107" s="15">
        <f>MAX(0,AR106*(1-INDEX($B$11:$B$63,33))*(1-E106))</f>
        <v/>
      </c>
      <c r="AT107" s="15">
        <f>MAX(0,AS106*(1-INDEX($B$11:$B$63,34))*(1-E106))</f>
        <v/>
      </c>
      <c r="AU107" s="15">
        <f>MAX(0,AT106*(1-INDEX($B$11:$B$63,35))*(1-E106))</f>
        <v/>
      </c>
      <c r="AV107" s="15">
        <f>MAX(0,AU106*(1-INDEX($B$11:$B$63,36))*(1-E106))</f>
        <v/>
      </c>
      <c r="AW107" s="15">
        <f>MAX(0,AV106*(1-INDEX($B$11:$B$63,37))*(1-E106))</f>
        <v/>
      </c>
      <c r="AX107" s="15">
        <f>MAX(0,AW106*(1-INDEX($B$11:$B$63,38))*(1-E106))</f>
        <v/>
      </c>
      <c r="AY107" s="15">
        <f>MAX(0,AX106*(1-INDEX($B$11:$B$63,39))*(1-E106))</f>
        <v/>
      </c>
      <c r="AZ107" s="15">
        <f>MAX(0,AY106*(1-INDEX($B$11:$B$63,40))*(1-E106))</f>
        <v/>
      </c>
      <c r="BA107" s="15">
        <f>MAX(0,AZ106*(1-INDEX($B$11:$B$63,41))*(1-E106))</f>
        <v/>
      </c>
      <c r="BB107" s="15">
        <f>MAX(0,BA106*(1-INDEX($B$11:$B$63,42))*(1-E106))</f>
        <v/>
      </c>
      <c r="BC107" s="15">
        <f>MAX(0,BB106*(1-INDEX($B$11:$B$63,43))*(1-E106))</f>
        <v/>
      </c>
      <c r="BD107" s="15">
        <f>MAX(0,BC106*(1-INDEX($B$11:$B$63,44))*(1-E106))</f>
        <v/>
      </c>
      <c r="BE107" s="15">
        <f>MAX(0,BD106*(1-INDEX($B$11:$B$63,45))*(1-E106))</f>
        <v/>
      </c>
      <c r="BF107" s="15">
        <f>MAX(0,BE106*(1-INDEX($B$11:$B$63,46))*(1-E106))</f>
        <v/>
      </c>
      <c r="BG107" s="15">
        <f>MAX(0,BF106*(1-INDEX($B$11:$B$63,47))*(1-E106))</f>
        <v/>
      </c>
      <c r="BH107" s="15">
        <f>MAX(0,BG106*(1-INDEX($B$11:$B$63,48))*(1-E106))</f>
        <v/>
      </c>
      <c r="BI107" s="15">
        <f>MAX(0,BH106*(1-INDEX($B$11:$B$63,49))*(1-E106))</f>
        <v/>
      </c>
      <c r="BJ107" s="15">
        <f>MAX(0,BI106*(1-INDEX($B$11:$B$63,50))*(1-E106))</f>
        <v/>
      </c>
      <c r="BK107" s="15">
        <f>MAX(0,BJ106*(1-INDEX($B$11:$B$63,51))*(1-E106))</f>
        <v/>
      </c>
      <c r="BL107" s="15">
        <f>MAX(0,(BL106+BK106)*(1-INDEX($B$11:$B$63,53))*(1-E106))</f>
        <v/>
      </c>
    </row>
    <row r="108">
      <c r="A108" s="55" t="n">
        <v>42</v>
      </c>
      <c r="B108" s="15">
        <f>IF(A108&gt;Inputs!$C$62,"",SUM(M108:BK108))</f>
        <v/>
      </c>
      <c r="C108" s="15">
        <f>IF(A108&gt;Inputs!$C$62,"",INDEX(Trajectory!$C$23:$C$2000,A108))</f>
        <v/>
      </c>
      <c r="D108" s="15">
        <f>IF(A108&gt;Inputs!$C$62,"",SUM(L108:BK108))</f>
        <v/>
      </c>
      <c r="E108" s="12">
        <f>IF(A108&gt;Inputs!$C$62,"",INDEX(Trajectory!$AG$23:$AG$2000,A108))</f>
        <v/>
      </c>
      <c r="F108" s="12">
        <f>IF(D108=0,0,SUMPRODUCT(L108:BK108,$B$11:$B$63)/D108)</f>
        <v/>
      </c>
      <c r="G108" s="12">
        <f>IF(D108=0,0,MIN(0.95,1-(1-F108)*(1-E108)))</f>
        <v/>
      </c>
      <c r="H108" s="15">
        <f>IF(D108=0,0,D108*G108)</f>
        <v/>
      </c>
      <c r="I108" s="15">
        <f>IF(D108=0,0,D108-H108)</f>
        <v/>
      </c>
      <c r="L108" s="15">
        <f>C108</f>
        <v/>
      </c>
      <c r="M108" s="15">
        <f>MAX(0,L107*(1-INDEX($B$11:$B$63,1))*(1-E107))</f>
        <v/>
      </c>
      <c r="N108" s="15">
        <f>MAX(0,M107*(1-INDEX($B$11:$B$63,2))*(1-E107))</f>
        <v/>
      </c>
      <c r="O108" s="15">
        <f>MAX(0,N107*(1-INDEX($B$11:$B$63,3))*(1-E107))</f>
        <v/>
      </c>
      <c r="P108" s="15">
        <f>MAX(0,O107*(1-INDEX($B$11:$B$63,4))*(1-E107))</f>
        <v/>
      </c>
      <c r="Q108" s="15">
        <f>MAX(0,P107*(1-INDEX($B$11:$B$63,5))*(1-E107))</f>
        <v/>
      </c>
      <c r="R108" s="15">
        <f>MAX(0,Q107*(1-INDEX($B$11:$B$63,6))*(1-E107))</f>
        <v/>
      </c>
      <c r="S108" s="15">
        <f>MAX(0,R107*(1-INDEX($B$11:$B$63,7))*(1-E107))</f>
        <v/>
      </c>
      <c r="T108" s="15">
        <f>MAX(0,S107*(1-INDEX($B$11:$B$63,8))*(1-E107))</f>
        <v/>
      </c>
      <c r="U108" s="15">
        <f>MAX(0,T107*(1-INDEX($B$11:$B$63,9))*(1-E107))</f>
        <v/>
      </c>
      <c r="V108" s="15">
        <f>MAX(0,U107*(1-INDEX($B$11:$B$63,10))*(1-E107))</f>
        <v/>
      </c>
      <c r="W108" s="15">
        <f>MAX(0,V107*(1-INDEX($B$11:$B$63,11))*(1-E107))</f>
        <v/>
      </c>
      <c r="X108" s="15">
        <f>MAX(0,W107*(1-INDEX($B$11:$B$63,12))*(1-E107))</f>
        <v/>
      </c>
      <c r="Y108" s="15">
        <f>MAX(0,X107*(1-INDEX($B$11:$B$63,13))*(1-E107))</f>
        <v/>
      </c>
      <c r="Z108" s="15">
        <f>MAX(0,Y107*(1-INDEX($B$11:$B$63,14))*(1-E107))</f>
        <v/>
      </c>
      <c r="AA108" s="15">
        <f>MAX(0,Z107*(1-INDEX($B$11:$B$63,15))*(1-E107))</f>
        <v/>
      </c>
      <c r="AB108" s="15">
        <f>MAX(0,AA107*(1-INDEX($B$11:$B$63,16))*(1-E107))</f>
        <v/>
      </c>
      <c r="AC108" s="15">
        <f>MAX(0,AB107*(1-INDEX($B$11:$B$63,17))*(1-E107))</f>
        <v/>
      </c>
      <c r="AD108" s="15">
        <f>MAX(0,AC107*(1-INDEX($B$11:$B$63,18))*(1-E107))</f>
        <v/>
      </c>
      <c r="AE108" s="15">
        <f>MAX(0,AD107*(1-INDEX($B$11:$B$63,19))*(1-E107))</f>
        <v/>
      </c>
      <c r="AF108" s="15">
        <f>MAX(0,AE107*(1-INDEX($B$11:$B$63,20))*(1-E107))</f>
        <v/>
      </c>
      <c r="AG108" s="15">
        <f>MAX(0,AF107*(1-INDEX($B$11:$B$63,21))*(1-E107))</f>
        <v/>
      </c>
      <c r="AH108" s="15">
        <f>MAX(0,AG107*(1-INDEX($B$11:$B$63,22))*(1-E107))</f>
        <v/>
      </c>
      <c r="AI108" s="15">
        <f>MAX(0,AH107*(1-INDEX($B$11:$B$63,23))*(1-E107))</f>
        <v/>
      </c>
      <c r="AJ108" s="15">
        <f>MAX(0,AI107*(1-INDEX($B$11:$B$63,24))*(1-E107))</f>
        <v/>
      </c>
      <c r="AK108" s="15">
        <f>MAX(0,AJ107*(1-INDEX($B$11:$B$63,25))*(1-E107))</f>
        <v/>
      </c>
      <c r="AL108" s="15">
        <f>MAX(0,AK107*(1-INDEX($B$11:$B$63,26))*(1-E107))</f>
        <v/>
      </c>
      <c r="AM108" s="15">
        <f>MAX(0,AL107*(1-INDEX($B$11:$B$63,27))*(1-E107))</f>
        <v/>
      </c>
      <c r="AN108" s="15">
        <f>MAX(0,AM107*(1-INDEX($B$11:$B$63,28))*(1-E107))</f>
        <v/>
      </c>
      <c r="AO108" s="15">
        <f>MAX(0,AN107*(1-INDEX($B$11:$B$63,29))*(1-E107))</f>
        <v/>
      </c>
      <c r="AP108" s="15">
        <f>MAX(0,AO107*(1-INDEX($B$11:$B$63,30))*(1-E107))</f>
        <v/>
      </c>
      <c r="AQ108" s="15">
        <f>MAX(0,AP107*(1-INDEX($B$11:$B$63,31))*(1-E107))</f>
        <v/>
      </c>
      <c r="AR108" s="15">
        <f>MAX(0,AQ107*(1-INDEX($B$11:$B$63,32))*(1-E107))</f>
        <v/>
      </c>
      <c r="AS108" s="15">
        <f>MAX(0,AR107*(1-INDEX($B$11:$B$63,33))*(1-E107))</f>
        <v/>
      </c>
      <c r="AT108" s="15">
        <f>MAX(0,AS107*(1-INDEX($B$11:$B$63,34))*(1-E107))</f>
        <v/>
      </c>
      <c r="AU108" s="15">
        <f>MAX(0,AT107*(1-INDEX($B$11:$B$63,35))*(1-E107))</f>
        <v/>
      </c>
      <c r="AV108" s="15">
        <f>MAX(0,AU107*(1-INDEX($B$11:$B$63,36))*(1-E107))</f>
        <v/>
      </c>
      <c r="AW108" s="15">
        <f>MAX(0,AV107*(1-INDEX($B$11:$B$63,37))*(1-E107))</f>
        <v/>
      </c>
      <c r="AX108" s="15">
        <f>MAX(0,AW107*(1-INDEX($B$11:$B$63,38))*(1-E107))</f>
        <v/>
      </c>
      <c r="AY108" s="15">
        <f>MAX(0,AX107*(1-INDEX($B$11:$B$63,39))*(1-E107))</f>
        <v/>
      </c>
      <c r="AZ108" s="15">
        <f>MAX(0,AY107*(1-INDEX($B$11:$B$63,40))*(1-E107))</f>
        <v/>
      </c>
      <c r="BA108" s="15">
        <f>MAX(0,AZ107*(1-INDEX($B$11:$B$63,41))*(1-E107))</f>
        <v/>
      </c>
      <c r="BB108" s="15">
        <f>MAX(0,BA107*(1-INDEX($B$11:$B$63,42))*(1-E107))</f>
        <v/>
      </c>
      <c r="BC108" s="15">
        <f>MAX(0,BB107*(1-INDEX($B$11:$B$63,43))*(1-E107))</f>
        <v/>
      </c>
      <c r="BD108" s="15">
        <f>MAX(0,BC107*(1-INDEX($B$11:$B$63,44))*(1-E107))</f>
        <v/>
      </c>
      <c r="BE108" s="15">
        <f>MAX(0,BD107*(1-INDEX($B$11:$B$63,45))*(1-E107))</f>
        <v/>
      </c>
      <c r="BF108" s="15">
        <f>MAX(0,BE107*(1-INDEX($B$11:$B$63,46))*(1-E107))</f>
        <v/>
      </c>
      <c r="BG108" s="15">
        <f>MAX(0,BF107*(1-INDEX($B$11:$B$63,47))*(1-E107))</f>
        <v/>
      </c>
      <c r="BH108" s="15">
        <f>MAX(0,BG107*(1-INDEX($B$11:$B$63,48))*(1-E107))</f>
        <v/>
      </c>
      <c r="BI108" s="15">
        <f>MAX(0,BH107*(1-INDEX($B$11:$B$63,49))*(1-E107))</f>
        <v/>
      </c>
      <c r="BJ108" s="15">
        <f>MAX(0,BI107*(1-INDEX($B$11:$B$63,50))*(1-E107))</f>
        <v/>
      </c>
      <c r="BK108" s="15">
        <f>MAX(0,BJ107*(1-INDEX($B$11:$B$63,51))*(1-E107))</f>
        <v/>
      </c>
      <c r="BL108" s="15">
        <f>MAX(0,(BL107+BK107)*(1-INDEX($B$11:$B$63,53))*(1-E107))</f>
        <v/>
      </c>
    </row>
    <row r="109">
      <c r="A109" s="55" t="n">
        <v>43</v>
      </c>
      <c r="B109" s="15">
        <f>IF(A109&gt;Inputs!$C$62,"",SUM(M109:BK109))</f>
        <v/>
      </c>
      <c r="C109" s="15">
        <f>IF(A109&gt;Inputs!$C$62,"",INDEX(Trajectory!$C$23:$C$2000,A109))</f>
        <v/>
      </c>
      <c r="D109" s="15">
        <f>IF(A109&gt;Inputs!$C$62,"",SUM(L109:BK109))</f>
        <v/>
      </c>
      <c r="E109" s="12">
        <f>IF(A109&gt;Inputs!$C$62,"",INDEX(Trajectory!$AG$23:$AG$2000,A109))</f>
        <v/>
      </c>
      <c r="F109" s="12">
        <f>IF(D109=0,0,SUMPRODUCT(L109:BK109,$B$11:$B$63)/D109)</f>
        <v/>
      </c>
      <c r="G109" s="12">
        <f>IF(D109=0,0,MIN(0.95,1-(1-F109)*(1-E109)))</f>
        <v/>
      </c>
      <c r="H109" s="15">
        <f>IF(D109=0,0,D109*G109)</f>
        <v/>
      </c>
      <c r="I109" s="15">
        <f>IF(D109=0,0,D109-H109)</f>
        <v/>
      </c>
      <c r="L109" s="15">
        <f>C109</f>
        <v/>
      </c>
      <c r="M109" s="15">
        <f>MAX(0,L108*(1-INDEX($B$11:$B$63,1))*(1-E108))</f>
        <v/>
      </c>
      <c r="N109" s="15">
        <f>MAX(0,M108*(1-INDEX($B$11:$B$63,2))*(1-E108))</f>
        <v/>
      </c>
      <c r="O109" s="15">
        <f>MAX(0,N108*(1-INDEX($B$11:$B$63,3))*(1-E108))</f>
        <v/>
      </c>
      <c r="P109" s="15">
        <f>MAX(0,O108*(1-INDEX($B$11:$B$63,4))*(1-E108))</f>
        <v/>
      </c>
      <c r="Q109" s="15">
        <f>MAX(0,P108*(1-INDEX($B$11:$B$63,5))*(1-E108))</f>
        <v/>
      </c>
      <c r="R109" s="15">
        <f>MAX(0,Q108*(1-INDEX($B$11:$B$63,6))*(1-E108))</f>
        <v/>
      </c>
      <c r="S109" s="15">
        <f>MAX(0,R108*(1-INDEX($B$11:$B$63,7))*(1-E108))</f>
        <v/>
      </c>
      <c r="T109" s="15">
        <f>MAX(0,S108*(1-INDEX($B$11:$B$63,8))*(1-E108))</f>
        <v/>
      </c>
      <c r="U109" s="15">
        <f>MAX(0,T108*(1-INDEX($B$11:$B$63,9))*(1-E108))</f>
        <v/>
      </c>
      <c r="V109" s="15">
        <f>MAX(0,U108*(1-INDEX($B$11:$B$63,10))*(1-E108))</f>
        <v/>
      </c>
      <c r="W109" s="15">
        <f>MAX(0,V108*(1-INDEX($B$11:$B$63,11))*(1-E108))</f>
        <v/>
      </c>
      <c r="X109" s="15">
        <f>MAX(0,W108*(1-INDEX($B$11:$B$63,12))*(1-E108))</f>
        <v/>
      </c>
      <c r="Y109" s="15">
        <f>MAX(0,X108*(1-INDEX($B$11:$B$63,13))*(1-E108))</f>
        <v/>
      </c>
      <c r="Z109" s="15">
        <f>MAX(0,Y108*(1-INDEX($B$11:$B$63,14))*(1-E108))</f>
        <v/>
      </c>
      <c r="AA109" s="15">
        <f>MAX(0,Z108*(1-INDEX($B$11:$B$63,15))*(1-E108))</f>
        <v/>
      </c>
      <c r="AB109" s="15">
        <f>MAX(0,AA108*(1-INDEX($B$11:$B$63,16))*(1-E108))</f>
        <v/>
      </c>
      <c r="AC109" s="15">
        <f>MAX(0,AB108*(1-INDEX($B$11:$B$63,17))*(1-E108))</f>
        <v/>
      </c>
      <c r="AD109" s="15">
        <f>MAX(0,AC108*(1-INDEX($B$11:$B$63,18))*(1-E108))</f>
        <v/>
      </c>
      <c r="AE109" s="15">
        <f>MAX(0,AD108*(1-INDEX($B$11:$B$63,19))*(1-E108))</f>
        <v/>
      </c>
      <c r="AF109" s="15">
        <f>MAX(0,AE108*(1-INDEX($B$11:$B$63,20))*(1-E108))</f>
        <v/>
      </c>
      <c r="AG109" s="15">
        <f>MAX(0,AF108*(1-INDEX($B$11:$B$63,21))*(1-E108))</f>
        <v/>
      </c>
      <c r="AH109" s="15">
        <f>MAX(0,AG108*(1-INDEX($B$11:$B$63,22))*(1-E108))</f>
        <v/>
      </c>
      <c r="AI109" s="15">
        <f>MAX(0,AH108*(1-INDEX($B$11:$B$63,23))*(1-E108))</f>
        <v/>
      </c>
      <c r="AJ109" s="15">
        <f>MAX(0,AI108*(1-INDEX($B$11:$B$63,24))*(1-E108))</f>
        <v/>
      </c>
      <c r="AK109" s="15">
        <f>MAX(0,AJ108*(1-INDEX($B$11:$B$63,25))*(1-E108))</f>
        <v/>
      </c>
      <c r="AL109" s="15">
        <f>MAX(0,AK108*(1-INDEX($B$11:$B$63,26))*(1-E108))</f>
        <v/>
      </c>
      <c r="AM109" s="15">
        <f>MAX(0,AL108*(1-INDEX($B$11:$B$63,27))*(1-E108))</f>
        <v/>
      </c>
      <c r="AN109" s="15">
        <f>MAX(0,AM108*(1-INDEX($B$11:$B$63,28))*(1-E108))</f>
        <v/>
      </c>
      <c r="AO109" s="15">
        <f>MAX(0,AN108*(1-INDEX($B$11:$B$63,29))*(1-E108))</f>
        <v/>
      </c>
      <c r="AP109" s="15">
        <f>MAX(0,AO108*(1-INDEX($B$11:$B$63,30))*(1-E108))</f>
        <v/>
      </c>
      <c r="AQ109" s="15">
        <f>MAX(0,AP108*(1-INDEX($B$11:$B$63,31))*(1-E108))</f>
        <v/>
      </c>
      <c r="AR109" s="15">
        <f>MAX(0,AQ108*(1-INDEX($B$11:$B$63,32))*(1-E108))</f>
        <v/>
      </c>
      <c r="AS109" s="15">
        <f>MAX(0,AR108*(1-INDEX($B$11:$B$63,33))*(1-E108))</f>
        <v/>
      </c>
      <c r="AT109" s="15">
        <f>MAX(0,AS108*(1-INDEX($B$11:$B$63,34))*(1-E108))</f>
        <v/>
      </c>
      <c r="AU109" s="15">
        <f>MAX(0,AT108*(1-INDEX($B$11:$B$63,35))*(1-E108))</f>
        <v/>
      </c>
      <c r="AV109" s="15">
        <f>MAX(0,AU108*(1-INDEX($B$11:$B$63,36))*(1-E108))</f>
        <v/>
      </c>
      <c r="AW109" s="15">
        <f>MAX(0,AV108*(1-INDEX($B$11:$B$63,37))*(1-E108))</f>
        <v/>
      </c>
      <c r="AX109" s="15">
        <f>MAX(0,AW108*(1-INDEX($B$11:$B$63,38))*(1-E108))</f>
        <v/>
      </c>
      <c r="AY109" s="15">
        <f>MAX(0,AX108*(1-INDEX($B$11:$B$63,39))*(1-E108))</f>
        <v/>
      </c>
      <c r="AZ109" s="15">
        <f>MAX(0,AY108*(1-INDEX($B$11:$B$63,40))*(1-E108))</f>
        <v/>
      </c>
      <c r="BA109" s="15">
        <f>MAX(0,AZ108*(1-INDEX($B$11:$B$63,41))*(1-E108))</f>
        <v/>
      </c>
      <c r="BB109" s="15">
        <f>MAX(0,BA108*(1-INDEX($B$11:$B$63,42))*(1-E108))</f>
        <v/>
      </c>
      <c r="BC109" s="15">
        <f>MAX(0,BB108*(1-INDEX($B$11:$B$63,43))*(1-E108))</f>
        <v/>
      </c>
      <c r="BD109" s="15">
        <f>MAX(0,BC108*(1-INDEX($B$11:$B$63,44))*(1-E108))</f>
        <v/>
      </c>
      <c r="BE109" s="15">
        <f>MAX(0,BD108*(1-INDEX($B$11:$B$63,45))*(1-E108))</f>
        <v/>
      </c>
      <c r="BF109" s="15">
        <f>MAX(0,BE108*(1-INDEX($B$11:$B$63,46))*(1-E108))</f>
        <v/>
      </c>
      <c r="BG109" s="15">
        <f>MAX(0,BF108*(1-INDEX($B$11:$B$63,47))*(1-E108))</f>
        <v/>
      </c>
      <c r="BH109" s="15">
        <f>MAX(0,BG108*(1-INDEX($B$11:$B$63,48))*(1-E108))</f>
        <v/>
      </c>
      <c r="BI109" s="15">
        <f>MAX(0,BH108*(1-INDEX($B$11:$B$63,49))*(1-E108))</f>
        <v/>
      </c>
      <c r="BJ109" s="15">
        <f>MAX(0,BI108*(1-INDEX($B$11:$B$63,50))*(1-E108))</f>
        <v/>
      </c>
      <c r="BK109" s="15">
        <f>MAX(0,BJ108*(1-INDEX($B$11:$B$63,51))*(1-E108))</f>
        <v/>
      </c>
      <c r="BL109" s="15">
        <f>MAX(0,(BL108+BK108)*(1-INDEX($B$11:$B$63,53))*(1-E108))</f>
        <v/>
      </c>
    </row>
    <row r="110">
      <c r="A110" s="55" t="n">
        <v>44</v>
      </c>
      <c r="B110" s="15">
        <f>IF(A110&gt;Inputs!$C$62,"",SUM(M110:BK110))</f>
        <v/>
      </c>
      <c r="C110" s="15">
        <f>IF(A110&gt;Inputs!$C$62,"",INDEX(Trajectory!$C$23:$C$2000,A110))</f>
        <v/>
      </c>
      <c r="D110" s="15">
        <f>IF(A110&gt;Inputs!$C$62,"",SUM(L110:BK110))</f>
        <v/>
      </c>
      <c r="E110" s="12">
        <f>IF(A110&gt;Inputs!$C$62,"",INDEX(Trajectory!$AG$23:$AG$2000,A110))</f>
        <v/>
      </c>
      <c r="F110" s="12">
        <f>IF(D110=0,0,SUMPRODUCT(L110:BK110,$B$11:$B$63)/D110)</f>
        <v/>
      </c>
      <c r="G110" s="12">
        <f>IF(D110=0,0,MIN(0.95,1-(1-F110)*(1-E110)))</f>
        <v/>
      </c>
      <c r="H110" s="15">
        <f>IF(D110=0,0,D110*G110)</f>
        <v/>
      </c>
      <c r="I110" s="15">
        <f>IF(D110=0,0,D110-H110)</f>
        <v/>
      </c>
      <c r="L110" s="15">
        <f>C110</f>
        <v/>
      </c>
      <c r="M110" s="15">
        <f>MAX(0,L109*(1-INDEX($B$11:$B$63,1))*(1-E109))</f>
        <v/>
      </c>
      <c r="N110" s="15">
        <f>MAX(0,M109*(1-INDEX($B$11:$B$63,2))*(1-E109))</f>
        <v/>
      </c>
      <c r="O110" s="15">
        <f>MAX(0,N109*(1-INDEX($B$11:$B$63,3))*(1-E109))</f>
        <v/>
      </c>
      <c r="P110" s="15">
        <f>MAX(0,O109*(1-INDEX($B$11:$B$63,4))*(1-E109))</f>
        <v/>
      </c>
      <c r="Q110" s="15">
        <f>MAX(0,P109*(1-INDEX($B$11:$B$63,5))*(1-E109))</f>
        <v/>
      </c>
      <c r="R110" s="15">
        <f>MAX(0,Q109*(1-INDEX($B$11:$B$63,6))*(1-E109))</f>
        <v/>
      </c>
      <c r="S110" s="15">
        <f>MAX(0,R109*(1-INDEX($B$11:$B$63,7))*(1-E109))</f>
        <v/>
      </c>
      <c r="T110" s="15">
        <f>MAX(0,S109*(1-INDEX($B$11:$B$63,8))*(1-E109))</f>
        <v/>
      </c>
      <c r="U110" s="15">
        <f>MAX(0,T109*(1-INDEX($B$11:$B$63,9))*(1-E109))</f>
        <v/>
      </c>
      <c r="V110" s="15">
        <f>MAX(0,U109*(1-INDEX($B$11:$B$63,10))*(1-E109))</f>
        <v/>
      </c>
      <c r="W110" s="15">
        <f>MAX(0,V109*(1-INDEX($B$11:$B$63,11))*(1-E109))</f>
        <v/>
      </c>
      <c r="X110" s="15">
        <f>MAX(0,W109*(1-INDEX($B$11:$B$63,12))*(1-E109))</f>
        <v/>
      </c>
      <c r="Y110" s="15">
        <f>MAX(0,X109*(1-INDEX($B$11:$B$63,13))*(1-E109))</f>
        <v/>
      </c>
      <c r="Z110" s="15">
        <f>MAX(0,Y109*(1-INDEX($B$11:$B$63,14))*(1-E109))</f>
        <v/>
      </c>
      <c r="AA110" s="15">
        <f>MAX(0,Z109*(1-INDEX($B$11:$B$63,15))*(1-E109))</f>
        <v/>
      </c>
      <c r="AB110" s="15">
        <f>MAX(0,AA109*(1-INDEX($B$11:$B$63,16))*(1-E109))</f>
        <v/>
      </c>
      <c r="AC110" s="15">
        <f>MAX(0,AB109*(1-INDEX($B$11:$B$63,17))*(1-E109))</f>
        <v/>
      </c>
      <c r="AD110" s="15">
        <f>MAX(0,AC109*(1-INDEX($B$11:$B$63,18))*(1-E109))</f>
        <v/>
      </c>
      <c r="AE110" s="15">
        <f>MAX(0,AD109*(1-INDEX($B$11:$B$63,19))*(1-E109))</f>
        <v/>
      </c>
      <c r="AF110" s="15">
        <f>MAX(0,AE109*(1-INDEX($B$11:$B$63,20))*(1-E109))</f>
        <v/>
      </c>
      <c r="AG110" s="15">
        <f>MAX(0,AF109*(1-INDEX($B$11:$B$63,21))*(1-E109))</f>
        <v/>
      </c>
      <c r="AH110" s="15">
        <f>MAX(0,AG109*(1-INDEX($B$11:$B$63,22))*(1-E109))</f>
        <v/>
      </c>
      <c r="AI110" s="15">
        <f>MAX(0,AH109*(1-INDEX($B$11:$B$63,23))*(1-E109))</f>
        <v/>
      </c>
      <c r="AJ110" s="15">
        <f>MAX(0,AI109*(1-INDEX($B$11:$B$63,24))*(1-E109))</f>
        <v/>
      </c>
      <c r="AK110" s="15">
        <f>MAX(0,AJ109*(1-INDEX($B$11:$B$63,25))*(1-E109))</f>
        <v/>
      </c>
      <c r="AL110" s="15">
        <f>MAX(0,AK109*(1-INDEX($B$11:$B$63,26))*(1-E109))</f>
        <v/>
      </c>
      <c r="AM110" s="15">
        <f>MAX(0,AL109*(1-INDEX($B$11:$B$63,27))*(1-E109))</f>
        <v/>
      </c>
      <c r="AN110" s="15">
        <f>MAX(0,AM109*(1-INDEX($B$11:$B$63,28))*(1-E109))</f>
        <v/>
      </c>
      <c r="AO110" s="15">
        <f>MAX(0,AN109*(1-INDEX($B$11:$B$63,29))*(1-E109))</f>
        <v/>
      </c>
      <c r="AP110" s="15">
        <f>MAX(0,AO109*(1-INDEX($B$11:$B$63,30))*(1-E109))</f>
        <v/>
      </c>
      <c r="AQ110" s="15">
        <f>MAX(0,AP109*(1-INDEX($B$11:$B$63,31))*(1-E109))</f>
        <v/>
      </c>
      <c r="AR110" s="15">
        <f>MAX(0,AQ109*(1-INDEX($B$11:$B$63,32))*(1-E109))</f>
        <v/>
      </c>
      <c r="AS110" s="15">
        <f>MAX(0,AR109*(1-INDEX($B$11:$B$63,33))*(1-E109))</f>
        <v/>
      </c>
      <c r="AT110" s="15">
        <f>MAX(0,AS109*(1-INDEX($B$11:$B$63,34))*(1-E109))</f>
        <v/>
      </c>
      <c r="AU110" s="15">
        <f>MAX(0,AT109*(1-INDEX($B$11:$B$63,35))*(1-E109))</f>
        <v/>
      </c>
      <c r="AV110" s="15">
        <f>MAX(0,AU109*(1-INDEX($B$11:$B$63,36))*(1-E109))</f>
        <v/>
      </c>
      <c r="AW110" s="15">
        <f>MAX(0,AV109*(1-INDEX($B$11:$B$63,37))*(1-E109))</f>
        <v/>
      </c>
      <c r="AX110" s="15">
        <f>MAX(0,AW109*(1-INDEX($B$11:$B$63,38))*(1-E109))</f>
        <v/>
      </c>
      <c r="AY110" s="15">
        <f>MAX(0,AX109*(1-INDEX($B$11:$B$63,39))*(1-E109))</f>
        <v/>
      </c>
      <c r="AZ110" s="15">
        <f>MAX(0,AY109*(1-INDEX($B$11:$B$63,40))*(1-E109))</f>
        <v/>
      </c>
      <c r="BA110" s="15">
        <f>MAX(0,AZ109*(1-INDEX($B$11:$B$63,41))*(1-E109))</f>
        <v/>
      </c>
      <c r="BB110" s="15">
        <f>MAX(0,BA109*(1-INDEX($B$11:$B$63,42))*(1-E109))</f>
        <v/>
      </c>
      <c r="BC110" s="15">
        <f>MAX(0,BB109*(1-INDEX($B$11:$B$63,43))*(1-E109))</f>
        <v/>
      </c>
      <c r="BD110" s="15">
        <f>MAX(0,BC109*(1-INDEX($B$11:$B$63,44))*(1-E109))</f>
        <v/>
      </c>
      <c r="BE110" s="15">
        <f>MAX(0,BD109*(1-INDEX($B$11:$B$63,45))*(1-E109))</f>
        <v/>
      </c>
      <c r="BF110" s="15">
        <f>MAX(0,BE109*(1-INDEX($B$11:$B$63,46))*(1-E109))</f>
        <v/>
      </c>
      <c r="BG110" s="15">
        <f>MAX(0,BF109*(1-INDEX($B$11:$B$63,47))*(1-E109))</f>
        <v/>
      </c>
      <c r="BH110" s="15">
        <f>MAX(0,BG109*(1-INDEX($B$11:$B$63,48))*(1-E109))</f>
        <v/>
      </c>
      <c r="BI110" s="15">
        <f>MAX(0,BH109*(1-INDEX($B$11:$B$63,49))*(1-E109))</f>
        <v/>
      </c>
      <c r="BJ110" s="15">
        <f>MAX(0,BI109*(1-INDEX($B$11:$B$63,50))*(1-E109))</f>
        <v/>
      </c>
      <c r="BK110" s="15">
        <f>MAX(0,BJ109*(1-INDEX($B$11:$B$63,51))*(1-E109))</f>
        <v/>
      </c>
      <c r="BL110" s="15">
        <f>MAX(0,(BL109+BK109)*(1-INDEX($B$11:$B$63,53))*(1-E109))</f>
        <v/>
      </c>
    </row>
    <row r="111">
      <c r="A111" s="55" t="n">
        <v>45</v>
      </c>
      <c r="B111" s="15">
        <f>IF(A111&gt;Inputs!$C$62,"",SUM(M111:BK111))</f>
        <v/>
      </c>
      <c r="C111" s="15">
        <f>IF(A111&gt;Inputs!$C$62,"",INDEX(Trajectory!$C$23:$C$2000,A111))</f>
        <v/>
      </c>
      <c r="D111" s="15">
        <f>IF(A111&gt;Inputs!$C$62,"",SUM(L111:BK111))</f>
        <v/>
      </c>
      <c r="E111" s="12">
        <f>IF(A111&gt;Inputs!$C$62,"",INDEX(Trajectory!$AG$23:$AG$2000,A111))</f>
        <v/>
      </c>
      <c r="F111" s="12">
        <f>IF(D111=0,0,SUMPRODUCT(L111:BK111,$B$11:$B$63)/D111)</f>
        <v/>
      </c>
      <c r="G111" s="12">
        <f>IF(D111=0,0,MIN(0.95,1-(1-F111)*(1-E111)))</f>
        <v/>
      </c>
      <c r="H111" s="15">
        <f>IF(D111=0,0,D111*G111)</f>
        <v/>
      </c>
      <c r="I111" s="15">
        <f>IF(D111=0,0,D111-H111)</f>
        <v/>
      </c>
      <c r="L111" s="15">
        <f>C111</f>
        <v/>
      </c>
      <c r="M111" s="15">
        <f>MAX(0,L110*(1-INDEX($B$11:$B$63,1))*(1-E110))</f>
        <v/>
      </c>
      <c r="N111" s="15">
        <f>MAX(0,M110*(1-INDEX($B$11:$B$63,2))*(1-E110))</f>
        <v/>
      </c>
      <c r="O111" s="15">
        <f>MAX(0,N110*(1-INDEX($B$11:$B$63,3))*(1-E110))</f>
        <v/>
      </c>
      <c r="P111" s="15">
        <f>MAX(0,O110*(1-INDEX($B$11:$B$63,4))*(1-E110))</f>
        <v/>
      </c>
      <c r="Q111" s="15">
        <f>MAX(0,P110*(1-INDEX($B$11:$B$63,5))*(1-E110))</f>
        <v/>
      </c>
      <c r="R111" s="15">
        <f>MAX(0,Q110*(1-INDEX($B$11:$B$63,6))*(1-E110))</f>
        <v/>
      </c>
      <c r="S111" s="15">
        <f>MAX(0,R110*(1-INDEX($B$11:$B$63,7))*(1-E110))</f>
        <v/>
      </c>
      <c r="T111" s="15">
        <f>MAX(0,S110*(1-INDEX($B$11:$B$63,8))*(1-E110))</f>
        <v/>
      </c>
      <c r="U111" s="15">
        <f>MAX(0,T110*(1-INDEX($B$11:$B$63,9))*(1-E110))</f>
        <v/>
      </c>
      <c r="V111" s="15">
        <f>MAX(0,U110*(1-INDEX($B$11:$B$63,10))*(1-E110))</f>
        <v/>
      </c>
      <c r="W111" s="15">
        <f>MAX(0,V110*(1-INDEX($B$11:$B$63,11))*(1-E110))</f>
        <v/>
      </c>
      <c r="X111" s="15">
        <f>MAX(0,W110*(1-INDEX($B$11:$B$63,12))*(1-E110))</f>
        <v/>
      </c>
      <c r="Y111" s="15">
        <f>MAX(0,X110*(1-INDEX($B$11:$B$63,13))*(1-E110))</f>
        <v/>
      </c>
      <c r="Z111" s="15">
        <f>MAX(0,Y110*(1-INDEX($B$11:$B$63,14))*(1-E110))</f>
        <v/>
      </c>
      <c r="AA111" s="15">
        <f>MAX(0,Z110*(1-INDEX($B$11:$B$63,15))*(1-E110))</f>
        <v/>
      </c>
      <c r="AB111" s="15">
        <f>MAX(0,AA110*(1-INDEX($B$11:$B$63,16))*(1-E110))</f>
        <v/>
      </c>
      <c r="AC111" s="15">
        <f>MAX(0,AB110*(1-INDEX($B$11:$B$63,17))*(1-E110))</f>
        <v/>
      </c>
      <c r="AD111" s="15">
        <f>MAX(0,AC110*(1-INDEX($B$11:$B$63,18))*(1-E110))</f>
        <v/>
      </c>
      <c r="AE111" s="15">
        <f>MAX(0,AD110*(1-INDEX($B$11:$B$63,19))*(1-E110))</f>
        <v/>
      </c>
      <c r="AF111" s="15">
        <f>MAX(0,AE110*(1-INDEX($B$11:$B$63,20))*(1-E110))</f>
        <v/>
      </c>
      <c r="AG111" s="15">
        <f>MAX(0,AF110*(1-INDEX($B$11:$B$63,21))*(1-E110))</f>
        <v/>
      </c>
      <c r="AH111" s="15">
        <f>MAX(0,AG110*(1-INDEX($B$11:$B$63,22))*(1-E110))</f>
        <v/>
      </c>
      <c r="AI111" s="15">
        <f>MAX(0,AH110*(1-INDEX($B$11:$B$63,23))*(1-E110))</f>
        <v/>
      </c>
      <c r="AJ111" s="15">
        <f>MAX(0,AI110*(1-INDEX($B$11:$B$63,24))*(1-E110))</f>
        <v/>
      </c>
      <c r="AK111" s="15">
        <f>MAX(0,AJ110*(1-INDEX($B$11:$B$63,25))*(1-E110))</f>
        <v/>
      </c>
      <c r="AL111" s="15">
        <f>MAX(0,AK110*(1-INDEX($B$11:$B$63,26))*(1-E110))</f>
        <v/>
      </c>
      <c r="AM111" s="15">
        <f>MAX(0,AL110*(1-INDEX($B$11:$B$63,27))*(1-E110))</f>
        <v/>
      </c>
      <c r="AN111" s="15">
        <f>MAX(0,AM110*(1-INDEX($B$11:$B$63,28))*(1-E110))</f>
        <v/>
      </c>
      <c r="AO111" s="15">
        <f>MAX(0,AN110*(1-INDEX($B$11:$B$63,29))*(1-E110))</f>
        <v/>
      </c>
      <c r="AP111" s="15">
        <f>MAX(0,AO110*(1-INDEX($B$11:$B$63,30))*(1-E110))</f>
        <v/>
      </c>
      <c r="AQ111" s="15">
        <f>MAX(0,AP110*(1-INDEX($B$11:$B$63,31))*(1-E110))</f>
        <v/>
      </c>
      <c r="AR111" s="15">
        <f>MAX(0,AQ110*(1-INDEX($B$11:$B$63,32))*(1-E110))</f>
        <v/>
      </c>
      <c r="AS111" s="15">
        <f>MAX(0,AR110*(1-INDEX($B$11:$B$63,33))*(1-E110))</f>
        <v/>
      </c>
      <c r="AT111" s="15">
        <f>MAX(0,AS110*(1-INDEX($B$11:$B$63,34))*(1-E110))</f>
        <v/>
      </c>
      <c r="AU111" s="15">
        <f>MAX(0,AT110*(1-INDEX($B$11:$B$63,35))*(1-E110))</f>
        <v/>
      </c>
      <c r="AV111" s="15">
        <f>MAX(0,AU110*(1-INDEX($B$11:$B$63,36))*(1-E110))</f>
        <v/>
      </c>
      <c r="AW111" s="15">
        <f>MAX(0,AV110*(1-INDEX($B$11:$B$63,37))*(1-E110))</f>
        <v/>
      </c>
      <c r="AX111" s="15">
        <f>MAX(0,AW110*(1-INDEX($B$11:$B$63,38))*(1-E110))</f>
        <v/>
      </c>
      <c r="AY111" s="15">
        <f>MAX(0,AX110*(1-INDEX($B$11:$B$63,39))*(1-E110))</f>
        <v/>
      </c>
      <c r="AZ111" s="15">
        <f>MAX(0,AY110*(1-INDEX($B$11:$B$63,40))*(1-E110))</f>
        <v/>
      </c>
      <c r="BA111" s="15">
        <f>MAX(0,AZ110*(1-INDEX($B$11:$B$63,41))*(1-E110))</f>
        <v/>
      </c>
      <c r="BB111" s="15">
        <f>MAX(0,BA110*(1-INDEX($B$11:$B$63,42))*(1-E110))</f>
        <v/>
      </c>
      <c r="BC111" s="15">
        <f>MAX(0,BB110*(1-INDEX($B$11:$B$63,43))*(1-E110))</f>
        <v/>
      </c>
      <c r="BD111" s="15">
        <f>MAX(0,BC110*(1-INDEX($B$11:$B$63,44))*(1-E110))</f>
        <v/>
      </c>
      <c r="BE111" s="15">
        <f>MAX(0,BD110*(1-INDEX($B$11:$B$63,45))*(1-E110))</f>
        <v/>
      </c>
      <c r="BF111" s="15">
        <f>MAX(0,BE110*(1-INDEX($B$11:$B$63,46))*(1-E110))</f>
        <v/>
      </c>
      <c r="BG111" s="15">
        <f>MAX(0,BF110*(1-INDEX($B$11:$B$63,47))*(1-E110))</f>
        <v/>
      </c>
      <c r="BH111" s="15">
        <f>MAX(0,BG110*(1-INDEX($B$11:$B$63,48))*(1-E110))</f>
        <v/>
      </c>
      <c r="BI111" s="15">
        <f>MAX(0,BH110*(1-INDEX($B$11:$B$63,49))*(1-E110))</f>
        <v/>
      </c>
      <c r="BJ111" s="15">
        <f>MAX(0,BI110*(1-INDEX($B$11:$B$63,50))*(1-E110))</f>
        <v/>
      </c>
      <c r="BK111" s="15">
        <f>MAX(0,BJ110*(1-INDEX($B$11:$B$63,51))*(1-E110))</f>
        <v/>
      </c>
      <c r="BL111" s="15">
        <f>MAX(0,(BL110+BK110)*(1-INDEX($B$11:$B$63,53))*(1-E110))</f>
        <v/>
      </c>
    </row>
    <row r="112">
      <c r="A112" s="55" t="n">
        <v>46</v>
      </c>
      <c r="B112" s="15">
        <f>IF(A112&gt;Inputs!$C$62,"",SUM(M112:BK112))</f>
        <v/>
      </c>
      <c r="C112" s="15">
        <f>IF(A112&gt;Inputs!$C$62,"",INDEX(Trajectory!$C$23:$C$2000,A112))</f>
        <v/>
      </c>
      <c r="D112" s="15">
        <f>IF(A112&gt;Inputs!$C$62,"",SUM(L112:BK112))</f>
        <v/>
      </c>
      <c r="E112" s="12">
        <f>IF(A112&gt;Inputs!$C$62,"",INDEX(Trajectory!$AG$23:$AG$2000,A112))</f>
        <v/>
      </c>
      <c r="F112" s="12">
        <f>IF(D112=0,0,SUMPRODUCT(L112:BK112,$B$11:$B$63)/D112)</f>
        <v/>
      </c>
      <c r="G112" s="12">
        <f>IF(D112=0,0,MIN(0.95,1-(1-F112)*(1-E112)))</f>
        <v/>
      </c>
      <c r="H112" s="15">
        <f>IF(D112=0,0,D112*G112)</f>
        <v/>
      </c>
      <c r="I112" s="15">
        <f>IF(D112=0,0,D112-H112)</f>
        <v/>
      </c>
      <c r="L112" s="15">
        <f>C112</f>
        <v/>
      </c>
      <c r="M112" s="15">
        <f>MAX(0,L111*(1-INDEX($B$11:$B$63,1))*(1-E111))</f>
        <v/>
      </c>
      <c r="N112" s="15">
        <f>MAX(0,M111*(1-INDEX($B$11:$B$63,2))*(1-E111))</f>
        <v/>
      </c>
      <c r="O112" s="15">
        <f>MAX(0,N111*(1-INDEX($B$11:$B$63,3))*(1-E111))</f>
        <v/>
      </c>
      <c r="P112" s="15">
        <f>MAX(0,O111*(1-INDEX($B$11:$B$63,4))*(1-E111))</f>
        <v/>
      </c>
      <c r="Q112" s="15">
        <f>MAX(0,P111*(1-INDEX($B$11:$B$63,5))*(1-E111))</f>
        <v/>
      </c>
      <c r="R112" s="15">
        <f>MAX(0,Q111*(1-INDEX($B$11:$B$63,6))*(1-E111))</f>
        <v/>
      </c>
      <c r="S112" s="15">
        <f>MAX(0,R111*(1-INDEX($B$11:$B$63,7))*(1-E111))</f>
        <v/>
      </c>
      <c r="T112" s="15">
        <f>MAX(0,S111*(1-INDEX($B$11:$B$63,8))*(1-E111))</f>
        <v/>
      </c>
      <c r="U112" s="15">
        <f>MAX(0,T111*(1-INDEX($B$11:$B$63,9))*(1-E111))</f>
        <v/>
      </c>
      <c r="V112" s="15">
        <f>MAX(0,U111*(1-INDEX($B$11:$B$63,10))*(1-E111))</f>
        <v/>
      </c>
      <c r="W112" s="15">
        <f>MAX(0,V111*(1-INDEX($B$11:$B$63,11))*(1-E111))</f>
        <v/>
      </c>
      <c r="X112" s="15">
        <f>MAX(0,W111*(1-INDEX($B$11:$B$63,12))*(1-E111))</f>
        <v/>
      </c>
      <c r="Y112" s="15">
        <f>MAX(0,X111*(1-INDEX($B$11:$B$63,13))*(1-E111))</f>
        <v/>
      </c>
      <c r="Z112" s="15">
        <f>MAX(0,Y111*(1-INDEX($B$11:$B$63,14))*(1-E111))</f>
        <v/>
      </c>
      <c r="AA112" s="15">
        <f>MAX(0,Z111*(1-INDEX($B$11:$B$63,15))*(1-E111))</f>
        <v/>
      </c>
      <c r="AB112" s="15">
        <f>MAX(0,AA111*(1-INDEX($B$11:$B$63,16))*(1-E111))</f>
        <v/>
      </c>
      <c r="AC112" s="15">
        <f>MAX(0,AB111*(1-INDEX($B$11:$B$63,17))*(1-E111))</f>
        <v/>
      </c>
      <c r="AD112" s="15">
        <f>MAX(0,AC111*(1-INDEX($B$11:$B$63,18))*(1-E111))</f>
        <v/>
      </c>
      <c r="AE112" s="15">
        <f>MAX(0,AD111*(1-INDEX($B$11:$B$63,19))*(1-E111))</f>
        <v/>
      </c>
      <c r="AF112" s="15">
        <f>MAX(0,AE111*(1-INDEX($B$11:$B$63,20))*(1-E111))</f>
        <v/>
      </c>
      <c r="AG112" s="15">
        <f>MAX(0,AF111*(1-INDEX($B$11:$B$63,21))*(1-E111))</f>
        <v/>
      </c>
      <c r="AH112" s="15">
        <f>MAX(0,AG111*(1-INDEX($B$11:$B$63,22))*(1-E111))</f>
        <v/>
      </c>
      <c r="AI112" s="15">
        <f>MAX(0,AH111*(1-INDEX($B$11:$B$63,23))*(1-E111))</f>
        <v/>
      </c>
      <c r="AJ112" s="15">
        <f>MAX(0,AI111*(1-INDEX($B$11:$B$63,24))*(1-E111))</f>
        <v/>
      </c>
      <c r="AK112" s="15">
        <f>MAX(0,AJ111*(1-INDEX($B$11:$B$63,25))*(1-E111))</f>
        <v/>
      </c>
      <c r="AL112" s="15">
        <f>MAX(0,AK111*(1-INDEX($B$11:$B$63,26))*(1-E111))</f>
        <v/>
      </c>
      <c r="AM112" s="15">
        <f>MAX(0,AL111*(1-INDEX($B$11:$B$63,27))*(1-E111))</f>
        <v/>
      </c>
      <c r="AN112" s="15">
        <f>MAX(0,AM111*(1-INDEX($B$11:$B$63,28))*(1-E111))</f>
        <v/>
      </c>
      <c r="AO112" s="15">
        <f>MAX(0,AN111*(1-INDEX($B$11:$B$63,29))*(1-E111))</f>
        <v/>
      </c>
      <c r="AP112" s="15">
        <f>MAX(0,AO111*(1-INDEX($B$11:$B$63,30))*(1-E111))</f>
        <v/>
      </c>
      <c r="AQ112" s="15">
        <f>MAX(0,AP111*(1-INDEX($B$11:$B$63,31))*(1-E111))</f>
        <v/>
      </c>
      <c r="AR112" s="15">
        <f>MAX(0,AQ111*(1-INDEX($B$11:$B$63,32))*(1-E111))</f>
        <v/>
      </c>
      <c r="AS112" s="15">
        <f>MAX(0,AR111*(1-INDEX($B$11:$B$63,33))*(1-E111))</f>
        <v/>
      </c>
      <c r="AT112" s="15">
        <f>MAX(0,AS111*(1-INDEX($B$11:$B$63,34))*(1-E111))</f>
        <v/>
      </c>
      <c r="AU112" s="15">
        <f>MAX(0,AT111*(1-INDEX($B$11:$B$63,35))*(1-E111))</f>
        <v/>
      </c>
      <c r="AV112" s="15">
        <f>MAX(0,AU111*(1-INDEX($B$11:$B$63,36))*(1-E111))</f>
        <v/>
      </c>
      <c r="AW112" s="15">
        <f>MAX(0,AV111*(1-INDEX($B$11:$B$63,37))*(1-E111))</f>
        <v/>
      </c>
      <c r="AX112" s="15">
        <f>MAX(0,AW111*(1-INDEX($B$11:$B$63,38))*(1-E111))</f>
        <v/>
      </c>
      <c r="AY112" s="15">
        <f>MAX(0,AX111*(1-INDEX($B$11:$B$63,39))*(1-E111))</f>
        <v/>
      </c>
      <c r="AZ112" s="15">
        <f>MAX(0,AY111*(1-INDEX($B$11:$B$63,40))*(1-E111))</f>
        <v/>
      </c>
      <c r="BA112" s="15">
        <f>MAX(0,AZ111*(1-INDEX($B$11:$B$63,41))*(1-E111))</f>
        <v/>
      </c>
      <c r="BB112" s="15">
        <f>MAX(0,BA111*(1-INDEX($B$11:$B$63,42))*(1-E111))</f>
        <v/>
      </c>
      <c r="BC112" s="15">
        <f>MAX(0,BB111*(1-INDEX($B$11:$B$63,43))*(1-E111))</f>
        <v/>
      </c>
      <c r="BD112" s="15">
        <f>MAX(0,BC111*(1-INDEX($B$11:$B$63,44))*(1-E111))</f>
        <v/>
      </c>
      <c r="BE112" s="15">
        <f>MAX(0,BD111*(1-INDEX($B$11:$B$63,45))*(1-E111))</f>
        <v/>
      </c>
      <c r="BF112" s="15">
        <f>MAX(0,BE111*(1-INDEX($B$11:$B$63,46))*(1-E111))</f>
        <v/>
      </c>
      <c r="BG112" s="15">
        <f>MAX(0,BF111*(1-INDEX($B$11:$B$63,47))*(1-E111))</f>
        <v/>
      </c>
      <c r="BH112" s="15">
        <f>MAX(0,BG111*(1-INDEX($B$11:$B$63,48))*(1-E111))</f>
        <v/>
      </c>
      <c r="BI112" s="15">
        <f>MAX(0,BH111*(1-INDEX($B$11:$B$63,49))*(1-E111))</f>
        <v/>
      </c>
      <c r="BJ112" s="15">
        <f>MAX(0,BI111*(1-INDEX($B$11:$B$63,50))*(1-E111))</f>
        <v/>
      </c>
      <c r="BK112" s="15">
        <f>MAX(0,BJ111*(1-INDEX($B$11:$B$63,51))*(1-E111))</f>
        <v/>
      </c>
      <c r="BL112" s="15">
        <f>MAX(0,(BL111+BK111)*(1-INDEX($B$11:$B$63,53))*(1-E111))</f>
        <v/>
      </c>
    </row>
    <row r="113">
      <c r="A113" s="55" t="n">
        <v>47</v>
      </c>
      <c r="B113" s="15">
        <f>IF(A113&gt;Inputs!$C$62,"",SUM(M113:BK113))</f>
        <v/>
      </c>
      <c r="C113" s="15">
        <f>IF(A113&gt;Inputs!$C$62,"",INDEX(Trajectory!$C$23:$C$2000,A113))</f>
        <v/>
      </c>
      <c r="D113" s="15">
        <f>IF(A113&gt;Inputs!$C$62,"",SUM(L113:BK113))</f>
        <v/>
      </c>
      <c r="E113" s="12">
        <f>IF(A113&gt;Inputs!$C$62,"",INDEX(Trajectory!$AG$23:$AG$2000,A113))</f>
        <v/>
      </c>
      <c r="F113" s="12">
        <f>IF(D113=0,0,SUMPRODUCT(L113:BK113,$B$11:$B$63)/D113)</f>
        <v/>
      </c>
      <c r="G113" s="12">
        <f>IF(D113=0,0,MIN(0.95,1-(1-F113)*(1-E113)))</f>
        <v/>
      </c>
      <c r="H113" s="15">
        <f>IF(D113=0,0,D113*G113)</f>
        <v/>
      </c>
      <c r="I113" s="15">
        <f>IF(D113=0,0,D113-H113)</f>
        <v/>
      </c>
      <c r="L113" s="15">
        <f>C113</f>
        <v/>
      </c>
      <c r="M113" s="15">
        <f>MAX(0,L112*(1-INDEX($B$11:$B$63,1))*(1-E112))</f>
        <v/>
      </c>
      <c r="N113" s="15">
        <f>MAX(0,M112*(1-INDEX($B$11:$B$63,2))*(1-E112))</f>
        <v/>
      </c>
      <c r="O113" s="15">
        <f>MAX(0,N112*(1-INDEX($B$11:$B$63,3))*(1-E112))</f>
        <v/>
      </c>
      <c r="P113" s="15">
        <f>MAX(0,O112*(1-INDEX($B$11:$B$63,4))*(1-E112))</f>
        <v/>
      </c>
      <c r="Q113" s="15">
        <f>MAX(0,P112*(1-INDEX($B$11:$B$63,5))*(1-E112))</f>
        <v/>
      </c>
      <c r="R113" s="15">
        <f>MAX(0,Q112*(1-INDEX($B$11:$B$63,6))*(1-E112))</f>
        <v/>
      </c>
      <c r="S113" s="15">
        <f>MAX(0,R112*(1-INDEX($B$11:$B$63,7))*(1-E112))</f>
        <v/>
      </c>
      <c r="T113" s="15">
        <f>MAX(0,S112*(1-INDEX($B$11:$B$63,8))*(1-E112))</f>
        <v/>
      </c>
      <c r="U113" s="15">
        <f>MAX(0,T112*(1-INDEX($B$11:$B$63,9))*(1-E112))</f>
        <v/>
      </c>
      <c r="V113" s="15">
        <f>MAX(0,U112*(1-INDEX($B$11:$B$63,10))*(1-E112))</f>
        <v/>
      </c>
      <c r="W113" s="15">
        <f>MAX(0,V112*(1-INDEX($B$11:$B$63,11))*(1-E112))</f>
        <v/>
      </c>
      <c r="X113" s="15">
        <f>MAX(0,W112*(1-INDEX($B$11:$B$63,12))*(1-E112))</f>
        <v/>
      </c>
      <c r="Y113" s="15">
        <f>MAX(0,X112*(1-INDEX($B$11:$B$63,13))*(1-E112))</f>
        <v/>
      </c>
      <c r="Z113" s="15">
        <f>MAX(0,Y112*(1-INDEX($B$11:$B$63,14))*(1-E112))</f>
        <v/>
      </c>
      <c r="AA113" s="15">
        <f>MAX(0,Z112*(1-INDEX($B$11:$B$63,15))*(1-E112))</f>
        <v/>
      </c>
      <c r="AB113" s="15">
        <f>MAX(0,AA112*(1-INDEX($B$11:$B$63,16))*(1-E112))</f>
        <v/>
      </c>
      <c r="AC113" s="15">
        <f>MAX(0,AB112*(1-INDEX($B$11:$B$63,17))*(1-E112))</f>
        <v/>
      </c>
      <c r="AD113" s="15">
        <f>MAX(0,AC112*(1-INDEX($B$11:$B$63,18))*(1-E112))</f>
        <v/>
      </c>
      <c r="AE113" s="15">
        <f>MAX(0,AD112*(1-INDEX($B$11:$B$63,19))*(1-E112))</f>
        <v/>
      </c>
      <c r="AF113" s="15">
        <f>MAX(0,AE112*(1-INDEX($B$11:$B$63,20))*(1-E112))</f>
        <v/>
      </c>
      <c r="AG113" s="15">
        <f>MAX(0,AF112*(1-INDEX($B$11:$B$63,21))*(1-E112))</f>
        <v/>
      </c>
      <c r="AH113" s="15">
        <f>MAX(0,AG112*(1-INDEX($B$11:$B$63,22))*(1-E112))</f>
        <v/>
      </c>
      <c r="AI113" s="15">
        <f>MAX(0,AH112*(1-INDEX($B$11:$B$63,23))*(1-E112))</f>
        <v/>
      </c>
      <c r="AJ113" s="15">
        <f>MAX(0,AI112*(1-INDEX($B$11:$B$63,24))*(1-E112))</f>
        <v/>
      </c>
      <c r="AK113" s="15">
        <f>MAX(0,AJ112*(1-INDEX($B$11:$B$63,25))*(1-E112))</f>
        <v/>
      </c>
      <c r="AL113" s="15">
        <f>MAX(0,AK112*(1-INDEX($B$11:$B$63,26))*(1-E112))</f>
        <v/>
      </c>
      <c r="AM113" s="15">
        <f>MAX(0,AL112*(1-INDEX($B$11:$B$63,27))*(1-E112))</f>
        <v/>
      </c>
      <c r="AN113" s="15">
        <f>MAX(0,AM112*(1-INDEX($B$11:$B$63,28))*(1-E112))</f>
        <v/>
      </c>
      <c r="AO113" s="15">
        <f>MAX(0,AN112*(1-INDEX($B$11:$B$63,29))*(1-E112))</f>
        <v/>
      </c>
      <c r="AP113" s="15">
        <f>MAX(0,AO112*(1-INDEX($B$11:$B$63,30))*(1-E112))</f>
        <v/>
      </c>
      <c r="AQ113" s="15">
        <f>MAX(0,AP112*(1-INDEX($B$11:$B$63,31))*(1-E112))</f>
        <v/>
      </c>
      <c r="AR113" s="15">
        <f>MAX(0,AQ112*(1-INDEX($B$11:$B$63,32))*(1-E112))</f>
        <v/>
      </c>
      <c r="AS113" s="15">
        <f>MAX(0,AR112*(1-INDEX($B$11:$B$63,33))*(1-E112))</f>
        <v/>
      </c>
      <c r="AT113" s="15">
        <f>MAX(0,AS112*(1-INDEX($B$11:$B$63,34))*(1-E112))</f>
        <v/>
      </c>
      <c r="AU113" s="15">
        <f>MAX(0,AT112*(1-INDEX($B$11:$B$63,35))*(1-E112))</f>
        <v/>
      </c>
      <c r="AV113" s="15">
        <f>MAX(0,AU112*(1-INDEX($B$11:$B$63,36))*(1-E112))</f>
        <v/>
      </c>
      <c r="AW113" s="15">
        <f>MAX(0,AV112*(1-INDEX($B$11:$B$63,37))*(1-E112))</f>
        <v/>
      </c>
      <c r="AX113" s="15">
        <f>MAX(0,AW112*(1-INDEX($B$11:$B$63,38))*(1-E112))</f>
        <v/>
      </c>
      <c r="AY113" s="15">
        <f>MAX(0,AX112*(1-INDEX($B$11:$B$63,39))*(1-E112))</f>
        <v/>
      </c>
      <c r="AZ113" s="15">
        <f>MAX(0,AY112*(1-INDEX($B$11:$B$63,40))*(1-E112))</f>
        <v/>
      </c>
      <c r="BA113" s="15">
        <f>MAX(0,AZ112*(1-INDEX($B$11:$B$63,41))*(1-E112))</f>
        <v/>
      </c>
      <c r="BB113" s="15">
        <f>MAX(0,BA112*(1-INDEX($B$11:$B$63,42))*(1-E112))</f>
        <v/>
      </c>
      <c r="BC113" s="15">
        <f>MAX(0,BB112*(1-INDEX($B$11:$B$63,43))*(1-E112))</f>
        <v/>
      </c>
      <c r="BD113" s="15">
        <f>MAX(0,BC112*(1-INDEX($B$11:$B$63,44))*(1-E112))</f>
        <v/>
      </c>
      <c r="BE113" s="15">
        <f>MAX(0,BD112*(1-INDEX($B$11:$B$63,45))*(1-E112))</f>
        <v/>
      </c>
      <c r="BF113" s="15">
        <f>MAX(0,BE112*(1-INDEX($B$11:$B$63,46))*(1-E112))</f>
        <v/>
      </c>
      <c r="BG113" s="15">
        <f>MAX(0,BF112*(1-INDEX($B$11:$B$63,47))*(1-E112))</f>
        <v/>
      </c>
      <c r="BH113" s="15">
        <f>MAX(0,BG112*(1-INDEX($B$11:$B$63,48))*(1-E112))</f>
        <v/>
      </c>
      <c r="BI113" s="15">
        <f>MAX(0,BH112*(1-INDEX($B$11:$B$63,49))*(1-E112))</f>
        <v/>
      </c>
      <c r="BJ113" s="15">
        <f>MAX(0,BI112*(1-INDEX($B$11:$B$63,50))*(1-E112))</f>
        <v/>
      </c>
      <c r="BK113" s="15">
        <f>MAX(0,BJ112*(1-INDEX($B$11:$B$63,51))*(1-E112))</f>
        <v/>
      </c>
      <c r="BL113" s="15">
        <f>MAX(0,(BL112+BK112)*(1-INDEX($B$11:$B$63,53))*(1-E112))</f>
        <v/>
      </c>
    </row>
    <row r="114">
      <c r="A114" s="55" t="n">
        <v>48</v>
      </c>
      <c r="B114" s="15">
        <f>IF(A114&gt;Inputs!$C$62,"",SUM(M114:BK114))</f>
        <v/>
      </c>
      <c r="C114" s="15">
        <f>IF(A114&gt;Inputs!$C$62,"",INDEX(Trajectory!$C$23:$C$2000,A114))</f>
        <v/>
      </c>
      <c r="D114" s="15">
        <f>IF(A114&gt;Inputs!$C$62,"",SUM(L114:BK114))</f>
        <v/>
      </c>
      <c r="E114" s="12">
        <f>IF(A114&gt;Inputs!$C$62,"",INDEX(Trajectory!$AG$23:$AG$2000,A114))</f>
        <v/>
      </c>
      <c r="F114" s="12">
        <f>IF(D114=0,0,SUMPRODUCT(L114:BK114,$B$11:$B$63)/D114)</f>
        <v/>
      </c>
      <c r="G114" s="12">
        <f>IF(D114=0,0,MIN(0.95,1-(1-F114)*(1-E114)))</f>
        <v/>
      </c>
      <c r="H114" s="15">
        <f>IF(D114=0,0,D114*G114)</f>
        <v/>
      </c>
      <c r="I114" s="15">
        <f>IF(D114=0,0,D114-H114)</f>
        <v/>
      </c>
      <c r="L114" s="15">
        <f>C114</f>
        <v/>
      </c>
      <c r="M114" s="15">
        <f>MAX(0,L113*(1-INDEX($B$11:$B$63,1))*(1-E113))</f>
        <v/>
      </c>
      <c r="N114" s="15">
        <f>MAX(0,M113*(1-INDEX($B$11:$B$63,2))*(1-E113))</f>
        <v/>
      </c>
      <c r="O114" s="15">
        <f>MAX(0,N113*(1-INDEX($B$11:$B$63,3))*(1-E113))</f>
        <v/>
      </c>
      <c r="P114" s="15">
        <f>MAX(0,O113*(1-INDEX($B$11:$B$63,4))*(1-E113))</f>
        <v/>
      </c>
      <c r="Q114" s="15">
        <f>MAX(0,P113*(1-INDEX($B$11:$B$63,5))*(1-E113))</f>
        <v/>
      </c>
      <c r="R114" s="15">
        <f>MAX(0,Q113*(1-INDEX($B$11:$B$63,6))*(1-E113))</f>
        <v/>
      </c>
      <c r="S114" s="15">
        <f>MAX(0,R113*(1-INDEX($B$11:$B$63,7))*(1-E113))</f>
        <v/>
      </c>
      <c r="T114" s="15">
        <f>MAX(0,S113*(1-INDEX($B$11:$B$63,8))*(1-E113))</f>
        <v/>
      </c>
      <c r="U114" s="15">
        <f>MAX(0,T113*(1-INDEX($B$11:$B$63,9))*(1-E113))</f>
        <v/>
      </c>
      <c r="V114" s="15">
        <f>MAX(0,U113*(1-INDEX($B$11:$B$63,10))*(1-E113))</f>
        <v/>
      </c>
      <c r="W114" s="15">
        <f>MAX(0,V113*(1-INDEX($B$11:$B$63,11))*(1-E113))</f>
        <v/>
      </c>
      <c r="X114" s="15">
        <f>MAX(0,W113*(1-INDEX($B$11:$B$63,12))*(1-E113))</f>
        <v/>
      </c>
      <c r="Y114" s="15">
        <f>MAX(0,X113*(1-INDEX($B$11:$B$63,13))*(1-E113))</f>
        <v/>
      </c>
      <c r="Z114" s="15">
        <f>MAX(0,Y113*(1-INDEX($B$11:$B$63,14))*(1-E113))</f>
        <v/>
      </c>
      <c r="AA114" s="15">
        <f>MAX(0,Z113*(1-INDEX($B$11:$B$63,15))*(1-E113))</f>
        <v/>
      </c>
      <c r="AB114" s="15">
        <f>MAX(0,AA113*(1-INDEX($B$11:$B$63,16))*(1-E113))</f>
        <v/>
      </c>
      <c r="AC114" s="15">
        <f>MAX(0,AB113*(1-INDEX($B$11:$B$63,17))*(1-E113))</f>
        <v/>
      </c>
      <c r="AD114" s="15">
        <f>MAX(0,AC113*(1-INDEX($B$11:$B$63,18))*(1-E113))</f>
        <v/>
      </c>
      <c r="AE114" s="15">
        <f>MAX(0,AD113*(1-INDEX($B$11:$B$63,19))*(1-E113))</f>
        <v/>
      </c>
      <c r="AF114" s="15">
        <f>MAX(0,AE113*(1-INDEX($B$11:$B$63,20))*(1-E113))</f>
        <v/>
      </c>
      <c r="AG114" s="15">
        <f>MAX(0,AF113*(1-INDEX($B$11:$B$63,21))*(1-E113))</f>
        <v/>
      </c>
      <c r="AH114" s="15">
        <f>MAX(0,AG113*(1-INDEX($B$11:$B$63,22))*(1-E113))</f>
        <v/>
      </c>
      <c r="AI114" s="15">
        <f>MAX(0,AH113*(1-INDEX($B$11:$B$63,23))*(1-E113))</f>
        <v/>
      </c>
      <c r="AJ114" s="15">
        <f>MAX(0,AI113*(1-INDEX($B$11:$B$63,24))*(1-E113))</f>
        <v/>
      </c>
      <c r="AK114" s="15">
        <f>MAX(0,AJ113*(1-INDEX($B$11:$B$63,25))*(1-E113))</f>
        <v/>
      </c>
      <c r="AL114" s="15">
        <f>MAX(0,AK113*(1-INDEX($B$11:$B$63,26))*(1-E113))</f>
        <v/>
      </c>
      <c r="AM114" s="15">
        <f>MAX(0,AL113*(1-INDEX($B$11:$B$63,27))*(1-E113))</f>
        <v/>
      </c>
      <c r="AN114" s="15">
        <f>MAX(0,AM113*(1-INDEX($B$11:$B$63,28))*(1-E113))</f>
        <v/>
      </c>
      <c r="AO114" s="15">
        <f>MAX(0,AN113*(1-INDEX($B$11:$B$63,29))*(1-E113))</f>
        <v/>
      </c>
      <c r="AP114" s="15">
        <f>MAX(0,AO113*(1-INDEX($B$11:$B$63,30))*(1-E113))</f>
        <v/>
      </c>
      <c r="AQ114" s="15">
        <f>MAX(0,AP113*(1-INDEX($B$11:$B$63,31))*(1-E113))</f>
        <v/>
      </c>
      <c r="AR114" s="15">
        <f>MAX(0,AQ113*(1-INDEX($B$11:$B$63,32))*(1-E113))</f>
        <v/>
      </c>
      <c r="AS114" s="15">
        <f>MAX(0,AR113*(1-INDEX($B$11:$B$63,33))*(1-E113))</f>
        <v/>
      </c>
      <c r="AT114" s="15">
        <f>MAX(0,AS113*(1-INDEX($B$11:$B$63,34))*(1-E113))</f>
        <v/>
      </c>
      <c r="AU114" s="15">
        <f>MAX(0,AT113*(1-INDEX($B$11:$B$63,35))*(1-E113))</f>
        <v/>
      </c>
      <c r="AV114" s="15">
        <f>MAX(0,AU113*(1-INDEX($B$11:$B$63,36))*(1-E113))</f>
        <v/>
      </c>
      <c r="AW114" s="15">
        <f>MAX(0,AV113*(1-INDEX($B$11:$B$63,37))*(1-E113))</f>
        <v/>
      </c>
      <c r="AX114" s="15">
        <f>MAX(0,AW113*(1-INDEX($B$11:$B$63,38))*(1-E113))</f>
        <v/>
      </c>
      <c r="AY114" s="15">
        <f>MAX(0,AX113*(1-INDEX($B$11:$B$63,39))*(1-E113))</f>
        <v/>
      </c>
      <c r="AZ114" s="15">
        <f>MAX(0,AY113*(1-INDEX($B$11:$B$63,40))*(1-E113))</f>
        <v/>
      </c>
      <c r="BA114" s="15">
        <f>MAX(0,AZ113*(1-INDEX($B$11:$B$63,41))*(1-E113))</f>
        <v/>
      </c>
      <c r="BB114" s="15">
        <f>MAX(0,BA113*(1-INDEX($B$11:$B$63,42))*(1-E113))</f>
        <v/>
      </c>
      <c r="BC114" s="15">
        <f>MAX(0,BB113*(1-INDEX($B$11:$B$63,43))*(1-E113))</f>
        <v/>
      </c>
      <c r="BD114" s="15">
        <f>MAX(0,BC113*(1-INDEX($B$11:$B$63,44))*(1-E113))</f>
        <v/>
      </c>
      <c r="BE114" s="15">
        <f>MAX(0,BD113*(1-INDEX($B$11:$B$63,45))*(1-E113))</f>
        <v/>
      </c>
      <c r="BF114" s="15">
        <f>MAX(0,BE113*(1-INDEX($B$11:$B$63,46))*(1-E113))</f>
        <v/>
      </c>
      <c r="BG114" s="15">
        <f>MAX(0,BF113*(1-INDEX($B$11:$B$63,47))*(1-E113))</f>
        <v/>
      </c>
      <c r="BH114" s="15">
        <f>MAX(0,BG113*(1-INDEX($B$11:$B$63,48))*(1-E113))</f>
        <v/>
      </c>
      <c r="BI114" s="15">
        <f>MAX(0,BH113*(1-INDEX($B$11:$B$63,49))*(1-E113))</f>
        <v/>
      </c>
      <c r="BJ114" s="15">
        <f>MAX(0,BI113*(1-INDEX($B$11:$B$63,50))*(1-E113))</f>
        <v/>
      </c>
      <c r="BK114" s="15">
        <f>MAX(0,BJ113*(1-INDEX($B$11:$B$63,51))*(1-E113))</f>
        <v/>
      </c>
      <c r="BL114" s="15">
        <f>MAX(0,(BL113+BK113)*(1-INDEX($B$11:$B$63,53))*(1-E113))</f>
        <v/>
      </c>
    </row>
    <row r="115">
      <c r="A115" s="55" t="n">
        <v>49</v>
      </c>
      <c r="B115" s="15">
        <f>IF(A115&gt;Inputs!$C$62,"",SUM(M115:BK115))</f>
        <v/>
      </c>
      <c r="C115" s="15">
        <f>IF(A115&gt;Inputs!$C$62,"",INDEX(Trajectory!$C$23:$C$2000,A115))</f>
        <v/>
      </c>
      <c r="D115" s="15">
        <f>IF(A115&gt;Inputs!$C$62,"",SUM(L115:BK115))</f>
        <v/>
      </c>
      <c r="E115" s="12">
        <f>IF(A115&gt;Inputs!$C$62,"",INDEX(Trajectory!$AG$23:$AG$2000,A115))</f>
        <v/>
      </c>
      <c r="F115" s="12">
        <f>IF(D115=0,0,SUMPRODUCT(L115:BK115,$B$11:$B$63)/D115)</f>
        <v/>
      </c>
      <c r="G115" s="12">
        <f>IF(D115=0,0,MIN(0.95,1-(1-F115)*(1-E115)))</f>
        <v/>
      </c>
      <c r="H115" s="15">
        <f>IF(D115=0,0,D115*G115)</f>
        <v/>
      </c>
      <c r="I115" s="15">
        <f>IF(D115=0,0,D115-H115)</f>
        <v/>
      </c>
      <c r="L115" s="15">
        <f>C115</f>
        <v/>
      </c>
      <c r="M115" s="15">
        <f>MAX(0,L114*(1-INDEX($B$11:$B$63,1))*(1-E114))</f>
        <v/>
      </c>
      <c r="N115" s="15">
        <f>MAX(0,M114*(1-INDEX($B$11:$B$63,2))*(1-E114))</f>
        <v/>
      </c>
      <c r="O115" s="15">
        <f>MAX(0,N114*(1-INDEX($B$11:$B$63,3))*(1-E114))</f>
        <v/>
      </c>
      <c r="P115" s="15">
        <f>MAX(0,O114*(1-INDEX($B$11:$B$63,4))*(1-E114))</f>
        <v/>
      </c>
      <c r="Q115" s="15">
        <f>MAX(0,P114*(1-INDEX($B$11:$B$63,5))*(1-E114))</f>
        <v/>
      </c>
      <c r="R115" s="15">
        <f>MAX(0,Q114*(1-INDEX($B$11:$B$63,6))*(1-E114))</f>
        <v/>
      </c>
      <c r="S115" s="15">
        <f>MAX(0,R114*(1-INDEX($B$11:$B$63,7))*(1-E114))</f>
        <v/>
      </c>
      <c r="T115" s="15">
        <f>MAX(0,S114*(1-INDEX($B$11:$B$63,8))*(1-E114))</f>
        <v/>
      </c>
      <c r="U115" s="15">
        <f>MAX(0,T114*(1-INDEX($B$11:$B$63,9))*(1-E114))</f>
        <v/>
      </c>
      <c r="V115" s="15">
        <f>MAX(0,U114*(1-INDEX($B$11:$B$63,10))*(1-E114))</f>
        <v/>
      </c>
      <c r="W115" s="15">
        <f>MAX(0,V114*(1-INDEX($B$11:$B$63,11))*(1-E114))</f>
        <v/>
      </c>
      <c r="X115" s="15">
        <f>MAX(0,W114*(1-INDEX($B$11:$B$63,12))*(1-E114))</f>
        <v/>
      </c>
      <c r="Y115" s="15">
        <f>MAX(0,X114*(1-INDEX($B$11:$B$63,13))*(1-E114))</f>
        <v/>
      </c>
      <c r="Z115" s="15">
        <f>MAX(0,Y114*(1-INDEX($B$11:$B$63,14))*(1-E114))</f>
        <v/>
      </c>
      <c r="AA115" s="15">
        <f>MAX(0,Z114*(1-INDEX($B$11:$B$63,15))*(1-E114))</f>
        <v/>
      </c>
      <c r="AB115" s="15">
        <f>MAX(0,AA114*(1-INDEX($B$11:$B$63,16))*(1-E114))</f>
        <v/>
      </c>
      <c r="AC115" s="15">
        <f>MAX(0,AB114*(1-INDEX($B$11:$B$63,17))*(1-E114))</f>
        <v/>
      </c>
      <c r="AD115" s="15">
        <f>MAX(0,AC114*(1-INDEX($B$11:$B$63,18))*(1-E114))</f>
        <v/>
      </c>
      <c r="AE115" s="15">
        <f>MAX(0,AD114*(1-INDEX($B$11:$B$63,19))*(1-E114))</f>
        <v/>
      </c>
      <c r="AF115" s="15">
        <f>MAX(0,AE114*(1-INDEX($B$11:$B$63,20))*(1-E114))</f>
        <v/>
      </c>
      <c r="AG115" s="15">
        <f>MAX(0,AF114*(1-INDEX($B$11:$B$63,21))*(1-E114))</f>
        <v/>
      </c>
      <c r="AH115" s="15">
        <f>MAX(0,AG114*(1-INDEX($B$11:$B$63,22))*(1-E114))</f>
        <v/>
      </c>
      <c r="AI115" s="15">
        <f>MAX(0,AH114*(1-INDEX($B$11:$B$63,23))*(1-E114))</f>
        <v/>
      </c>
      <c r="AJ115" s="15">
        <f>MAX(0,AI114*(1-INDEX($B$11:$B$63,24))*(1-E114))</f>
        <v/>
      </c>
      <c r="AK115" s="15">
        <f>MAX(0,AJ114*(1-INDEX($B$11:$B$63,25))*(1-E114))</f>
        <v/>
      </c>
      <c r="AL115" s="15">
        <f>MAX(0,AK114*(1-INDEX($B$11:$B$63,26))*(1-E114))</f>
        <v/>
      </c>
      <c r="AM115" s="15">
        <f>MAX(0,AL114*(1-INDEX($B$11:$B$63,27))*(1-E114))</f>
        <v/>
      </c>
      <c r="AN115" s="15">
        <f>MAX(0,AM114*(1-INDEX($B$11:$B$63,28))*(1-E114))</f>
        <v/>
      </c>
      <c r="AO115" s="15">
        <f>MAX(0,AN114*(1-INDEX($B$11:$B$63,29))*(1-E114))</f>
        <v/>
      </c>
      <c r="AP115" s="15">
        <f>MAX(0,AO114*(1-INDEX($B$11:$B$63,30))*(1-E114))</f>
        <v/>
      </c>
      <c r="AQ115" s="15">
        <f>MAX(0,AP114*(1-INDEX($B$11:$B$63,31))*(1-E114))</f>
        <v/>
      </c>
      <c r="AR115" s="15">
        <f>MAX(0,AQ114*(1-INDEX($B$11:$B$63,32))*(1-E114))</f>
        <v/>
      </c>
      <c r="AS115" s="15">
        <f>MAX(0,AR114*(1-INDEX($B$11:$B$63,33))*(1-E114))</f>
        <v/>
      </c>
      <c r="AT115" s="15">
        <f>MAX(0,AS114*(1-INDEX($B$11:$B$63,34))*(1-E114))</f>
        <v/>
      </c>
      <c r="AU115" s="15">
        <f>MAX(0,AT114*(1-INDEX($B$11:$B$63,35))*(1-E114))</f>
        <v/>
      </c>
      <c r="AV115" s="15">
        <f>MAX(0,AU114*(1-INDEX($B$11:$B$63,36))*(1-E114))</f>
        <v/>
      </c>
      <c r="AW115" s="15">
        <f>MAX(0,AV114*(1-INDEX($B$11:$B$63,37))*(1-E114))</f>
        <v/>
      </c>
      <c r="AX115" s="15">
        <f>MAX(0,AW114*(1-INDEX($B$11:$B$63,38))*(1-E114))</f>
        <v/>
      </c>
      <c r="AY115" s="15">
        <f>MAX(0,AX114*(1-INDEX($B$11:$B$63,39))*(1-E114))</f>
        <v/>
      </c>
      <c r="AZ115" s="15">
        <f>MAX(0,AY114*(1-INDEX($B$11:$B$63,40))*(1-E114))</f>
        <v/>
      </c>
      <c r="BA115" s="15">
        <f>MAX(0,AZ114*(1-INDEX($B$11:$B$63,41))*(1-E114))</f>
        <v/>
      </c>
      <c r="BB115" s="15">
        <f>MAX(0,BA114*(1-INDEX($B$11:$B$63,42))*(1-E114))</f>
        <v/>
      </c>
      <c r="BC115" s="15">
        <f>MAX(0,BB114*(1-INDEX($B$11:$B$63,43))*(1-E114))</f>
        <v/>
      </c>
      <c r="BD115" s="15">
        <f>MAX(0,BC114*(1-INDEX($B$11:$B$63,44))*(1-E114))</f>
        <v/>
      </c>
      <c r="BE115" s="15">
        <f>MAX(0,BD114*(1-INDEX($B$11:$B$63,45))*(1-E114))</f>
        <v/>
      </c>
      <c r="BF115" s="15">
        <f>MAX(0,BE114*(1-INDEX($B$11:$B$63,46))*(1-E114))</f>
        <v/>
      </c>
      <c r="BG115" s="15">
        <f>MAX(0,BF114*(1-INDEX($B$11:$B$63,47))*(1-E114))</f>
        <v/>
      </c>
      <c r="BH115" s="15">
        <f>MAX(0,BG114*(1-INDEX($B$11:$B$63,48))*(1-E114))</f>
        <v/>
      </c>
      <c r="BI115" s="15">
        <f>MAX(0,BH114*(1-INDEX($B$11:$B$63,49))*(1-E114))</f>
        <v/>
      </c>
      <c r="BJ115" s="15">
        <f>MAX(0,BI114*(1-INDEX($B$11:$B$63,50))*(1-E114))</f>
        <v/>
      </c>
      <c r="BK115" s="15">
        <f>MAX(0,BJ114*(1-INDEX($B$11:$B$63,51))*(1-E114))</f>
        <v/>
      </c>
      <c r="BL115" s="15">
        <f>MAX(0,(BL114+BK114)*(1-INDEX($B$11:$B$63,53))*(1-E114))</f>
        <v/>
      </c>
    </row>
    <row r="116">
      <c r="A116" s="55" t="n">
        <v>50</v>
      </c>
      <c r="B116" s="15">
        <f>IF(A116&gt;Inputs!$C$62,"",SUM(M116:BK116))</f>
        <v/>
      </c>
      <c r="C116" s="15">
        <f>IF(A116&gt;Inputs!$C$62,"",INDEX(Trajectory!$C$23:$C$2000,A116))</f>
        <v/>
      </c>
      <c r="D116" s="15">
        <f>IF(A116&gt;Inputs!$C$62,"",SUM(L116:BK116))</f>
        <v/>
      </c>
      <c r="E116" s="12">
        <f>IF(A116&gt;Inputs!$C$62,"",INDEX(Trajectory!$AG$23:$AG$2000,A116))</f>
        <v/>
      </c>
      <c r="F116" s="12">
        <f>IF(D116=0,0,SUMPRODUCT(L116:BK116,$B$11:$B$63)/D116)</f>
        <v/>
      </c>
      <c r="G116" s="12">
        <f>IF(D116=0,0,MIN(0.95,1-(1-F116)*(1-E116)))</f>
        <v/>
      </c>
      <c r="H116" s="15">
        <f>IF(D116=0,0,D116*G116)</f>
        <v/>
      </c>
      <c r="I116" s="15">
        <f>IF(D116=0,0,D116-H116)</f>
        <v/>
      </c>
      <c r="L116" s="15">
        <f>C116</f>
        <v/>
      </c>
      <c r="M116" s="15">
        <f>MAX(0,L115*(1-INDEX($B$11:$B$63,1))*(1-E115))</f>
        <v/>
      </c>
      <c r="N116" s="15">
        <f>MAX(0,M115*(1-INDEX($B$11:$B$63,2))*(1-E115))</f>
        <v/>
      </c>
      <c r="O116" s="15">
        <f>MAX(0,N115*(1-INDEX($B$11:$B$63,3))*(1-E115))</f>
        <v/>
      </c>
      <c r="P116" s="15">
        <f>MAX(0,O115*(1-INDEX($B$11:$B$63,4))*(1-E115))</f>
        <v/>
      </c>
      <c r="Q116" s="15">
        <f>MAX(0,P115*(1-INDEX($B$11:$B$63,5))*(1-E115))</f>
        <v/>
      </c>
      <c r="R116" s="15">
        <f>MAX(0,Q115*(1-INDEX($B$11:$B$63,6))*(1-E115))</f>
        <v/>
      </c>
      <c r="S116" s="15">
        <f>MAX(0,R115*(1-INDEX($B$11:$B$63,7))*(1-E115))</f>
        <v/>
      </c>
      <c r="T116" s="15">
        <f>MAX(0,S115*(1-INDEX($B$11:$B$63,8))*(1-E115))</f>
        <v/>
      </c>
      <c r="U116" s="15">
        <f>MAX(0,T115*(1-INDEX($B$11:$B$63,9))*(1-E115))</f>
        <v/>
      </c>
      <c r="V116" s="15">
        <f>MAX(0,U115*(1-INDEX($B$11:$B$63,10))*(1-E115))</f>
        <v/>
      </c>
      <c r="W116" s="15">
        <f>MAX(0,V115*(1-INDEX($B$11:$B$63,11))*(1-E115))</f>
        <v/>
      </c>
      <c r="X116" s="15">
        <f>MAX(0,W115*(1-INDEX($B$11:$B$63,12))*(1-E115))</f>
        <v/>
      </c>
      <c r="Y116" s="15">
        <f>MAX(0,X115*(1-INDEX($B$11:$B$63,13))*(1-E115))</f>
        <v/>
      </c>
      <c r="Z116" s="15">
        <f>MAX(0,Y115*(1-INDEX($B$11:$B$63,14))*(1-E115))</f>
        <v/>
      </c>
      <c r="AA116" s="15">
        <f>MAX(0,Z115*(1-INDEX($B$11:$B$63,15))*(1-E115))</f>
        <v/>
      </c>
      <c r="AB116" s="15">
        <f>MAX(0,AA115*(1-INDEX($B$11:$B$63,16))*(1-E115))</f>
        <v/>
      </c>
      <c r="AC116" s="15">
        <f>MAX(0,AB115*(1-INDEX($B$11:$B$63,17))*(1-E115))</f>
        <v/>
      </c>
      <c r="AD116" s="15">
        <f>MAX(0,AC115*(1-INDEX($B$11:$B$63,18))*(1-E115))</f>
        <v/>
      </c>
      <c r="AE116" s="15">
        <f>MAX(0,AD115*(1-INDEX($B$11:$B$63,19))*(1-E115))</f>
        <v/>
      </c>
      <c r="AF116" s="15">
        <f>MAX(0,AE115*(1-INDEX($B$11:$B$63,20))*(1-E115))</f>
        <v/>
      </c>
      <c r="AG116" s="15">
        <f>MAX(0,AF115*(1-INDEX($B$11:$B$63,21))*(1-E115))</f>
        <v/>
      </c>
      <c r="AH116" s="15">
        <f>MAX(0,AG115*(1-INDEX($B$11:$B$63,22))*(1-E115))</f>
        <v/>
      </c>
      <c r="AI116" s="15">
        <f>MAX(0,AH115*(1-INDEX($B$11:$B$63,23))*(1-E115))</f>
        <v/>
      </c>
      <c r="AJ116" s="15">
        <f>MAX(0,AI115*(1-INDEX($B$11:$B$63,24))*(1-E115))</f>
        <v/>
      </c>
      <c r="AK116" s="15">
        <f>MAX(0,AJ115*(1-INDEX($B$11:$B$63,25))*(1-E115))</f>
        <v/>
      </c>
      <c r="AL116" s="15">
        <f>MAX(0,AK115*(1-INDEX($B$11:$B$63,26))*(1-E115))</f>
        <v/>
      </c>
      <c r="AM116" s="15">
        <f>MAX(0,AL115*(1-INDEX($B$11:$B$63,27))*(1-E115))</f>
        <v/>
      </c>
      <c r="AN116" s="15">
        <f>MAX(0,AM115*(1-INDEX($B$11:$B$63,28))*(1-E115))</f>
        <v/>
      </c>
      <c r="AO116" s="15">
        <f>MAX(0,AN115*(1-INDEX($B$11:$B$63,29))*(1-E115))</f>
        <v/>
      </c>
      <c r="AP116" s="15">
        <f>MAX(0,AO115*(1-INDEX($B$11:$B$63,30))*(1-E115))</f>
        <v/>
      </c>
      <c r="AQ116" s="15">
        <f>MAX(0,AP115*(1-INDEX($B$11:$B$63,31))*(1-E115))</f>
        <v/>
      </c>
      <c r="AR116" s="15">
        <f>MAX(0,AQ115*(1-INDEX($B$11:$B$63,32))*(1-E115))</f>
        <v/>
      </c>
      <c r="AS116" s="15">
        <f>MAX(0,AR115*(1-INDEX($B$11:$B$63,33))*(1-E115))</f>
        <v/>
      </c>
      <c r="AT116" s="15">
        <f>MAX(0,AS115*(1-INDEX($B$11:$B$63,34))*(1-E115))</f>
        <v/>
      </c>
      <c r="AU116" s="15">
        <f>MAX(0,AT115*(1-INDEX($B$11:$B$63,35))*(1-E115))</f>
        <v/>
      </c>
      <c r="AV116" s="15">
        <f>MAX(0,AU115*(1-INDEX($B$11:$B$63,36))*(1-E115))</f>
        <v/>
      </c>
      <c r="AW116" s="15">
        <f>MAX(0,AV115*(1-INDEX($B$11:$B$63,37))*(1-E115))</f>
        <v/>
      </c>
      <c r="AX116" s="15">
        <f>MAX(0,AW115*(1-INDEX($B$11:$B$63,38))*(1-E115))</f>
        <v/>
      </c>
      <c r="AY116" s="15">
        <f>MAX(0,AX115*(1-INDEX($B$11:$B$63,39))*(1-E115))</f>
        <v/>
      </c>
      <c r="AZ116" s="15">
        <f>MAX(0,AY115*(1-INDEX($B$11:$B$63,40))*(1-E115))</f>
        <v/>
      </c>
      <c r="BA116" s="15">
        <f>MAX(0,AZ115*(1-INDEX($B$11:$B$63,41))*(1-E115))</f>
        <v/>
      </c>
      <c r="BB116" s="15">
        <f>MAX(0,BA115*(1-INDEX($B$11:$B$63,42))*(1-E115))</f>
        <v/>
      </c>
      <c r="BC116" s="15">
        <f>MAX(0,BB115*(1-INDEX($B$11:$B$63,43))*(1-E115))</f>
        <v/>
      </c>
      <c r="BD116" s="15">
        <f>MAX(0,BC115*(1-INDEX($B$11:$B$63,44))*(1-E115))</f>
        <v/>
      </c>
      <c r="BE116" s="15">
        <f>MAX(0,BD115*(1-INDEX($B$11:$B$63,45))*(1-E115))</f>
        <v/>
      </c>
      <c r="BF116" s="15">
        <f>MAX(0,BE115*(1-INDEX($B$11:$B$63,46))*(1-E115))</f>
        <v/>
      </c>
      <c r="BG116" s="15">
        <f>MAX(0,BF115*(1-INDEX($B$11:$B$63,47))*(1-E115))</f>
        <v/>
      </c>
      <c r="BH116" s="15">
        <f>MAX(0,BG115*(1-INDEX($B$11:$B$63,48))*(1-E115))</f>
        <v/>
      </c>
      <c r="BI116" s="15">
        <f>MAX(0,BH115*(1-INDEX($B$11:$B$63,49))*(1-E115))</f>
        <v/>
      </c>
      <c r="BJ116" s="15">
        <f>MAX(0,BI115*(1-INDEX($B$11:$B$63,50))*(1-E115))</f>
        <v/>
      </c>
      <c r="BK116" s="15">
        <f>MAX(0,BJ115*(1-INDEX($B$11:$B$63,51))*(1-E115))</f>
        <v/>
      </c>
      <c r="BL116" s="15">
        <f>MAX(0,(BL115+BK115)*(1-INDEX($B$11:$B$63,53))*(1-E115))</f>
        <v/>
      </c>
    </row>
    <row r="117">
      <c r="A117" s="55" t="n">
        <v>51</v>
      </c>
      <c r="B117" s="15">
        <f>IF(A117&gt;Inputs!$C$62,"",SUM(M117:BK117))</f>
        <v/>
      </c>
      <c r="C117" s="15">
        <f>IF(A117&gt;Inputs!$C$62,"",INDEX(Trajectory!$C$23:$C$2000,A117))</f>
        <v/>
      </c>
      <c r="D117" s="15">
        <f>IF(A117&gt;Inputs!$C$62,"",SUM(L117:BK117))</f>
        <v/>
      </c>
      <c r="E117" s="12">
        <f>IF(A117&gt;Inputs!$C$62,"",INDEX(Trajectory!$AG$23:$AG$2000,A117))</f>
        <v/>
      </c>
      <c r="F117" s="12">
        <f>IF(D117=0,0,SUMPRODUCT(L117:BK117,$B$11:$B$63)/D117)</f>
        <v/>
      </c>
      <c r="G117" s="12">
        <f>IF(D117=0,0,MIN(0.95,1-(1-F117)*(1-E117)))</f>
        <v/>
      </c>
      <c r="H117" s="15">
        <f>IF(D117=0,0,D117*G117)</f>
        <v/>
      </c>
      <c r="I117" s="15">
        <f>IF(D117=0,0,D117-H117)</f>
        <v/>
      </c>
      <c r="L117" s="15">
        <f>C117</f>
        <v/>
      </c>
      <c r="M117" s="15">
        <f>MAX(0,L116*(1-INDEX($B$11:$B$63,1))*(1-E116))</f>
        <v/>
      </c>
      <c r="N117" s="15">
        <f>MAX(0,M116*(1-INDEX($B$11:$B$63,2))*(1-E116))</f>
        <v/>
      </c>
      <c r="O117" s="15">
        <f>MAX(0,N116*(1-INDEX($B$11:$B$63,3))*(1-E116))</f>
        <v/>
      </c>
      <c r="P117" s="15">
        <f>MAX(0,O116*(1-INDEX($B$11:$B$63,4))*(1-E116))</f>
        <v/>
      </c>
      <c r="Q117" s="15">
        <f>MAX(0,P116*(1-INDEX($B$11:$B$63,5))*(1-E116))</f>
        <v/>
      </c>
      <c r="R117" s="15">
        <f>MAX(0,Q116*(1-INDEX($B$11:$B$63,6))*(1-E116))</f>
        <v/>
      </c>
      <c r="S117" s="15">
        <f>MAX(0,R116*(1-INDEX($B$11:$B$63,7))*(1-E116))</f>
        <v/>
      </c>
      <c r="T117" s="15">
        <f>MAX(0,S116*(1-INDEX($B$11:$B$63,8))*(1-E116))</f>
        <v/>
      </c>
      <c r="U117" s="15">
        <f>MAX(0,T116*(1-INDEX($B$11:$B$63,9))*(1-E116))</f>
        <v/>
      </c>
      <c r="V117" s="15">
        <f>MAX(0,U116*(1-INDEX($B$11:$B$63,10))*(1-E116))</f>
        <v/>
      </c>
      <c r="W117" s="15">
        <f>MAX(0,V116*(1-INDEX($B$11:$B$63,11))*(1-E116))</f>
        <v/>
      </c>
      <c r="X117" s="15">
        <f>MAX(0,W116*(1-INDEX($B$11:$B$63,12))*(1-E116))</f>
        <v/>
      </c>
      <c r="Y117" s="15">
        <f>MAX(0,X116*(1-INDEX($B$11:$B$63,13))*(1-E116))</f>
        <v/>
      </c>
      <c r="Z117" s="15">
        <f>MAX(0,Y116*(1-INDEX($B$11:$B$63,14))*(1-E116))</f>
        <v/>
      </c>
      <c r="AA117" s="15">
        <f>MAX(0,Z116*(1-INDEX($B$11:$B$63,15))*(1-E116))</f>
        <v/>
      </c>
      <c r="AB117" s="15">
        <f>MAX(0,AA116*(1-INDEX($B$11:$B$63,16))*(1-E116))</f>
        <v/>
      </c>
      <c r="AC117" s="15">
        <f>MAX(0,AB116*(1-INDEX($B$11:$B$63,17))*(1-E116))</f>
        <v/>
      </c>
      <c r="AD117" s="15">
        <f>MAX(0,AC116*(1-INDEX($B$11:$B$63,18))*(1-E116))</f>
        <v/>
      </c>
      <c r="AE117" s="15">
        <f>MAX(0,AD116*(1-INDEX($B$11:$B$63,19))*(1-E116))</f>
        <v/>
      </c>
      <c r="AF117" s="15">
        <f>MAX(0,AE116*(1-INDEX($B$11:$B$63,20))*(1-E116))</f>
        <v/>
      </c>
      <c r="AG117" s="15">
        <f>MAX(0,AF116*(1-INDEX($B$11:$B$63,21))*(1-E116))</f>
        <v/>
      </c>
      <c r="AH117" s="15">
        <f>MAX(0,AG116*(1-INDEX($B$11:$B$63,22))*(1-E116))</f>
        <v/>
      </c>
      <c r="AI117" s="15">
        <f>MAX(0,AH116*(1-INDEX($B$11:$B$63,23))*(1-E116))</f>
        <v/>
      </c>
      <c r="AJ117" s="15">
        <f>MAX(0,AI116*(1-INDEX($B$11:$B$63,24))*(1-E116))</f>
        <v/>
      </c>
      <c r="AK117" s="15">
        <f>MAX(0,AJ116*(1-INDEX($B$11:$B$63,25))*(1-E116))</f>
        <v/>
      </c>
      <c r="AL117" s="15">
        <f>MAX(0,AK116*(1-INDEX($B$11:$B$63,26))*(1-E116))</f>
        <v/>
      </c>
      <c r="AM117" s="15">
        <f>MAX(0,AL116*(1-INDEX($B$11:$B$63,27))*(1-E116))</f>
        <v/>
      </c>
      <c r="AN117" s="15">
        <f>MAX(0,AM116*(1-INDEX($B$11:$B$63,28))*(1-E116))</f>
        <v/>
      </c>
      <c r="AO117" s="15">
        <f>MAX(0,AN116*(1-INDEX($B$11:$B$63,29))*(1-E116))</f>
        <v/>
      </c>
      <c r="AP117" s="15">
        <f>MAX(0,AO116*(1-INDEX($B$11:$B$63,30))*(1-E116))</f>
        <v/>
      </c>
      <c r="AQ117" s="15">
        <f>MAX(0,AP116*(1-INDEX($B$11:$B$63,31))*(1-E116))</f>
        <v/>
      </c>
      <c r="AR117" s="15">
        <f>MAX(0,AQ116*(1-INDEX($B$11:$B$63,32))*(1-E116))</f>
        <v/>
      </c>
      <c r="AS117" s="15">
        <f>MAX(0,AR116*(1-INDEX($B$11:$B$63,33))*(1-E116))</f>
        <v/>
      </c>
      <c r="AT117" s="15">
        <f>MAX(0,AS116*(1-INDEX($B$11:$B$63,34))*(1-E116))</f>
        <v/>
      </c>
      <c r="AU117" s="15">
        <f>MAX(0,AT116*(1-INDEX($B$11:$B$63,35))*(1-E116))</f>
        <v/>
      </c>
      <c r="AV117" s="15">
        <f>MAX(0,AU116*(1-INDEX($B$11:$B$63,36))*(1-E116))</f>
        <v/>
      </c>
      <c r="AW117" s="15">
        <f>MAX(0,AV116*(1-INDEX($B$11:$B$63,37))*(1-E116))</f>
        <v/>
      </c>
      <c r="AX117" s="15">
        <f>MAX(0,AW116*(1-INDEX($B$11:$B$63,38))*(1-E116))</f>
        <v/>
      </c>
      <c r="AY117" s="15">
        <f>MAX(0,AX116*(1-INDEX($B$11:$B$63,39))*(1-E116))</f>
        <v/>
      </c>
      <c r="AZ117" s="15">
        <f>MAX(0,AY116*(1-INDEX($B$11:$B$63,40))*(1-E116))</f>
        <v/>
      </c>
      <c r="BA117" s="15">
        <f>MAX(0,AZ116*(1-INDEX($B$11:$B$63,41))*(1-E116))</f>
        <v/>
      </c>
      <c r="BB117" s="15">
        <f>MAX(0,BA116*(1-INDEX($B$11:$B$63,42))*(1-E116))</f>
        <v/>
      </c>
      <c r="BC117" s="15">
        <f>MAX(0,BB116*(1-INDEX($B$11:$B$63,43))*(1-E116))</f>
        <v/>
      </c>
      <c r="BD117" s="15">
        <f>MAX(0,BC116*(1-INDEX($B$11:$B$63,44))*(1-E116))</f>
        <v/>
      </c>
      <c r="BE117" s="15">
        <f>MAX(0,BD116*(1-INDEX($B$11:$B$63,45))*(1-E116))</f>
        <v/>
      </c>
      <c r="BF117" s="15">
        <f>MAX(0,BE116*(1-INDEX($B$11:$B$63,46))*(1-E116))</f>
        <v/>
      </c>
      <c r="BG117" s="15">
        <f>MAX(0,BF116*(1-INDEX($B$11:$B$63,47))*(1-E116))</f>
        <v/>
      </c>
      <c r="BH117" s="15">
        <f>MAX(0,BG116*(1-INDEX($B$11:$B$63,48))*(1-E116))</f>
        <v/>
      </c>
      <c r="BI117" s="15">
        <f>MAX(0,BH116*(1-INDEX($B$11:$B$63,49))*(1-E116))</f>
        <v/>
      </c>
      <c r="BJ117" s="15">
        <f>MAX(0,BI116*(1-INDEX($B$11:$B$63,50))*(1-E116))</f>
        <v/>
      </c>
      <c r="BK117" s="15">
        <f>MAX(0,BJ116*(1-INDEX($B$11:$B$63,51))*(1-E116))</f>
        <v/>
      </c>
      <c r="BL117" s="15">
        <f>MAX(0,(BL116+BK116)*(1-INDEX($B$11:$B$63,53))*(1-E116))</f>
        <v/>
      </c>
    </row>
    <row r="118">
      <c r="A118" s="55" t="n">
        <v>52</v>
      </c>
      <c r="B118" s="15">
        <f>IF(A118&gt;Inputs!$C$62,"",SUM(M118:BK118))</f>
        <v/>
      </c>
      <c r="C118" s="15">
        <f>IF(A118&gt;Inputs!$C$62,"",INDEX(Trajectory!$C$23:$C$2000,A118))</f>
        <v/>
      </c>
      <c r="D118" s="15">
        <f>IF(A118&gt;Inputs!$C$62,"",SUM(L118:BK118))</f>
        <v/>
      </c>
      <c r="E118" s="12">
        <f>IF(A118&gt;Inputs!$C$62,"",INDEX(Trajectory!$AG$23:$AG$2000,A118))</f>
        <v/>
      </c>
      <c r="F118" s="12">
        <f>IF(D118=0,0,SUMPRODUCT(L118:BK118,$B$11:$B$63)/D118)</f>
        <v/>
      </c>
      <c r="G118" s="12">
        <f>IF(D118=0,0,MIN(0.95,1-(1-F118)*(1-E118)))</f>
        <v/>
      </c>
      <c r="H118" s="15">
        <f>IF(D118=0,0,D118*G118)</f>
        <v/>
      </c>
      <c r="I118" s="15">
        <f>IF(D118=0,0,D118-H118)</f>
        <v/>
      </c>
      <c r="L118" s="15">
        <f>C118</f>
        <v/>
      </c>
      <c r="M118" s="15">
        <f>MAX(0,L117*(1-INDEX($B$11:$B$63,1))*(1-E117))</f>
        <v/>
      </c>
      <c r="N118" s="15">
        <f>MAX(0,M117*(1-INDEX($B$11:$B$63,2))*(1-E117))</f>
        <v/>
      </c>
      <c r="O118" s="15">
        <f>MAX(0,N117*(1-INDEX($B$11:$B$63,3))*(1-E117))</f>
        <v/>
      </c>
      <c r="P118" s="15">
        <f>MAX(0,O117*(1-INDEX($B$11:$B$63,4))*(1-E117))</f>
        <v/>
      </c>
      <c r="Q118" s="15">
        <f>MAX(0,P117*(1-INDEX($B$11:$B$63,5))*(1-E117))</f>
        <v/>
      </c>
      <c r="R118" s="15">
        <f>MAX(0,Q117*(1-INDEX($B$11:$B$63,6))*(1-E117))</f>
        <v/>
      </c>
      <c r="S118" s="15">
        <f>MAX(0,R117*(1-INDEX($B$11:$B$63,7))*(1-E117))</f>
        <v/>
      </c>
      <c r="T118" s="15">
        <f>MAX(0,S117*(1-INDEX($B$11:$B$63,8))*(1-E117))</f>
        <v/>
      </c>
      <c r="U118" s="15">
        <f>MAX(0,T117*(1-INDEX($B$11:$B$63,9))*(1-E117))</f>
        <v/>
      </c>
      <c r="V118" s="15">
        <f>MAX(0,U117*(1-INDEX($B$11:$B$63,10))*(1-E117))</f>
        <v/>
      </c>
      <c r="W118" s="15">
        <f>MAX(0,V117*(1-INDEX($B$11:$B$63,11))*(1-E117))</f>
        <v/>
      </c>
      <c r="X118" s="15">
        <f>MAX(0,W117*(1-INDEX($B$11:$B$63,12))*(1-E117))</f>
        <v/>
      </c>
      <c r="Y118" s="15">
        <f>MAX(0,X117*(1-INDEX($B$11:$B$63,13))*(1-E117))</f>
        <v/>
      </c>
      <c r="Z118" s="15">
        <f>MAX(0,Y117*(1-INDEX($B$11:$B$63,14))*(1-E117))</f>
        <v/>
      </c>
      <c r="AA118" s="15">
        <f>MAX(0,Z117*(1-INDEX($B$11:$B$63,15))*(1-E117))</f>
        <v/>
      </c>
      <c r="AB118" s="15">
        <f>MAX(0,AA117*(1-INDEX($B$11:$B$63,16))*(1-E117))</f>
        <v/>
      </c>
      <c r="AC118" s="15">
        <f>MAX(0,AB117*(1-INDEX($B$11:$B$63,17))*(1-E117))</f>
        <v/>
      </c>
      <c r="AD118" s="15">
        <f>MAX(0,AC117*(1-INDEX($B$11:$B$63,18))*(1-E117))</f>
        <v/>
      </c>
      <c r="AE118" s="15">
        <f>MAX(0,AD117*(1-INDEX($B$11:$B$63,19))*(1-E117))</f>
        <v/>
      </c>
      <c r="AF118" s="15">
        <f>MAX(0,AE117*(1-INDEX($B$11:$B$63,20))*(1-E117))</f>
        <v/>
      </c>
      <c r="AG118" s="15">
        <f>MAX(0,AF117*(1-INDEX($B$11:$B$63,21))*(1-E117))</f>
        <v/>
      </c>
      <c r="AH118" s="15">
        <f>MAX(0,AG117*(1-INDEX($B$11:$B$63,22))*(1-E117))</f>
        <v/>
      </c>
      <c r="AI118" s="15">
        <f>MAX(0,AH117*(1-INDEX($B$11:$B$63,23))*(1-E117))</f>
        <v/>
      </c>
      <c r="AJ118" s="15">
        <f>MAX(0,AI117*(1-INDEX($B$11:$B$63,24))*(1-E117))</f>
        <v/>
      </c>
      <c r="AK118" s="15">
        <f>MAX(0,AJ117*(1-INDEX($B$11:$B$63,25))*(1-E117))</f>
        <v/>
      </c>
      <c r="AL118" s="15">
        <f>MAX(0,AK117*(1-INDEX($B$11:$B$63,26))*(1-E117))</f>
        <v/>
      </c>
      <c r="AM118" s="15">
        <f>MAX(0,AL117*(1-INDEX($B$11:$B$63,27))*(1-E117))</f>
        <v/>
      </c>
      <c r="AN118" s="15">
        <f>MAX(0,AM117*(1-INDEX($B$11:$B$63,28))*(1-E117))</f>
        <v/>
      </c>
      <c r="AO118" s="15">
        <f>MAX(0,AN117*(1-INDEX($B$11:$B$63,29))*(1-E117))</f>
        <v/>
      </c>
      <c r="AP118" s="15">
        <f>MAX(0,AO117*(1-INDEX($B$11:$B$63,30))*(1-E117))</f>
        <v/>
      </c>
      <c r="AQ118" s="15">
        <f>MAX(0,AP117*(1-INDEX($B$11:$B$63,31))*(1-E117))</f>
        <v/>
      </c>
      <c r="AR118" s="15">
        <f>MAX(0,AQ117*(1-INDEX($B$11:$B$63,32))*(1-E117))</f>
        <v/>
      </c>
      <c r="AS118" s="15">
        <f>MAX(0,AR117*(1-INDEX($B$11:$B$63,33))*(1-E117))</f>
        <v/>
      </c>
      <c r="AT118" s="15">
        <f>MAX(0,AS117*(1-INDEX($B$11:$B$63,34))*(1-E117))</f>
        <v/>
      </c>
      <c r="AU118" s="15">
        <f>MAX(0,AT117*(1-INDEX($B$11:$B$63,35))*(1-E117))</f>
        <v/>
      </c>
      <c r="AV118" s="15">
        <f>MAX(0,AU117*(1-INDEX($B$11:$B$63,36))*(1-E117))</f>
        <v/>
      </c>
      <c r="AW118" s="15">
        <f>MAX(0,AV117*(1-INDEX($B$11:$B$63,37))*(1-E117))</f>
        <v/>
      </c>
      <c r="AX118" s="15">
        <f>MAX(0,AW117*(1-INDEX($B$11:$B$63,38))*(1-E117))</f>
        <v/>
      </c>
      <c r="AY118" s="15">
        <f>MAX(0,AX117*(1-INDEX($B$11:$B$63,39))*(1-E117))</f>
        <v/>
      </c>
      <c r="AZ118" s="15">
        <f>MAX(0,AY117*(1-INDEX($B$11:$B$63,40))*(1-E117))</f>
        <v/>
      </c>
      <c r="BA118" s="15">
        <f>MAX(0,AZ117*(1-INDEX($B$11:$B$63,41))*(1-E117))</f>
        <v/>
      </c>
      <c r="BB118" s="15">
        <f>MAX(0,BA117*(1-INDEX($B$11:$B$63,42))*(1-E117))</f>
        <v/>
      </c>
      <c r="BC118" s="15">
        <f>MAX(0,BB117*(1-INDEX($B$11:$B$63,43))*(1-E117))</f>
        <v/>
      </c>
      <c r="BD118" s="15">
        <f>MAX(0,BC117*(1-INDEX($B$11:$B$63,44))*(1-E117))</f>
        <v/>
      </c>
      <c r="BE118" s="15">
        <f>MAX(0,BD117*(1-INDEX($B$11:$B$63,45))*(1-E117))</f>
        <v/>
      </c>
      <c r="BF118" s="15">
        <f>MAX(0,BE117*(1-INDEX($B$11:$B$63,46))*(1-E117))</f>
        <v/>
      </c>
      <c r="BG118" s="15">
        <f>MAX(0,BF117*(1-INDEX($B$11:$B$63,47))*(1-E117))</f>
        <v/>
      </c>
      <c r="BH118" s="15">
        <f>MAX(0,BG117*(1-INDEX($B$11:$B$63,48))*(1-E117))</f>
        <v/>
      </c>
      <c r="BI118" s="15">
        <f>MAX(0,BH117*(1-INDEX($B$11:$B$63,49))*(1-E117))</f>
        <v/>
      </c>
      <c r="BJ118" s="15">
        <f>MAX(0,BI117*(1-INDEX($B$11:$B$63,50))*(1-E117))</f>
        <v/>
      </c>
      <c r="BK118" s="15">
        <f>MAX(0,BJ117*(1-INDEX($B$11:$B$63,51))*(1-E117))</f>
        <v/>
      </c>
      <c r="BL118" s="15">
        <f>MAX(0,(BL117+BK117)*(1-INDEX($B$11:$B$63,53))*(1-E117))</f>
        <v/>
      </c>
    </row>
    <row r="119">
      <c r="A119" s="55" t="n">
        <v>53</v>
      </c>
      <c r="B119" s="15">
        <f>IF(A119&gt;Inputs!$C$62,"",SUM(M119:BK119))</f>
        <v/>
      </c>
      <c r="C119" s="15">
        <f>IF(A119&gt;Inputs!$C$62,"",INDEX(Trajectory!$C$23:$C$2000,A119))</f>
        <v/>
      </c>
      <c r="D119" s="15">
        <f>IF(A119&gt;Inputs!$C$62,"",SUM(L119:BK119))</f>
        <v/>
      </c>
      <c r="E119" s="12">
        <f>IF(A119&gt;Inputs!$C$62,"",INDEX(Trajectory!$AG$23:$AG$2000,A119))</f>
        <v/>
      </c>
      <c r="F119" s="12">
        <f>IF(D119=0,0,SUMPRODUCT(L119:BK119,$B$11:$B$63)/D119)</f>
        <v/>
      </c>
      <c r="G119" s="12">
        <f>IF(D119=0,0,MIN(0.95,1-(1-F119)*(1-E119)))</f>
        <v/>
      </c>
      <c r="H119" s="15">
        <f>IF(D119=0,0,D119*G119)</f>
        <v/>
      </c>
      <c r="I119" s="15">
        <f>IF(D119=0,0,D119-H119)</f>
        <v/>
      </c>
      <c r="L119" s="15">
        <f>C119</f>
        <v/>
      </c>
      <c r="M119" s="15">
        <f>MAX(0,L118*(1-INDEX($B$11:$B$63,1))*(1-E118))</f>
        <v/>
      </c>
      <c r="N119" s="15">
        <f>MAX(0,M118*(1-INDEX($B$11:$B$63,2))*(1-E118))</f>
        <v/>
      </c>
      <c r="O119" s="15">
        <f>MAX(0,N118*(1-INDEX($B$11:$B$63,3))*(1-E118))</f>
        <v/>
      </c>
      <c r="P119" s="15">
        <f>MAX(0,O118*(1-INDEX($B$11:$B$63,4))*(1-E118))</f>
        <v/>
      </c>
      <c r="Q119" s="15">
        <f>MAX(0,P118*(1-INDEX($B$11:$B$63,5))*(1-E118))</f>
        <v/>
      </c>
      <c r="R119" s="15">
        <f>MAX(0,Q118*(1-INDEX($B$11:$B$63,6))*(1-E118))</f>
        <v/>
      </c>
      <c r="S119" s="15">
        <f>MAX(0,R118*(1-INDEX($B$11:$B$63,7))*(1-E118))</f>
        <v/>
      </c>
      <c r="T119" s="15">
        <f>MAX(0,S118*(1-INDEX($B$11:$B$63,8))*(1-E118))</f>
        <v/>
      </c>
      <c r="U119" s="15">
        <f>MAX(0,T118*(1-INDEX($B$11:$B$63,9))*(1-E118))</f>
        <v/>
      </c>
      <c r="V119" s="15">
        <f>MAX(0,U118*(1-INDEX($B$11:$B$63,10))*(1-E118))</f>
        <v/>
      </c>
      <c r="W119" s="15">
        <f>MAX(0,V118*(1-INDEX($B$11:$B$63,11))*(1-E118))</f>
        <v/>
      </c>
      <c r="X119" s="15">
        <f>MAX(0,W118*(1-INDEX($B$11:$B$63,12))*(1-E118))</f>
        <v/>
      </c>
      <c r="Y119" s="15">
        <f>MAX(0,X118*(1-INDEX($B$11:$B$63,13))*(1-E118))</f>
        <v/>
      </c>
      <c r="Z119" s="15">
        <f>MAX(0,Y118*(1-INDEX($B$11:$B$63,14))*(1-E118))</f>
        <v/>
      </c>
      <c r="AA119" s="15">
        <f>MAX(0,Z118*(1-INDEX($B$11:$B$63,15))*(1-E118))</f>
        <v/>
      </c>
      <c r="AB119" s="15">
        <f>MAX(0,AA118*(1-INDEX($B$11:$B$63,16))*(1-E118))</f>
        <v/>
      </c>
      <c r="AC119" s="15">
        <f>MAX(0,AB118*(1-INDEX($B$11:$B$63,17))*(1-E118))</f>
        <v/>
      </c>
      <c r="AD119" s="15">
        <f>MAX(0,AC118*(1-INDEX($B$11:$B$63,18))*(1-E118))</f>
        <v/>
      </c>
      <c r="AE119" s="15">
        <f>MAX(0,AD118*(1-INDEX($B$11:$B$63,19))*(1-E118))</f>
        <v/>
      </c>
      <c r="AF119" s="15">
        <f>MAX(0,AE118*(1-INDEX($B$11:$B$63,20))*(1-E118))</f>
        <v/>
      </c>
      <c r="AG119" s="15">
        <f>MAX(0,AF118*(1-INDEX($B$11:$B$63,21))*(1-E118))</f>
        <v/>
      </c>
      <c r="AH119" s="15">
        <f>MAX(0,AG118*(1-INDEX($B$11:$B$63,22))*(1-E118))</f>
        <v/>
      </c>
      <c r="AI119" s="15">
        <f>MAX(0,AH118*(1-INDEX($B$11:$B$63,23))*(1-E118))</f>
        <v/>
      </c>
      <c r="AJ119" s="15">
        <f>MAX(0,AI118*(1-INDEX($B$11:$B$63,24))*(1-E118))</f>
        <v/>
      </c>
      <c r="AK119" s="15">
        <f>MAX(0,AJ118*(1-INDEX($B$11:$B$63,25))*(1-E118))</f>
        <v/>
      </c>
      <c r="AL119" s="15">
        <f>MAX(0,AK118*(1-INDEX($B$11:$B$63,26))*(1-E118))</f>
        <v/>
      </c>
      <c r="AM119" s="15">
        <f>MAX(0,AL118*(1-INDEX($B$11:$B$63,27))*(1-E118))</f>
        <v/>
      </c>
      <c r="AN119" s="15">
        <f>MAX(0,AM118*(1-INDEX($B$11:$B$63,28))*(1-E118))</f>
        <v/>
      </c>
      <c r="AO119" s="15">
        <f>MAX(0,AN118*(1-INDEX($B$11:$B$63,29))*(1-E118))</f>
        <v/>
      </c>
      <c r="AP119" s="15">
        <f>MAX(0,AO118*(1-INDEX($B$11:$B$63,30))*(1-E118))</f>
        <v/>
      </c>
      <c r="AQ119" s="15">
        <f>MAX(0,AP118*(1-INDEX($B$11:$B$63,31))*(1-E118))</f>
        <v/>
      </c>
      <c r="AR119" s="15">
        <f>MAX(0,AQ118*(1-INDEX($B$11:$B$63,32))*(1-E118))</f>
        <v/>
      </c>
      <c r="AS119" s="15">
        <f>MAX(0,AR118*(1-INDEX($B$11:$B$63,33))*(1-E118))</f>
        <v/>
      </c>
      <c r="AT119" s="15">
        <f>MAX(0,AS118*(1-INDEX($B$11:$B$63,34))*(1-E118))</f>
        <v/>
      </c>
      <c r="AU119" s="15">
        <f>MAX(0,AT118*(1-INDEX($B$11:$B$63,35))*(1-E118))</f>
        <v/>
      </c>
      <c r="AV119" s="15">
        <f>MAX(0,AU118*(1-INDEX($B$11:$B$63,36))*(1-E118))</f>
        <v/>
      </c>
      <c r="AW119" s="15">
        <f>MAX(0,AV118*(1-INDEX($B$11:$B$63,37))*(1-E118))</f>
        <v/>
      </c>
      <c r="AX119" s="15">
        <f>MAX(0,AW118*(1-INDEX($B$11:$B$63,38))*(1-E118))</f>
        <v/>
      </c>
      <c r="AY119" s="15">
        <f>MAX(0,AX118*(1-INDEX($B$11:$B$63,39))*(1-E118))</f>
        <v/>
      </c>
      <c r="AZ119" s="15">
        <f>MAX(0,AY118*(1-INDEX($B$11:$B$63,40))*(1-E118))</f>
        <v/>
      </c>
      <c r="BA119" s="15">
        <f>MAX(0,AZ118*(1-INDEX($B$11:$B$63,41))*(1-E118))</f>
        <v/>
      </c>
      <c r="BB119" s="15">
        <f>MAX(0,BA118*(1-INDEX($B$11:$B$63,42))*(1-E118))</f>
        <v/>
      </c>
      <c r="BC119" s="15">
        <f>MAX(0,BB118*(1-INDEX($B$11:$B$63,43))*(1-E118))</f>
        <v/>
      </c>
      <c r="BD119" s="15">
        <f>MAX(0,BC118*(1-INDEX($B$11:$B$63,44))*(1-E118))</f>
        <v/>
      </c>
      <c r="BE119" s="15">
        <f>MAX(0,BD118*(1-INDEX($B$11:$B$63,45))*(1-E118))</f>
        <v/>
      </c>
      <c r="BF119" s="15">
        <f>MAX(0,BE118*(1-INDEX($B$11:$B$63,46))*(1-E118))</f>
        <v/>
      </c>
      <c r="BG119" s="15">
        <f>MAX(0,BF118*(1-INDEX($B$11:$B$63,47))*(1-E118))</f>
        <v/>
      </c>
      <c r="BH119" s="15">
        <f>MAX(0,BG118*(1-INDEX($B$11:$B$63,48))*(1-E118))</f>
        <v/>
      </c>
      <c r="BI119" s="15">
        <f>MAX(0,BH118*(1-INDEX($B$11:$B$63,49))*(1-E118))</f>
        <v/>
      </c>
      <c r="BJ119" s="15">
        <f>MAX(0,BI118*(1-INDEX($B$11:$B$63,50))*(1-E118))</f>
        <v/>
      </c>
      <c r="BK119" s="15">
        <f>MAX(0,BJ118*(1-INDEX($B$11:$B$63,51))*(1-E118))</f>
        <v/>
      </c>
      <c r="BL119" s="15">
        <f>MAX(0,(BL118+BK118)*(1-INDEX($B$11:$B$63,53))*(1-E118))</f>
        <v/>
      </c>
    </row>
    <row r="120">
      <c r="A120" s="55" t="n">
        <v>54</v>
      </c>
      <c r="B120" s="15">
        <f>IF(A120&gt;Inputs!$C$62,"",SUM(M120:BK120))</f>
        <v/>
      </c>
      <c r="C120" s="15">
        <f>IF(A120&gt;Inputs!$C$62,"",INDEX(Trajectory!$C$23:$C$2000,A120))</f>
        <v/>
      </c>
      <c r="D120" s="15">
        <f>IF(A120&gt;Inputs!$C$62,"",SUM(L120:BK120))</f>
        <v/>
      </c>
      <c r="E120" s="12">
        <f>IF(A120&gt;Inputs!$C$62,"",INDEX(Trajectory!$AG$23:$AG$2000,A120))</f>
        <v/>
      </c>
      <c r="F120" s="12">
        <f>IF(D120=0,0,SUMPRODUCT(L120:BK120,$B$11:$B$63)/D120)</f>
        <v/>
      </c>
      <c r="G120" s="12">
        <f>IF(D120=0,0,MIN(0.95,1-(1-F120)*(1-E120)))</f>
        <v/>
      </c>
      <c r="H120" s="15">
        <f>IF(D120=0,0,D120*G120)</f>
        <v/>
      </c>
      <c r="I120" s="15">
        <f>IF(D120=0,0,D120-H120)</f>
        <v/>
      </c>
      <c r="L120" s="15">
        <f>C120</f>
        <v/>
      </c>
      <c r="M120" s="15">
        <f>MAX(0,L119*(1-INDEX($B$11:$B$63,1))*(1-E119))</f>
        <v/>
      </c>
      <c r="N120" s="15">
        <f>MAX(0,M119*(1-INDEX($B$11:$B$63,2))*(1-E119))</f>
        <v/>
      </c>
      <c r="O120" s="15">
        <f>MAX(0,N119*(1-INDEX($B$11:$B$63,3))*(1-E119))</f>
        <v/>
      </c>
      <c r="P120" s="15">
        <f>MAX(0,O119*(1-INDEX($B$11:$B$63,4))*(1-E119))</f>
        <v/>
      </c>
      <c r="Q120" s="15">
        <f>MAX(0,P119*(1-INDEX($B$11:$B$63,5))*(1-E119))</f>
        <v/>
      </c>
      <c r="R120" s="15">
        <f>MAX(0,Q119*(1-INDEX($B$11:$B$63,6))*(1-E119))</f>
        <v/>
      </c>
      <c r="S120" s="15">
        <f>MAX(0,R119*(1-INDEX($B$11:$B$63,7))*(1-E119))</f>
        <v/>
      </c>
      <c r="T120" s="15">
        <f>MAX(0,S119*(1-INDEX($B$11:$B$63,8))*(1-E119))</f>
        <v/>
      </c>
      <c r="U120" s="15">
        <f>MAX(0,T119*(1-INDEX($B$11:$B$63,9))*(1-E119))</f>
        <v/>
      </c>
      <c r="V120" s="15">
        <f>MAX(0,U119*(1-INDEX($B$11:$B$63,10))*(1-E119))</f>
        <v/>
      </c>
      <c r="W120" s="15">
        <f>MAX(0,V119*(1-INDEX($B$11:$B$63,11))*(1-E119))</f>
        <v/>
      </c>
      <c r="X120" s="15">
        <f>MAX(0,W119*(1-INDEX($B$11:$B$63,12))*(1-E119))</f>
        <v/>
      </c>
      <c r="Y120" s="15">
        <f>MAX(0,X119*(1-INDEX($B$11:$B$63,13))*(1-E119))</f>
        <v/>
      </c>
      <c r="Z120" s="15">
        <f>MAX(0,Y119*(1-INDEX($B$11:$B$63,14))*(1-E119))</f>
        <v/>
      </c>
      <c r="AA120" s="15">
        <f>MAX(0,Z119*(1-INDEX($B$11:$B$63,15))*(1-E119))</f>
        <v/>
      </c>
      <c r="AB120" s="15">
        <f>MAX(0,AA119*(1-INDEX($B$11:$B$63,16))*(1-E119))</f>
        <v/>
      </c>
      <c r="AC120" s="15">
        <f>MAX(0,AB119*(1-INDEX($B$11:$B$63,17))*(1-E119))</f>
        <v/>
      </c>
      <c r="AD120" s="15">
        <f>MAX(0,AC119*(1-INDEX($B$11:$B$63,18))*(1-E119))</f>
        <v/>
      </c>
      <c r="AE120" s="15">
        <f>MAX(0,AD119*(1-INDEX($B$11:$B$63,19))*(1-E119))</f>
        <v/>
      </c>
      <c r="AF120" s="15">
        <f>MAX(0,AE119*(1-INDEX($B$11:$B$63,20))*(1-E119))</f>
        <v/>
      </c>
      <c r="AG120" s="15">
        <f>MAX(0,AF119*(1-INDEX($B$11:$B$63,21))*(1-E119))</f>
        <v/>
      </c>
      <c r="AH120" s="15">
        <f>MAX(0,AG119*(1-INDEX($B$11:$B$63,22))*(1-E119))</f>
        <v/>
      </c>
      <c r="AI120" s="15">
        <f>MAX(0,AH119*(1-INDEX($B$11:$B$63,23))*(1-E119))</f>
        <v/>
      </c>
      <c r="AJ120" s="15">
        <f>MAX(0,AI119*(1-INDEX($B$11:$B$63,24))*(1-E119))</f>
        <v/>
      </c>
      <c r="AK120" s="15">
        <f>MAX(0,AJ119*(1-INDEX($B$11:$B$63,25))*(1-E119))</f>
        <v/>
      </c>
      <c r="AL120" s="15">
        <f>MAX(0,AK119*(1-INDEX($B$11:$B$63,26))*(1-E119))</f>
        <v/>
      </c>
      <c r="AM120" s="15">
        <f>MAX(0,AL119*(1-INDEX($B$11:$B$63,27))*(1-E119))</f>
        <v/>
      </c>
      <c r="AN120" s="15">
        <f>MAX(0,AM119*(1-INDEX($B$11:$B$63,28))*(1-E119))</f>
        <v/>
      </c>
      <c r="AO120" s="15">
        <f>MAX(0,AN119*(1-INDEX($B$11:$B$63,29))*(1-E119))</f>
        <v/>
      </c>
      <c r="AP120" s="15">
        <f>MAX(0,AO119*(1-INDEX($B$11:$B$63,30))*(1-E119))</f>
        <v/>
      </c>
      <c r="AQ120" s="15">
        <f>MAX(0,AP119*(1-INDEX($B$11:$B$63,31))*(1-E119))</f>
        <v/>
      </c>
      <c r="AR120" s="15">
        <f>MAX(0,AQ119*(1-INDEX($B$11:$B$63,32))*(1-E119))</f>
        <v/>
      </c>
      <c r="AS120" s="15">
        <f>MAX(0,AR119*(1-INDEX($B$11:$B$63,33))*(1-E119))</f>
        <v/>
      </c>
      <c r="AT120" s="15">
        <f>MAX(0,AS119*(1-INDEX($B$11:$B$63,34))*(1-E119))</f>
        <v/>
      </c>
      <c r="AU120" s="15">
        <f>MAX(0,AT119*(1-INDEX($B$11:$B$63,35))*(1-E119))</f>
        <v/>
      </c>
      <c r="AV120" s="15">
        <f>MAX(0,AU119*(1-INDEX($B$11:$B$63,36))*(1-E119))</f>
        <v/>
      </c>
      <c r="AW120" s="15">
        <f>MAX(0,AV119*(1-INDEX($B$11:$B$63,37))*(1-E119))</f>
        <v/>
      </c>
      <c r="AX120" s="15">
        <f>MAX(0,AW119*(1-INDEX($B$11:$B$63,38))*(1-E119))</f>
        <v/>
      </c>
      <c r="AY120" s="15">
        <f>MAX(0,AX119*(1-INDEX($B$11:$B$63,39))*(1-E119))</f>
        <v/>
      </c>
      <c r="AZ120" s="15">
        <f>MAX(0,AY119*(1-INDEX($B$11:$B$63,40))*(1-E119))</f>
        <v/>
      </c>
      <c r="BA120" s="15">
        <f>MAX(0,AZ119*(1-INDEX($B$11:$B$63,41))*(1-E119))</f>
        <v/>
      </c>
      <c r="BB120" s="15">
        <f>MAX(0,BA119*(1-INDEX($B$11:$B$63,42))*(1-E119))</f>
        <v/>
      </c>
      <c r="BC120" s="15">
        <f>MAX(0,BB119*(1-INDEX($B$11:$B$63,43))*(1-E119))</f>
        <v/>
      </c>
      <c r="BD120" s="15">
        <f>MAX(0,BC119*(1-INDEX($B$11:$B$63,44))*(1-E119))</f>
        <v/>
      </c>
      <c r="BE120" s="15">
        <f>MAX(0,BD119*(1-INDEX($B$11:$B$63,45))*(1-E119))</f>
        <v/>
      </c>
      <c r="BF120" s="15">
        <f>MAX(0,BE119*(1-INDEX($B$11:$B$63,46))*(1-E119))</f>
        <v/>
      </c>
      <c r="BG120" s="15">
        <f>MAX(0,BF119*(1-INDEX($B$11:$B$63,47))*(1-E119))</f>
        <v/>
      </c>
      <c r="BH120" s="15">
        <f>MAX(0,BG119*(1-INDEX($B$11:$B$63,48))*(1-E119))</f>
        <v/>
      </c>
      <c r="BI120" s="15">
        <f>MAX(0,BH119*(1-INDEX($B$11:$B$63,49))*(1-E119))</f>
        <v/>
      </c>
      <c r="BJ120" s="15">
        <f>MAX(0,BI119*(1-INDEX($B$11:$B$63,50))*(1-E119))</f>
        <v/>
      </c>
      <c r="BK120" s="15">
        <f>MAX(0,BJ119*(1-INDEX($B$11:$B$63,51))*(1-E119))</f>
        <v/>
      </c>
      <c r="BL120" s="15">
        <f>MAX(0,(BL119+BK119)*(1-INDEX($B$11:$B$63,53))*(1-E119))</f>
        <v/>
      </c>
    </row>
    <row r="121">
      <c r="A121" s="55" t="n">
        <v>55</v>
      </c>
      <c r="B121" s="15">
        <f>IF(A121&gt;Inputs!$C$62,"",SUM(M121:BK121))</f>
        <v/>
      </c>
      <c r="C121" s="15">
        <f>IF(A121&gt;Inputs!$C$62,"",INDEX(Trajectory!$C$23:$C$2000,A121))</f>
        <v/>
      </c>
      <c r="D121" s="15">
        <f>IF(A121&gt;Inputs!$C$62,"",SUM(L121:BK121))</f>
        <v/>
      </c>
      <c r="E121" s="12">
        <f>IF(A121&gt;Inputs!$C$62,"",INDEX(Trajectory!$AG$23:$AG$2000,A121))</f>
        <v/>
      </c>
      <c r="F121" s="12">
        <f>IF(D121=0,0,SUMPRODUCT(L121:BK121,$B$11:$B$63)/D121)</f>
        <v/>
      </c>
      <c r="G121" s="12">
        <f>IF(D121=0,0,MIN(0.95,1-(1-F121)*(1-E121)))</f>
        <v/>
      </c>
      <c r="H121" s="15">
        <f>IF(D121=0,0,D121*G121)</f>
        <v/>
      </c>
      <c r="I121" s="15">
        <f>IF(D121=0,0,D121-H121)</f>
        <v/>
      </c>
      <c r="L121" s="15">
        <f>C121</f>
        <v/>
      </c>
      <c r="M121" s="15">
        <f>MAX(0,L120*(1-INDEX($B$11:$B$63,1))*(1-E120))</f>
        <v/>
      </c>
      <c r="N121" s="15">
        <f>MAX(0,M120*(1-INDEX($B$11:$B$63,2))*(1-E120))</f>
        <v/>
      </c>
      <c r="O121" s="15">
        <f>MAX(0,N120*(1-INDEX($B$11:$B$63,3))*(1-E120))</f>
        <v/>
      </c>
      <c r="P121" s="15">
        <f>MAX(0,O120*(1-INDEX($B$11:$B$63,4))*(1-E120))</f>
        <v/>
      </c>
      <c r="Q121" s="15">
        <f>MAX(0,P120*(1-INDEX($B$11:$B$63,5))*(1-E120))</f>
        <v/>
      </c>
      <c r="R121" s="15">
        <f>MAX(0,Q120*(1-INDEX($B$11:$B$63,6))*(1-E120))</f>
        <v/>
      </c>
      <c r="S121" s="15">
        <f>MAX(0,R120*(1-INDEX($B$11:$B$63,7))*(1-E120))</f>
        <v/>
      </c>
      <c r="T121" s="15">
        <f>MAX(0,S120*(1-INDEX($B$11:$B$63,8))*(1-E120))</f>
        <v/>
      </c>
      <c r="U121" s="15">
        <f>MAX(0,T120*(1-INDEX($B$11:$B$63,9))*(1-E120))</f>
        <v/>
      </c>
      <c r="V121" s="15">
        <f>MAX(0,U120*(1-INDEX($B$11:$B$63,10))*(1-E120))</f>
        <v/>
      </c>
      <c r="W121" s="15">
        <f>MAX(0,V120*(1-INDEX($B$11:$B$63,11))*(1-E120))</f>
        <v/>
      </c>
      <c r="X121" s="15">
        <f>MAX(0,W120*(1-INDEX($B$11:$B$63,12))*(1-E120))</f>
        <v/>
      </c>
      <c r="Y121" s="15">
        <f>MAX(0,X120*(1-INDEX($B$11:$B$63,13))*(1-E120))</f>
        <v/>
      </c>
      <c r="Z121" s="15">
        <f>MAX(0,Y120*(1-INDEX($B$11:$B$63,14))*(1-E120))</f>
        <v/>
      </c>
      <c r="AA121" s="15">
        <f>MAX(0,Z120*(1-INDEX($B$11:$B$63,15))*(1-E120))</f>
        <v/>
      </c>
      <c r="AB121" s="15">
        <f>MAX(0,AA120*(1-INDEX($B$11:$B$63,16))*(1-E120))</f>
        <v/>
      </c>
      <c r="AC121" s="15">
        <f>MAX(0,AB120*(1-INDEX($B$11:$B$63,17))*(1-E120))</f>
        <v/>
      </c>
      <c r="AD121" s="15">
        <f>MAX(0,AC120*(1-INDEX($B$11:$B$63,18))*(1-E120))</f>
        <v/>
      </c>
      <c r="AE121" s="15">
        <f>MAX(0,AD120*(1-INDEX($B$11:$B$63,19))*(1-E120))</f>
        <v/>
      </c>
      <c r="AF121" s="15">
        <f>MAX(0,AE120*(1-INDEX($B$11:$B$63,20))*(1-E120))</f>
        <v/>
      </c>
      <c r="AG121" s="15">
        <f>MAX(0,AF120*(1-INDEX($B$11:$B$63,21))*(1-E120))</f>
        <v/>
      </c>
      <c r="AH121" s="15">
        <f>MAX(0,AG120*(1-INDEX($B$11:$B$63,22))*(1-E120))</f>
        <v/>
      </c>
      <c r="AI121" s="15">
        <f>MAX(0,AH120*(1-INDEX($B$11:$B$63,23))*(1-E120))</f>
        <v/>
      </c>
      <c r="AJ121" s="15">
        <f>MAX(0,AI120*(1-INDEX($B$11:$B$63,24))*(1-E120))</f>
        <v/>
      </c>
      <c r="AK121" s="15">
        <f>MAX(0,AJ120*(1-INDEX($B$11:$B$63,25))*(1-E120))</f>
        <v/>
      </c>
      <c r="AL121" s="15">
        <f>MAX(0,AK120*(1-INDEX($B$11:$B$63,26))*(1-E120))</f>
        <v/>
      </c>
      <c r="AM121" s="15">
        <f>MAX(0,AL120*(1-INDEX($B$11:$B$63,27))*(1-E120))</f>
        <v/>
      </c>
      <c r="AN121" s="15">
        <f>MAX(0,AM120*(1-INDEX($B$11:$B$63,28))*(1-E120))</f>
        <v/>
      </c>
      <c r="AO121" s="15">
        <f>MAX(0,AN120*(1-INDEX($B$11:$B$63,29))*(1-E120))</f>
        <v/>
      </c>
      <c r="AP121" s="15">
        <f>MAX(0,AO120*(1-INDEX($B$11:$B$63,30))*(1-E120))</f>
        <v/>
      </c>
      <c r="AQ121" s="15">
        <f>MAX(0,AP120*(1-INDEX($B$11:$B$63,31))*(1-E120))</f>
        <v/>
      </c>
      <c r="AR121" s="15">
        <f>MAX(0,AQ120*(1-INDEX($B$11:$B$63,32))*(1-E120))</f>
        <v/>
      </c>
      <c r="AS121" s="15">
        <f>MAX(0,AR120*(1-INDEX($B$11:$B$63,33))*(1-E120))</f>
        <v/>
      </c>
      <c r="AT121" s="15">
        <f>MAX(0,AS120*(1-INDEX($B$11:$B$63,34))*(1-E120))</f>
        <v/>
      </c>
      <c r="AU121" s="15">
        <f>MAX(0,AT120*(1-INDEX($B$11:$B$63,35))*(1-E120))</f>
        <v/>
      </c>
      <c r="AV121" s="15">
        <f>MAX(0,AU120*(1-INDEX($B$11:$B$63,36))*(1-E120))</f>
        <v/>
      </c>
      <c r="AW121" s="15">
        <f>MAX(0,AV120*(1-INDEX($B$11:$B$63,37))*(1-E120))</f>
        <v/>
      </c>
      <c r="AX121" s="15">
        <f>MAX(0,AW120*(1-INDEX($B$11:$B$63,38))*(1-E120))</f>
        <v/>
      </c>
      <c r="AY121" s="15">
        <f>MAX(0,AX120*(1-INDEX($B$11:$B$63,39))*(1-E120))</f>
        <v/>
      </c>
      <c r="AZ121" s="15">
        <f>MAX(0,AY120*(1-INDEX($B$11:$B$63,40))*(1-E120))</f>
        <v/>
      </c>
      <c r="BA121" s="15">
        <f>MAX(0,AZ120*(1-INDEX($B$11:$B$63,41))*(1-E120))</f>
        <v/>
      </c>
      <c r="BB121" s="15">
        <f>MAX(0,BA120*(1-INDEX($B$11:$B$63,42))*(1-E120))</f>
        <v/>
      </c>
      <c r="BC121" s="15">
        <f>MAX(0,BB120*(1-INDEX($B$11:$B$63,43))*(1-E120))</f>
        <v/>
      </c>
      <c r="BD121" s="15">
        <f>MAX(0,BC120*(1-INDEX($B$11:$B$63,44))*(1-E120))</f>
        <v/>
      </c>
      <c r="BE121" s="15">
        <f>MAX(0,BD120*(1-INDEX($B$11:$B$63,45))*(1-E120))</f>
        <v/>
      </c>
      <c r="BF121" s="15">
        <f>MAX(0,BE120*(1-INDEX($B$11:$B$63,46))*(1-E120))</f>
        <v/>
      </c>
      <c r="BG121" s="15">
        <f>MAX(0,BF120*(1-INDEX($B$11:$B$63,47))*(1-E120))</f>
        <v/>
      </c>
      <c r="BH121" s="15">
        <f>MAX(0,BG120*(1-INDEX($B$11:$B$63,48))*(1-E120))</f>
        <v/>
      </c>
      <c r="BI121" s="15">
        <f>MAX(0,BH120*(1-INDEX($B$11:$B$63,49))*(1-E120))</f>
        <v/>
      </c>
      <c r="BJ121" s="15">
        <f>MAX(0,BI120*(1-INDEX($B$11:$B$63,50))*(1-E120))</f>
        <v/>
      </c>
      <c r="BK121" s="15">
        <f>MAX(0,BJ120*(1-INDEX($B$11:$B$63,51))*(1-E120))</f>
        <v/>
      </c>
      <c r="BL121" s="15">
        <f>MAX(0,(BL120+BK120)*(1-INDEX($B$11:$B$63,53))*(1-E120))</f>
        <v/>
      </c>
    </row>
    <row r="122">
      <c r="A122" s="55" t="n">
        <v>56</v>
      </c>
      <c r="B122" s="15">
        <f>IF(A122&gt;Inputs!$C$62,"",SUM(M122:BK122))</f>
        <v/>
      </c>
      <c r="C122" s="15">
        <f>IF(A122&gt;Inputs!$C$62,"",INDEX(Trajectory!$C$23:$C$2000,A122))</f>
        <v/>
      </c>
      <c r="D122" s="15">
        <f>IF(A122&gt;Inputs!$C$62,"",SUM(L122:BK122))</f>
        <v/>
      </c>
      <c r="E122" s="12">
        <f>IF(A122&gt;Inputs!$C$62,"",INDEX(Trajectory!$AG$23:$AG$2000,A122))</f>
        <v/>
      </c>
      <c r="F122" s="12">
        <f>IF(D122=0,0,SUMPRODUCT(L122:BK122,$B$11:$B$63)/D122)</f>
        <v/>
      </c>
      <c r="G122" s="12">
        <f>IF(D122=0,0,MIN(0.95,1-(1-F122)*(1-E122)))</f>
        <v/>
      </c>
      <c r="H122" s="15">
        <f>IF(D122=0,0,D122*G122)</f>
        <v/>
      </c>
      <c r="I122" s="15">
        <f>IF(D122=0,0,D122-H122)</f>
        <v/>
      </c>
      <c r="L122" s="15">
        <f>C122</f>
        <v/>
      </c>
      <c r="M122" s="15">
        <f>MAX(0,L121*(1-INDEX($B$11:$B$63,1))*(1-E121))</f>
        <v/>
      </c>
      <c r="N122" s="15">
        <f>MAX(0,M121*(1-INDEX($B$11:$B$63,2))*(1-E121))</f>
        <v/>
      </c>
      <c r="O122" s="15">
        <f>MAX(0,N121*(1-INDEX($B$11:$B$63,3))*(1-E121))</f>
        <v/>
      </c>
      <c r="P122" s="15">
        <f>MAX(0,O121*(1-INDEX($B$11:$B$63,4))*(1-E121))</f>
        <v/>
      </c>
      <c r="Q122" s="15">
        <f>MAX(0,P121*(1-INDEX($B$11:$B$63,5))*(1-E121))</f>
        <v/>
      </c>
      <c r="R122" s="15">
        <f>MAX(0,Q121*(1-INDEX($B$11:$B$63,6))*(1-E121))</f>
        <v/>
      </c>
      <c r="S122" s="15">
        <f>MAX(0,R121*(1-INDEX($B$11:$B$63,7))*(1-E121))</f>
        <v/>
      </c>
      <c r="T122" s="15">
        <f>MAX(0,S121*(1-INDEX($B$11:$B$63,8))*(1-E121))</f>
        <v/>
      </c>
      <c r="U122" s="15">
        <f>MAX(0,T121*(1-INDEX($B$11:$B$63,9))*(1-E121))</f>
        <v/>
      </c>
      <c r="V122" s="15">
        <f>MAX(0,U121*(1-INDEX($B$11:$B$63,10))*(1-E121))</f>
        <v/>
      </c>
      <c r="W122" s="15">
        <f>MAX(0,V121*(1-INDEX($B$11:$B$63,11))*(1-E121))</f>
        <v/>
      </c>
      <c r="X122" s="15">
        <f>MAX(0,W121*(1-INDEX($B$11:$B$63,12))*(1-E121))</f>
        <v/>
      </c>
      <c r="Y122" s="15">
        <f>MAX(0,X121*(1-INDEX($B$11:$B$63,13))*(1-E121))</f>
        <v/>
      </c>
      <c r="Z122" s="15">
        <f>MAX(0,Y121*(1-INDEX($B$11:$B$63,14))*(1-E121))</f>
        <v/>
      </c>
      <c r="AA122" s="15">
        <f>MAX(0,Z121*(1-INDEX($B$11:$B$63,15))*(1-E121))</f>
        <v/>
      </c>
      <c r="AB122" s="15">
        <f>MAX(0,AA121*(1-INDEX($B$11:$B$63,16))*(1-E121))</f>
        <v/>
      </c>
      <c r="AC122" s="15">
        <f>MAX(0,AB121*(1-INDEX($B$11:$B$63,17))*(1-E121))</f>
        <v/>
      </c>
      <c r="AD122" s="15">
        <f>MAX(0,AC121*(1-INDEX($B$11:$B$63,18))*(1-E121))</f>
        <v/>
      </c>
      <c r="AE122" s="15">
        <f>MAX(0,AD121*(1-INDEX($B$11:$B$63,19))*(1-E121))</f>
        <v/>
      </c>
      <c r="AF122" s="15">
        <f>MAX(0,AE121*(1-INDEX($B$11:$B$63,20))*(1-E121))</f>
        <v/>
      </c>
      <c r="AG122" s="15">
        <f>MAX(0,AF121*(1-INDEX($B$11:$B$63,21))*(1-E121))</f>
        <v/>
      </c>
      <c r="AH122" s="15">
        <f>MAX(0,AG121*(1-INDEX($B$11:$B$63,22))*(1-E121))</f>
        <v/>
      </c>
      <c r="AI122" s="15">
        <f>MAX(0,AH121*(1-INDEX($B$11:$B$63,23))*(1-E121))</f>
        <v/>
      </c>
      <c r="AJ122" s="15">
        <f>MAX(0,AI121*(1-INDEX($B$11:$B$63,24))*(1-E121))</f>
        <v/>
      </c>
      <c r="AK122" s="15">
        <f>MAX(0,AJ121*(1-INDEX($B$11:$B$63,25))*(1-E121))</f>
        <v/>
      </c>
      <c r="AL122" s="15">
        <f>MAX(0,AK121*(1-INDEX($B$11:$B$63,26))*(1-E121))</f>
        <v/>
      </c>
      <c r="AM122" s="15">
        <f>MAX(0,AL121*(1-INDEX($B$11:$B$63,27))*(1-E121))</f>
        <v/>
      </c>
      <c r="AN122" s="15">
        <f>MAX(0,AM121*(1-INDEX($B$11:$B$63,28))*(1-E121))</f>
        <v/>
      </c>
      <c r="AO122" s="15">
        <f>MAX(0,AN121*(1-INDEX($B$11:$B$63,29))*(1-E121))</f>
        <v/>
      </c>
      <c r="AP122" s="15">
        <f>MAX(0,AO121*(1-INDEX($B$11:$B$63,30))*(1-E121))</f>
        <v/>
      </c>
      <c r="AQ122" s="15">
        <f>MAX(0,AP121*(1-INDEX($B$11:$B$63,31))*(1-E121))</f>
        <v/>
      </c>
      <c r="AR122" s="15">
        <f>MAX(0,AQ121*(1-INDEX($B$11:$B$63,32))*(1-E121))</f>
        <v/>
      </c>
      <c r="AS122" s="15">
        <f>MAX(0,AR121*(1-INDEX($B$11:$B$63,33))*(1-E121))</f>
        <v/>
      </c>
      <c r="AT122" s="15">
        <f>MAX(0,AS121*(1-INDEX($B$11:$B$63,34))*(1-E121))</f>
        <v/>
      </c>
      <c r="AU122" s="15">
        <f>MAX(0,AT121*(1-INDEX($B$11:$B$63,35))*(1-E121))</f>
        <v/>
      </c>
      <c r="AV122" s="15">
        <f>MAX(0,AU121*(1-INDEX($B$11:$B$63,36))*(1-E121))</f>
        <v/>
      </c>
      <c r="AW122" s="15">
        <f>MAX(0,AV121*(1-INDEX($B$11:$B$63,37))*(1-E121))</f>
        <v/>
      </c>
      <c r="AX122" s="15">
        <f>MAX(0,AW121*(1-INDEX($B$11:$B$63,38))*(1-E121))</f>
        <v/>
      </c>
      <c r="AY122" s="15">
        <f>MAX(0,AX121*(1-INDEX($B$11:$B$63,39))*(1-E121))</f>
        <v/>
      </c>
      <c r="AZ122" s="15">
        <f>MAX(0,AY121*(1-INDEX($B$11:$B$63,40))*(1-E121))</f>
        <v/>
      </c>
      <c r="BA122" s="15">
        <f>MAX(0,AZ121*(1-INDEX($B$11:$B$63,41))*(1-E121))</f>
        <v/>
      </c>
      <c r="BB122" s="15">
        <f>MAX(0,BA121*(1-INDEX($B$11:$B$63,42))*(1-E121))</f>
        <v/>
      </c>
      <c r="BC122" s="15">
        <f>MAX(0,BB121*(1-INDEX($B$11:$B$63,43))*(1-E121))</f>
        <v/>
      </c>
      <c r="BD122" s="15">
        <f>MAX(0,BC121*(1-INDEX($B$11:$B$63,44))*(1-E121))</f>
        <v/>
      </c>
      <c r="BE122" s="15">
        <f>MAX(0,BD121*(1-INDEX($B$11:$B$63,45))*(1-E121))</f>
        <v/>
      </c>
      <c r="BF122" s="15">
        <f>MAX(0,BE121*(1-INDEX($B$11:$B$63,46))*(1-E121))</f>
        <v/>
      </c>
      <c r="BG122" s="15">
        <f>MAX(0,BF121*(1-INDEX($B$11:$B$63,47))*(1-E121))</f>
        <v/>
      </c>
      <c r="BH122" s="15">
        <f>MAX(0,BG121*(1-INDEX($B$11:$B$63,48))*(1-E121))</f>
        <v/>
      </c>
      <c r="BI122" s="15">
        <f>MAX(0,BH121*(1-INDEX($B$11:$B$63,49))*(1-E121))</f>
        <v/>
      </c>
      <c r="BJ122" s="15">
        <f>MAX(0,BI121*(1-INDEX($B$11:$B$63,50))*(1-E121))</f>
        <v/>
      </c>
      <c r="BK122" s="15">
        <f>MAX(0,BJ121*(1-INDEX($B$11:$B$63,51))*(1-E121))</f>
        <v/>
      </c>
      <c r="BL122" s="15">
        <f>MAX(0,(BL121+BK121)*(1-INDEX($B$11:$B$63,53))*(1-E121))</f>
        <v/>
      </c>
    </row>
    <row r="123">
      <c r="A123" s="55" t="n">
        <v>57</v>
      </c>
      <c r="B123" s="15">
        <f>IF(A123&gt;Inputs!$C$62,"",SUM(M123:BK123))</f>
        <v/>
      </c>
      <c r="C123" s="15">
        <f>IF(A123&gt;Inputs!$C$62,"",INDEX(Trajectory!$C$23:$C$2000,A123))</f>
        <v/>
      </c>
      <c r="D123" s="15">
        <f>IF(A123&gt;Inputs!$C$62,"",SUM(L123:BK123))</f>
        <v/>
      </c>
      <c r="E123" s="12">
        <f>IF(A123&gt;Inputs!$C$62,"",INDEX(Trajectory!$AG$23:$AG$2000,A123))</f>
        <v/>
      </c>
      <c r="F123" s="12">
        <f>IF(D123=0,0,SUMPRODUCT(L123:BK123,$B$11:$B$63)/D123)</f>
        <v/>
      </c>
      <c r="G123" s="12">
        <f>IF(D123=0,0,MIN(0.95,1-(1-F123)*(1-E123)))</f>
        <v/>
      </c>
      <c r="H123" s="15">
        <f>IF(D123=0,0,D123*G123)</f>
        <v/>
      </c>
      <c r="I123" s="15">
        <f>IF(D123=0,0,D123-H123)</f>
        <v/>
      </c>
      <c r="L123" s="15">
        <f>C123</f>
        <v/>
      </c>
      <c r="M123" s="15">
        <f>MAX(0,L122*(1-INDEX($B$11:$B$63,1))*(1-E122))</f>
        <v/>
      </c>
      <c r="N123" s="15">
        <f>MAX(0,M122*(1-INDEX($B$11:$B$63,2))*(1-E122))</f>
        <v/>
      </c>
      <c r="O123" s="15">
        <f>MAX(0,N122*(1-INDEX($B$11:$B$63,3))*(1-E122))</f>
        <v/>
      </c>
      <c r="P123" s="15">
        <f>MAX(0,O122*(1-INDEX($B$11:$B$63,4))*(1-E122))</f>
        <v/>
      </c>
      <c r="Q123" s="15">
        <f>MAX(0,P122*(1-INDEX($B$11:$B$63,5))*(1-E122))</f>
        <v/>
      </c>
      <c r="R123" s="15">
        <f>MAX(0,Q122*(1-INDEX($B$11:$B$63,6))*(1-E122))</f>
        <v/>
      </c>
      <c r="S123" s="15">
        <f>MAX(0,R122*(1-INDEX($B$11:$B$63,7))*(1-E122))</f>
        <v/>
      </c>
      <c r="T123" s="15">
        <f>MAX(0,S122*(1-INDEX($B$11:$B$63,8))*(1-E122))</f>
        <v/>
      </c>
      <c r="U123" s="15">
        <f>MAX(0,T122*(1-INDEX($B$11:$B$63,9))*(1-E122))</f>
        <v/>
      </c>
      <c r="V123" s="15">
        <f>MAX(0,U122*(1-INDEX($B$11:$B$63,10))*(1-E122))</f>
        <v/>
      </c>
      <c r="W123" s="15">
        <f>MAX(0,V122*(1-INDEX($B$11:$B$63,11))*(1-E122))</f>
        <v/>
      </c>
      <c r="X123" s="15">
        <f>MAX(0,W122*(1-INDEX($B$11:$B$63,12))*(1-E122))</f>
        <v/>
      </c>
      <c r="Y123" s="15">
        <f>MAX(0,X122*(1-INDEX($B$11:$B$63,13))*(1-E122))</f>
        <v/>
      </c>
      <c r="Z123" s="15">
        <f>MAX(0,Y122*(1-INDEX($B$11:$B$63,14))*(1-E122))</f>
        <v/>
      </c>
      <c r="AA123" s="15">
        <f>MAX(0,Z122*(1-INDEX($B$11:$B$63,15))*(1-E122))</f>
        <v/>
      </c>
      <c r="AB123" s="15">
        <f>MAX(0,AA122*(1-INDEX($B$11:$B$63,16))*(1-E122))</f>
        <v/>
      </c>
      <c r="AC123" s="15">
        <f>MAX(0,AB122*(1-INDEX($B$11:$B$63,17))*(1-E122))</f>
        <v/>
      </c>
      <c r="AD123" s="15">
        <f>MAX(0,AC122*(1-INDEX($B$11:$B$63,18))*(1-E122))</f>
        <v/>
      </c>
      <c r="AE123" s="15">
        <f>MAX(0,AD122*(1-INDEX($B$11:$B$63,19))*(1-E122))</f>
        <v/>
      </c>
      <c r="AF123" s="15">
        <f>MAX(0,AE122*(1-INDEX($B$11:$B$63,20))*(1-E122))</f>
        <v/>
      </c>
      <c r="AG123" s="15">
        <f>MAX(0,AF122*(1-INDEX($B$11:$B$63,21))*(1-E122))</f>
        <v/>
      </c>
      <c r="AH123" s="15">
        <f>MAX(0,AG122*(1-INDEX($B$11:$B$63,22))*(1-E122))</f>
        <v/>
      </c>
      <c r="AI123" s="15">
        <f>MAX(0,AH122*(1-INDEX($B$11:$B$63,23))*(1-E122))</f>
        <v/>
      </c>
      <c r="AJ123" s="15">
        <f>MAX(0,AI122*(1-INDEX($B$11:$B$63,24))*(1-E122))</f>
        <v/>
      </c>
      <c r="AK123" s="15">
        <f>MAX(0,AJ122*(1-INDEX($B$11:$B$63,25))*(1-E122))</f>
        <v/>
      </c>
      <c r="AL123" s="15">
        <f>MAX(0,AK122*(1-INDEX($B$11:$B$63,26))*(1-E122))</f>
        <v/>
      </c>
      <c r="AM123" s="15">
        <f>MAX(0,AL122*(1-INDEX($B$11:$B$63,27))*(1-E122))</f>
        <v/>
      </c>
      <c r="AN123" s="15">
        <f>MAX(0,AM122*(1-INDEX($B$11:$B$63,28))*(1-E122))</f>
        <v/>
      </c>
      <c r="AO123" s="15">
        <f>MAX(0,AN122*(1-INDEX($B$11:$B$63,29))*(1-E122))</f>
        <v/>
      </c>
      <c r="AP123" s="15">
        <f>MAX(0,AO122*(1-INDEX($B$11:$B$63,30))*(1-E122))</f>
        <v/>
      </c>
      <c r="AQ123" s="15">
        <f>MAX(0,AP122*(1-INDEX($B$11:$B$63,31))*(1-E122))</f>
        <v/>
      </c>
      <c r="AR123" s="15">
        <f>MAX(0,AQ122*(1-INDEX($B$11:$B$63,32))*(1-E122))</f>
        <v/>
      </c>
      <c r="AS123" s="15">
        <f>MAX(0,AR122*(1-INDEX($B$11:$B$63,33))*(1-E122))</f>
        <v/>
      </c>
      <c r="AT123" s="15">
        <f>MAX(0,AS122*(1-INDEX($B$11:$B$63,34))*(1-E122))</f>
        <v/>
      </c>
      <c r="AU123" s="15">
        <f>MAX(0,AT122*(1-INDEX($B$11:$B$63,35))*(1-E122))</f>
        <v/>
      </c>
      <c r="AV123" s="15">
        <f>MAX(0,AU122*(1-INDEX($B$11:$B$63,36))*(1-E122))</f>
        <v/>
      </c>
      <c r="AW123" s="15">
        <f>MAX(0,AV122*(1-INDEX($B$11:$B$63,37))*(1-E122))</f>
        <v/>
      </c>
      <c r="AX123" s="15">
        <f>MAX(0,AW122*(1-INDEX($B$11:$B$63,38))*(1-E122))</f>
        <v/>
      </c>
      <c r="AY123" s="15">
        <f>MAX(0,AX122*(1-INDEX($B$11:$B$63,39))*(1-E122))</f>
        <v/>
      </c>
      <c r="AZ123" s="15">
        <f>MAX(0,AY122*(1-INDEX($B$11:$B$63,40))*(1-E122))</f>
        <v/>
      </c>
      <c r="BA123" s="15">
        <f>MAX(0,AZ122*(1-INDEX($B$11:$B$63,41))*(1-E122))</f>
        <v/>
      </c>
      <c r="BB123" s="15">
        <f>MAX(0,BA122*(1-INDEX($B$11:$B$63,42))*(1-E122))</f>
        <v/>
      </c>
      <c r="BC123" s="15">
        <f>MAX(0,BB122*(1-INDEX($B$11:$B$63,43))*(1-E122))</f>
        <v/>
      </c>
      <c r="BD123" s="15">
        <f>MAX(0,BC122*(1-INDEX($B$11:$B$63,44))*(1-E122))</f>
        <v/>
      </c>
      <c r="BE123" s="15">
        <f>MAX(0,BD122*(1-INDEX($B$11:$B$63,45))*(1-E122))</f>
        <v/>
      </c>
      <c r="BF123" s="15">
        <f>MAX(0,BE122*(1-INDEX($B$11:$B$63,46))*(1-E122))</f>
        <v/>
      </c>
      <c r="BG123" s="15">
        <f>MAX(0,BF122*(1-INDEX($B$11:$B$63,47))*(1-E122))</f>
        <v/>
      </c>
      <c r="BH123" s="15">
        <f>MAX(0,BG122*(1-INDEX($B$11:$B$63,48))*(1-E122))</f>
        <v/>
      </c>
      <c r="BI123" s="15">
        <f>MAX(0,BH122*(1-INDEX($B$11:$B$63,49))*(1-E122))</f>
        <v/>
      </c>
      <c r="BJ123" s="15">
        <f>MAX(0,BI122*(1-INDEX($B$11:$B$63,50))*(1-E122))</f>
        <v/>
      </c>
      <c r="BK123" s="15">
        <f>MAX(0,BJ122*(1-INDEX($B$11:$B$63,51))*(1-E122))</f>
        <v/>
      </c>
      <c r="BL123" s="15">
        <f>MAX(0,(BL122+BK122)*(1-INDEX($B$11:$B$63,53))*(1-E122))</f>
        <v/>
      </c>
    </row>
    <row r="124">
      <c r="A124" s="55" t="n">
        <v>58</v>
      </c>
      <c r="B124" s="15">
        <f>IF(A124&gt;Inputs!$C$62,"",SUM(M124:BK124))</f>
        <v/>
      </c>
      <c r="C124" s="15">
        <f>IF(A124&gt;Inputs!$C$62,"",INDEX(Trajectory!$C$23:$C$2000,A124))</f>
        <v/>
      </c>
      <c r="D124" s="15">
        <f>IF(A124&gt;Inputs!$C$62,"",SUM(L124:BK124))</f>
        <v/>
      </c>
      <c r="E124" s="12">
        <f>IF(A124&gt;Inputs!$C$62,"",INDEX(Trajectory!$AG$23:$AG$2000,A124))</f>
        <v/>
      </c>
      <c r="F124" s="12">
        <f>IF(D124=0,0,SUMPRODUCT(L124:BK124,$B$11:$B$63)/D124)</f>
        <v/>
      </c>
      <c r="G124" s="12">
        <f>IF(D124=0,0,MIN(0.95,1-(1-F124)*(1-E124)))</f>
        <v/>
      </c>
      <c r="H124" s="15">
        <f>IF(D124=0,0,D124*G124)</f>
        <v/>
      </c>
      <c r="I124" s="15">
        <f>IF(D124=0,0,D124-H124)</f>
        <v/>
      </c>
      <c r="L124" s="15">
        <f>C124</f>
        <v/>
      </c>
      <c r="M124" s="15">
        <f>MAX(0,L123*(1-INDEX($B$11:$B$63,1))*(1-E123))</f>
        <v/>
      </c>
      <c r="N124" s="15">
        <f>MAX(0,M123*(1-INDEX($B$11:$B$63,2))*(1-E123))</f>
        <v/>
      </c>
      <c r="O124" s="15">
        <f>MAX(0,N123*(1-INDEX($B$11:$B$63,3))*(1-E123))</f>
        <v/>
      </c>
      <c r="P124" s="15">
        <f>MAX(0,O123*(1-INDEX($B$11:$B$63,4))*(1-E123))</f>
        <v/>
      </c>
      <c r="Q124" s="15">
        <f>MAX(0,P123*(1-INDEX($B$11:$B$63,5))*(1-E123))</f>
        <v/>
      </c>
      <c r="R124" s="15">
        <f>MAX(0,Q123*(1-INDEX($B$11:$B$63,6))*(1-E123))</f>
        <v/>
      </c>
      <c r="S124" s="15">
        <f>MAX(0,R123*(1-INDEX($B$11:$B$63,7))*(1-E123))</f>
        <v/>
      </c>
      <c r="T124" s="15">
        <f>MAX(0,S123*(1-INDEX($B$11:$B$63,8))*(1-E123))</f>
        <v/>
      </c>
      <c r="U124" s="15">
        <f>MAX(0,T123*(1-INDEX($B$11:$B$63,9))*(1-E123))</f>
        <v/>
      </c>
      <c r="V124" s="15">
        <f>MAX(0,U123*(1-INDEX($B$11:$B$63,10))*(1-E123))</f>
        <v/>
      </c>
      <c r="W124" s="15">
        <f>MAX(0,V123*(1-INDEX($B$11:$B$63,11))*(1-E123))</f>
        <v/>
      </c>
      <c r="X124" s="15">
        <f>MAX(0,W123*(1-INDEX($B$11:$B$63,12))*(1-E123))</f>
        <v/>
      </c>
      <c r="Y124" s="15">
        <f>MAX(0,X123*(1-INDEX($B$11:$B$63,13))*(1-E123))</f>
        <v/>
      </c>
      <c r="Z124" s="15">
        <f>MAX(0,Y123*(1-INDEX($B$11:$B$63,14))*(1-E123))</f>
        <v/>
      </c>
      <c r="AA124" s="15">
        <f>MAX(0,Z123*(1-INDEX($B$11:$B$63,15))*(1-E123))</f>
        <v/>
      </c>
      <c r="AB124" s="15">
        <f>MAX(0,AA123*(1-INDEX($B$11:$B$63,16))*(1-E123))</f>
        <v/>
      </c>
      <c r="AC124" s="15">
        <f>MAX(0,AB123*(1-INDEX($B$11:$B$63,17))*(1-E123))</f>
        <v/>
      </c>
      <c r="AD124" s="15">
        <f>MAX(0,AC123*(1-INDEX($B$11:$B$63,18))*(1-E123))</f>
        <v/>
      </c>
      <c r="AE124" s="15">
        <f>MAX(0,AD123*(1-INDEX($B$11:$B$63,19))*(1-E123))</f>
        <v/>
      </c>
      <c r="AF124" s="15">
        <f>MAX(0,AE123*(1-INDEX($B$11:$B$63,20))*(1-E123))</f>
        <v/>
      </c>
      <c r="AG124" s="15">
        <f>MAX(0,AF123*(1-INDEX($B$11:$B$63,21))*(1-E123))</f>
        <v/>
      </c>
      <c r="AH124" s="15">
        <f>MAX(0,AG123*(1-INDEX($B$11:$B$63,22))*(1-E123))</f>
        <v/>
      </c>
      <c r="AI124" s="15">
        <f>MAX(0,AH123*(1-INDEX($B$11:$B$63,23))*(1-E123))</f>
        <v/>
      </c>
      <c r="AJ124" s="15">
        <f>MAX(0,AI123*(1-INDEX($B$11:$B$63,24))*(1-E123))</f>
        <v/>
      </c>
      <c r="AK124" s="15">
        <f>MAX(0,AJ123*(1-INDEX($B$11:$B$63,25))*(1-E123))</f>
        <v/>
      </c>
      <c r="AL124" s="15">
        <f>MAX(0,AK123*(1-INDEX($B$11:$B$63,26))*(1-E123))</f>
        <v/>
      </c>
      <c r="AM124" s="15">
        <f>MAX(0,AL123*(1-INDEX($B$11:$B$63,27))*(1-E123))</f>
        <v/>
      </c>
      <c r="AN124" s="15">
        <f>MAX(0,AM123*(1-INDEX($B$11:$B$63,28))*(1-E123))</f>
        <v/>
      </c>
      <c r="AO124" s="15">
        <f>MAX(0,AN123*(1-INDEX($B$11:$B$63,29))*(1-E123))</f>
        <v/>
      </c>
      <c r="AP124" s="15">
        <f>MAX(0,AO123*(1-INDEX($B$11:$B$63,30))*(1-E123))</f>
        <v/>
      </c>
      <c r="AQ124" s="15">
        <f>MAX(0,AP123*(1-INDEX($B$11:$B$63,31))*(1-E123))</f>
        <v/>
      </c>
      <c r="AR124" s="15">
        <f>MAX(0,AQ123*(1-INDEX($B$11:$B$63,32))*(1-E123))</f>
        <v/>
      </c>
      <c r="AS124" s="15">
        <f>MAX(0,AR123*(1-INDEX($B$11:$B$63,33))*(1-E123))</f>
        <v/>
      </c>
      <c r="AT124" s="15">
        <f>MAX(0,AS123*(1-INDEX($B$11:$B$63,34))*(1-E123))</f>
        <v/>
      </c>
      <c r="AU124" s="15">
        <f>MAX(0,AT123*(1-INDEX($B$11:$B$63,35))*(1-E123))</f>
        <v/>
      </c>
      <c r="AV124" s="15">
        <f>MAX(0,AU123*(1-INDEX($B$11:$B$63,36))*(1-E123))</f>
        <v/>
      </c>
      <c r="AW124" s="15">
        <f>MAX(0,AV123*(1-INDEX($B$11:$B$63,37))*(1-E123))</f>
        <v/>
      </c>
      <c r="AX124" s="15">
        <f>MAX(0,AW123*(1-INDEX($B$11:$B$63,38))*(1-E123))</f>
        <v/>
      </c>
      <c r="AY124" s="15">
        <f>MAX(0,AX123*(1-INDEX($B$11:$B$63,39))*(1-E123))</f>
        <v/>
      </c>
      <c r="AZ124" s="15">
        <f>MAX(0,AY123*(1-INDEX($B$11:$B$63,40))*(1-E123))</f>
        <v/>
      </c>
      <c r="BA124" s="15">
        <f>MAX(0,AZ123*(1-INDEX($B$11:$B$63,41))*(1-E123))</f>
        <v/>
      </c>
      <c r="BB124" s="15">
        <f>MAX(0,BA123*(1-INDEX($B$11:$B$63,42))*(1-E123))</f>
        <v/>
      </c>
      <c r="BC124" s="15">
        <f>MAX(0,BB123*(1-INDEX($B$11:$B$63,43))*(1-E123))</f>
        <v/>
      </c>
      <c r="BD124" s="15">
        <f>MAX(0,BC123*(1-INDEX($B$11:$B$63,44))*(1-E123))</f>
        <v/>
      </c>
      <c r="BE124" s="15">
        <f>MAX(0,BD123*(1-INDEX($B$11:$B$63,45))*(1-E123))</f>
        <v/>
      </c>
      <c r="BF124" s="15">
        <f>MAX(0,BE123*(1-INDEX($B$11:$B$63,46))*(1-E123))</f>
        <v/>
      </c>
      <c r="BG124" s="15">
        <f>MAX(0,BF123*(1-INDEX($B$11:$B$63,47))*(1-E123))</f>
        <v/>
      </c>
      <c r="BH124" s="15">
        <f>MAX(0,BG123*(1-INDEX($B$11:$B$63,48))*(1-E123))</f>
        <v/>
      </c>
      <c r="BI124" s="15">
        <f>MAX(0,BH123*(1-INDEX($B$11:$B$63,49))*(1-E123))</f>
        <v/>
      </c>
      <c r="BJ124" s="15">
        <f>MAX(0,BI123*(1-INDEX($B$11:$B$63,50))*(1-E123))</f>
        <v/>
      </c>
      <c r="BK124" s="15">
        <f>MAX(0,BJ123*(1-INDEX($B$11:$B$63,51))*(1-E123))</f>
        <v/>
      </c>
      <c r="BL124" s="15">
        <f>MAX(0,(BL123+BK123)*(1-INDEX($B$11:$B$63,53))*(1-E123))</f>
        <v/>
      </c>
    </row>
    <row r="125">
      <c r="A125" s="55" t="n">
        <v>59</v>
      </c>
      <c r="B125" s="15">
        <f>IF(A125&gt;Inputs!$C$62,"",SUM(M125:BK125))</f>
        <v/>
      </c>
      <c r="C125" s="15">
        <f>IF(A125&gt;Inputs!$C$62,"",INDEX(Trajectory!$C$23:$C$2000,A125))</f>
        <v/>
      </c>
      <c r="D125" s="15">
        <f>IF(A125&gt;Inputs!$C$62,"",SUM(L125:BK125))</f>
        <v/>
      </c>
      <c r="E125" s="12">
        <f>IF(A125&gt;Inputs!$C$62,"",INDEX(Trajectory!$AG$23:$AG$2000,A125))</f>
        <v/>
      </c>
      <c r="F125" s="12">
        <f>IF(D125=0,0,SUMPRODUCT(L125:BK125,$B$11:$B$63)/D125)</f>
        <v/>
      </c>
      <c r="G125" s="12">
        <f>IF(D125=0,0,MIN(0.95,1-(1-F125)*(1-E125)))</f>
        <v/>
      </c>
      <c r="H125" s="15">
        <f>IF(D125=0,0,D125*G125)</f>
        <v/>
      </c>
      <c r="I125" s="15">
        <f>IF(D125=0,0,D125-H125)</f>
        <v/>
      </c>
      <c r="L125" s="15">
        <f>C125</f>
        <v/>
      </c>
      <c r="M125" s="15">
        <f>MAX(0,L124*(1-INDEX($B$11:$B$63,1))*(1-E124))</f>
        <v/>
      </c>
      <c r="N125" s="15">
        <f>MAX(0,M124*(1-INDEX($B$11:$B$63,2))*(1-E124))</f>
        <v/>
      </c>
      <c r="O125" s="15">
        <f>MAX(0,N124*(1-INDEX($B$11:$B$63,3))*(1-E124))</f>
        <v/>
      </c>
      <c r="P125" s="15">
        <f>MAX(0,O124*(1-INDEX($B$11:$B$63,4))*(1-E124))</f>
        <v/>
      </c>
      <c r="Q125" s="15">
        <f>MAX(0,P124*(1-INDEX($B$11:$B$63,5))*(1-E124))</f>
        <v/>
      </c>
      <c r="R125" s="15">
        <f>MAX(0,Q124*(1-INDEX($B$11:$B$63,6))*(1-E124))</f>
        <v/>
      </c>
      <c r="S125" s="15">
        <f>MAX(0,R124*(1-INDEX($B$11:$B$63,7))*(1-E124))</f>
        <v/>
      </c>
      <c r="T125" s="15">
        <f>MAX(0,S124*(1-INDEX($B$11:$B$63,8))*(1-E124))</f>
        <v/>
      </c>
      <c r="U125" s="15">
        <f>MAX(0,T124*(1-INDEX($B$11:$B$63,9))*(1-E124))</f>
        <v/>
      </c>
      <c r="V125" s="15">
        <f>MAX(0,U124*(1-INDEX($B$11:$B$63,10))*(1-E124))</f>
        <v/>
      </c>
      <c r="W125" s="15">
        <f>MAX(0,V124*(1-INDEX($B$11:$B$63,11))*(1-E124))</f>
        <v/>
      </c>
      <c r="X125" s="15">
        <f>MAX(0,W124*(1-INDEX($B$11:$B$63,12))*(1-E124))</f>
        <v/>
      </c>
      <c r="Y125" s="15">
        <f>MAX(0,X124*(1-INDEX($B$11:$B$63,13))*(1-E124))</f>
        <v/>
      </c>
      <c r="Z125" s="15">
        <f>MAX(0,Y124*(1-INDEX($B$11:$B$63,14))*(1-E124))</f>
        <v/>
      </c>
      <c r="AA125" s="15">
        <f>MAX(0,Z124*(1-INDEX($B$11:$B$63,15))*(1-E124))</f>
        <v/>
      </c>
      <c r="AB125" s="15">
        <f>MAX(0,AA124*(1-INDEX($B$11:$B$63,16))*(1-E124))</f>
        <v/>
      </c>
      <c r="AC125" s="15">
        <f>MAX(0,AB124*(1-INDEX($B$11:$B$63,17))*(1-E124))</f>
        <v/>
      </c>
      <c r="AD125" s="15">
        <f>MAX(0,AC124*(1-INDEX($B$11:$B$63,18))*(1-E124))</f>
        <v/>
      </c>
      <c r="AE125" s="15">
        <f>MAX(0,AD124*(1-INDEX($B$11:$B$63,19))*(1-E124))</f>
        <v/>
      </c>
      <c r="AF125" s="15">
        <f>MAX(0,AE124*(1-INDEX($B$11:$B$63,20))*(1-E124))</f>
        <v/>
      </c>
      <c r="AG125" s="15">
        <f>MAX(0,AF124*(1-INDEX($B$11:$B$63,21))*(1-E124))</f>
        <v/>
      </c>
      <c r="AH125" s="15">
        <f>MAX(0,AG124*(1-INDEX($B$11:$B$63,22))*(1-E124))</f>
        <v/>
      </c>
      <c r="AI125" s="15">
        <f>MAX(0,AH124*(1-INDEX($B$11:$B$63,23))*(1-E124))</f>
        <v/>
      </c>
      <c r="AJ125" s="15">
        <f>MAX(0,AI124*(1-INDEX($B$11:$B$63,24))*(1-E124))</f>
        <v/>
      </c>
      <c r="AK125" s="15">
        <f>MAX(0,AJ124*(1-INDEX($B$11:$B$63,25))*(1-E124))</f>
        <v/>
      </c>
      <c r="AL125" s="15">
        <f>MAX(0,AK124*(1-INDEX($B$11:$B$63,26))*(1-E124))</f>
        <v/>
      </c>
      <c r="AM125" s="15">
        <f>MAX(0,AL124*(1-INDEX($B$11:$B$63,27))*(1-E124))</f>
        <v/>
      </c>
      <c r="AN125" s="15">
        <f>MAX(0,AM124*(1-INDEX($B$11:$B$63,28))*(1-E124))</f>
        <v/>
      </c>
      <c r="AO125" s="15">
        <f>MAX(0,AN124*(1-INDEX($B$11:$B$63,29))*(1-E124))</f>
        <v/>
      </c>
      <c r="AP125" s="15">
        <f>MAX(0,AO124*(1-INDEX($B$11:$B$63,30))*(1-E124))</f>
        <v/>
      </c>
      <c r="AQ125" s="15">
        <f>MAX(0,AP124*(1-INDEX($B$11:$B$63,31))*(1-E124))</f>
        <v/>
      </c>
      <c r="AR125" s="15">
        <f>MAX(0,AQ124*(1-INDEX($B$11:$B$63,32))*(1-E124))</f>
        <v/>
      </c>
      <c r="AS125" s="15">
        <f>MAX(0,AR124*(1-INDEX($B$11:$B$63,33))*(1-E124))</f>
        <v/>
      </c>
      <c r="AT125" s="15">
        <f>MAX(0,AS124*(1-INDEX($B$11:$B$63,34))*(1-E124))</f>
        <v/>
      </c>
      <c r="AU125" s="15">
        <f>MAX(0,AT124*(1-INDEX($B$11:$B$63,35))*(1-E124))</f>
        <v/>
      </c>
      <c r="AV125" s="15">
        <f>MAX(0,AU124*(1-INDEX($B$11:$B$63,36))*(1-E124))</f>
        <v/>
      </c>
      <c r="AW125" s="15">
        <f>MAX(0,AV124*(1-INDEX($B$11:$B$63,37))*(1-E124))</f>
        <v/>
      </c>
      <c r="AX125" s="15">
        <f>MAX(0,AW124*(1-INDEX($B$11:$B$63,38))*(1-E124))</f>
        <v/>
      </c>
      <c r="AY125" s="15">
        <f>MAX(0,AX124*(1-INDEX($B$11:$B$63,39))*(1-E124))</f>
        <v/>
      </c>
      <c r="AZ125" s="15">
        <f>MAX(0,AY124*(1-INDEX($B$11:$B$63,40))*(1-E124))</f>
        <v/>
      </c>
      <c r="BA125" s="15">
        <f>MAX(0,AZ124*(1-INDEX($B$11:$B$63,41))*(1-E124))</f>
        <v/>
      </c>
      <c r="BB125" s="15">
        <f>MAX(0,BA124*(1-INDEX($B$11:$B$63,42))*(1-E124))</f>
        <v/>
      </c>
      <c r="BC125" s="15">
        <f>MAX(0,BB124*(1-INDEX($B$11:$B$63,43))*(1-E124))</f>
        <v/>
      </c>
      <c r="BD125" s="15">
        <f>MAX(0,BC124*(1-INDEX($B$11:$B$63,44))*(1-E124))</f>
        <v/>
      </c>
      <c r="BE125" s="15">
        <f>MAX(0,BD124*(1-INDEX($B$11:$B$63,45))*(1-E124))</f>
        <v/>
      </c>
      <c r="BF125" s="15">
        <f>MAX(0,BE124*(1-INDEX($B$11:$B$63,46))*(1-E124))</f>
        <v/>
      </c>
      <c r="BG125" s="15">
        <f>MAX(0,BF124*(1-INDEX($B$11:$B$63,47))*(1-E124))</f>
        <v/>
      </c>
      <c r="BH125" s="15">
        <f>MAX(0,BG124*(1-INDEX($B$11:$B$63,48))*(1-E124))</f>
        <v/>
      </c>
      <c r="BI125" s="15">
        <f>MAX(0,BH124*(1-INDEX($B$11:$B$63,49))*(1-E124))</f>
        <v/>
      </c>
      <c r="BJ125" s="15">
        <f>MAX(0,BI124*(1-INDEX($B$11:$B$63,50))*(1-E124))</f>
        <v/>
      </c>
      <c r="BK125" s="15">
        <f>MAX(0,BJ124*(1-INDEX($B$11:$B$63,51))*(1-E124))</f>
        <v/>
      </c>
      <c r="BL125" s="15">
        <f>MAX(0,(BL124+BK124)*(1-INDEX($B$11:$B$63,53))*(1-E124))</f>
        <v/>
      </c>
    </row>
    <row r="126">
      <c r="A126" s="55" t="n">
        <v>60</v>
      </c>
      <c r="B126" s="15">
        <f>IF(A126&gt;Inputs!$C$62,"",SUM(M126:BK126))</f>
        <v/>
      </c>
      <c r="C126" s="15">
        <f>IF(A126&gt;Inputs!$C$62,"",INDEX(Trajectory!$C$23:$C$2000,A126))</f>
        <v/>
      </c>
      <c r="D126" s="15">
        <f>IF(A126&gt;Inputs!$C$62,"",SUM(L126:BK126))</f>
        <v/>
      </c>
      <c r="E126" s="12">
        <f>IF(A126&gt;Inputs!$C$62,"",INDEX(Trajectory!$AG$23:$AG$2000,A126))</f>
        <v/>
      </c>
      <c r="F126" s="12">
        <f>IF(D126=0,0,SUMPRODUCT(L126:BK126,$B$11:$B$63)/D126)</f>
        <v/>
      </c>
      <c r="G126" s="12">
        <f>IF(D126=0,0,MIN(0.95,1-(1-F126)*(1-E126)))</f>
        <v/>
      </c>
      <c r="H126" s="15">
        <f>IF(D126=0,0,D126*G126)</f>
        <v/>
      </c>
      <c r="I126" s="15">
        <f>IF(D126=0,0,D126-H126)</f>
        <v/>
      </c>
      <c r="L126" s="15">
        <f>C126</f>
        <v/>
      </c>
      <c r="M126" s="15">
        <f>MAX(0,L125*(1-INDEX($B$11:$B$63,1))*(1-E125))</f>
        <v/>
      </c>
      <c r="N126" s="15">
        <f>MAX(0,M125*(1-INDEX($B$11:$B$63,2))*(1-E125))</f>
        <v/>
      </c>
      <c r="O126" s="15">
        <f>MAX(0,N125*(1-INDEX($B$11:$B$63,3))*(1-E125))</f>
        <v/>
      </c>
      <c r="P126" s="15">
        <f>MAX(0,O125*(1-INDEX($B$11:$B$63,4))*(1-E125))</f>
        <v/>
      </c>
      <c r="Q126" s="15">
        <f>MAX(0,P125*(1-INDEX($B$11:$B$63,5))*(1-E125))</f>
        <v/>
      </c>
      <c r="R126" s="15">
        <f>MAX(0,Q125*(1-INDEX($B$11:$B$63,6))*(1-E125))</f>
        <v/>
      </c>
      <c r="S126" s="15">
        <f>MAX(0,R125*(1-INDEX($B$11:$B$63,7))*(1-E125))</f>
        <v/>
      </c>
      <c r="T126" s="15">
        <f>MAX(0,S125*(1-INDEX($B$11:$B$63,8))*(1-E125))</f>
        <v/>
      </c>
      <c r="U126" s="15">
        <f>MAX(0,T125*(1-INDEX($B$11:$B$63,9))*(1-E125))</f>
        <v/>
      </c>
      <c r="V126" s="15">
        <f>MAX(0,U125*(1-INDEX($B$11:$B$63,10))*(1-E125))</f>
        <v/>
      </c>
      <c r="W126" s="15">
        <f>MAX(0,V125*(1-INDEX($B$11:$B$63,11))*(1-E125))</f>
        <v/>
      </c>
      <c r="X126" s="15">
        <f>MAX(0,W125*(1-INDEX($B$11:$B$63,12))*(1-E125))</f>
        <v/>
      </c>
      <c r="Y126" s="15">
        <f>MAX(0,X125*(1-INDEX($B$11:$B$63,13))*(1-E125))</f>
        <v/>
      </c>
      <c r="Z126" s="15">
        <f>MAX(0,Y125*(1-INDEX($B$11:$B$63,14))*(1-E125))</f>
        <v/>
      </c>
      <c r="AA126" s="15">
        <f>MAX(0,Z125*(1-INDEX($B$11:$B$63,15))*(1-E125))</f>
        <v/>
      </c>
      <c r="AB126" s="15">
        <f>MAX(0,AA125*(1-INDEX($B$11:$B$63,16))*(1-E125))</f>
        <v/>
      </c>
      <c r="AC126" s="15">
        <f>MAX(0,AB125*(1-INDEX($B$11:$B$63,17))*(1-E125))</f>
        <v/>
      </c>
      <c r="AD126" s="15">
        <f>MAX(0,AC125*(1-INDEX($B$11:$B$63,18))*(1-E125))</f>
        <v/>
      </c>
      <c r="AE126" s="15">
        <f>MAX(0,AD125*(1-INDEX($B$11:$B$63,19))*(1-E125))</f>
        <v/>
      </c>
      <c r="AF126" s="15">
        <f>MAX(0,AE125*(1-INDEX($B$11:$B$63,20))*(1-E125))</f>
        <v/>
      </c>
      <c r="AG126" s="15">
        <f>MAX(0,AF125*(1-INDEX($B$11:$B$63,21))*(1-E125))</f>
        <v/>
      </c>
      <c r="AH126" s="15">
        <f>MAX(0,AG125*(1-INDEX($B$11:$B$63,22))*(1-E125))</f>
        <v/>
      </c>
      <c r="AI126" s="15">
        <f>MAX(0,AH125*(1-INDEX($B$11:$B$63,23))*(1-E125))</f>
        <v/>
      </c>
      <c r="AJ126" s="15">
        <f>MAX(0,AI125*(1-INDEX($B$11:$B$63,24))*(1-E125))</f>
        <v/>
      </c>
      <c r="AK126" s="15">
        <f>MAX(0,AJ125*(1-INDEX($B$11:$B$63,25))*(1-E125))</f>
        <v/>
      </c>
      <c r="AL126" s="15">
        <f>MAX(0,AK125*(1-INDEX($B$11:$B$63,26))*(1-E125))</f>
        <v/>
      </c>
      <c r="AM126" s="15">
        <f>MAX(0,AL125*(1-INDEX($B$11:$B$63,27))*(1-E125))</f>
        <v/>
      </c>
      <c r="AN126" s="15">
        <f>MAX(0,AM125*(1-INDEX($B$11:$B$63,28))*(1-E125))</f>
        <v/>
      </c>
      <c r="AO126" s="15">
        <f>MAX(0,AN125*(1-INDEX($B$11:$B$63,29))*(1-E125))</f>
        <v/>
      </c>
      <c r="AP126" s="15">
        <f>MAX(0,AO125*(1-INDEX($B$11:$B$63,30))*(1-E125))</f>
        <v/>
      </c>
      <c r="AQ126" s="15">
        <f>MAX(0,AP125*(1-INDEX($B$11:$B$63,31))*(1-E125))</f>
        <v/>
      </c>
      <c r="AR126" s="15">
        <f>MAX(0,AQ125*(1-INDEX($B$11:$B$63,32))*(1-E125))</f>
        <v/>
      </c>
      <c r="AS126" s="15">
        <f>MAX(0,AR125*(1-INDEX($B$11:$B$63,33))*(1-E125))</f>
        <v/>
      </c>
      <c r="AT126" s="15">
        <f>MAX(0,AS125*(1-INDEX($B$11:$B$63,34))*(1-E125))</f>
        <v/>
      </c>
      <c r="AU126" s="15">
        <f>MAX(0,AT125*(1-INDEX($B$11:$B$63,35))*(1-E125))</f>
        <v/>
      </c>
      <c r="AV126" s="15">
        <f>MAX(0,AU125*(1-INDEX($B$11:$B$63,36))*(1-E125))</f>
        <v/>
      </c>
      <c r="AW126" s="15">
        <f>MAX(0,AV125*(1-INDEX($B$11:$B$63,37))*(1-E125))</f>
        <v/>
      </c>
      <c r="AX126" s="15">
        <f>MAX(0,AW125*(1-INDEX($B$11:$B$63,38))*(1-E125))</f>
        <v/>
      </c>
      <c r="AY126" s="15">
        <f>MAX(0,AX125*(1-INDEX($B$11:$B$63,39))*(1-E125))</f>
        <v/>
      </c>
      <c r="AZ126" s="15">
        <f>MAX(0,AY125*(1-INDEX($B$11:$B$63,40))*(1-E125))</f>
        <v/>
      </c>
      <c r="BA126" s="15">
        <f>MAX(0,AZ125*(1-INDEX($B$11:$B$63,41))*(1-E125))</f>
        <v/>
      </c>
      <c r="BB126" s="15">
        <f>MAX(0,BA125*(1-INDEX($B$11:$B$63,42))*(1-E125))</f>
        <v/>
      </c>
      <c r="BC126" s="15">
        <f>MAX(0,BB125*(1-INDEX($B$11:$B$63,43))*(1-E125))</f>
        <v/>
      </c>
      <c r="BD126" s="15">
        <f>MAX(0,BC125*(1-INDEX($B$11:$B$63,44))*(1-E125))</f>
        <v/>
      </c>
      <c r="BE126" s="15">
        <f>MAX(0,BD125*(1-INDEX($B$11:$B$63,45))*(1-E125))</f>
        <v/>
      </c>
      <c r="BF126" s="15">
        <f>MAX(0,BE125*(1-INDEX($B$11:$B$63,46))*(1-E125))</f>
        <v/>
      </c>
      <c r="BG126" s="15">
        <f>MAX(0,BF125*(1-INDEX($B$11:$B$63,47))*(1-E125))</f>
        <v/>
      </c>
      <c r="BH126" s="15">
        <f>MAX(0,BG125*(1-INDEX($B$11:$B$63,48))*(1-E125))</f>
        <v/>
      </c>
      <c r="BI126" s="15">
        <f>MAX(0,BH125*(1-INDEX($B$11:$B$63,49))*(1-E125))</f>
        <v/>
      </c>
      <c r="BJ126" s="15">
        <f>MAX(0,BI125*(1-INDEX($B$11:$B$63,50))*(1-E125))</f>
        <v/>
      </c>
      <c r="BK126" s="15">
        <f>MAX(0,BJ125*(1-INDEX($B$11:$B$63,51))*(1-E125))</f>
        <v/>
      </c>
      <c r="BL126" s="15">
        <f>MAX(0,(BL125+BK125)*(1-INDEX($B$11:$B$63,53))*(1-E125))</f>
        <v/>
      </c>
    </row>
    <row r="127">
      <c r="A127" s="55" t="n">
        <v>61</v>
      </c>
      <c r="B127" s="15">
        <f>IF(A127&gt;Inputs!$C$62,"",SUM(M127:BK127))</f>
        <v/>
      </c>
      <c r="C127" s="15">
        <f>IF(A127&gt;Inputs!$C$62,"",INDEX(Trajectory!$C$23:$C$2000,A127))</f>
        <v/>
      </c>
      <c r="D127" s="15">
        <f>IF(A127&gt;Inputs!$C$62,"",SUM(L127:BK127))</f>
        <v/>
      </c>
      <c r="E127" s="12">
        <f>IF(A127&gt;Inputs!$C$62,"",INDEX(Trajectory!$AG$23:$AG$2000,A127))</f>
        <v/>
      </c>
      <c r="F127" s="12">
        <f>IF(D127=0,0,SUMPRODUCT(L127:BK127,$B$11:$B$63)/D127)</f>
        <v/>
      </c>
      <c r="G127" s="12">
        <f>IF(D127=0,0,MIN(0.95,1-(1-F127)*(1-E127)))</f>
        <v/>
      </c>
      <c r="H127" s="15">
        <f>IF(D127=0,0,D127*G127)</f>
        <v/>
      </c>
      <c r="I127" s="15">
        <f>IF(D127=0,0,D127-H127)</f>
        <v/>
      </c>
      <c r="L127" s="15">
        <f>C127</f>
        <v/>
      </c>
      <c r="M127" s="15">
        <f>MAX(0,L126*(1-INDEX($B$11:$B$63,1))*(1-E126))</f>
        <v/>
      </c>
      <c r="N127" s="15">
        <f>MAX(0,M126*(1-INDEX($B$11:$B$63,2))*(1-E126))</f>
        <v/>
      </c>
      <c r="O127" s="15">
        <f>MAX(0,N126*(1-INDEX($B$11:$B$63,3))*(1-E126))</f>
        <v/>
      </c>
      <c r="P127" s="15">
        <f>MAX(0,O126*(1-INDEX($B$11:$B$63,4))*(1-E126))</f>
        <v/>
      </c>
      <c r="Q127" s="15">
        <f>MAX(0,P126*(1-INDEX($B$11:$B$63,5))*(1-E126))</f>
        <v/>
      </c>
      <c r="R127" s="15">
        <f>MAX(0,Q126*(1-INDEX($B$11:$B$63,6))*(1-E126))</f>
        <v/>
      </c>
      <c r="S127" s="15">
        <f>MAX(0,R126*(1-INDEX($B$11:$B$63,7))*(1-E126))</f>
        <v/>
      </c>
      <c r="T127" s="15">
        <f>MAX(0,S126*(1-INDEX($B$11:$B$63,8))*(1-E126))</f>
        <v/>
      </c>
      <c r="U127" s="15">
        <f>MAX(0,T126*(1-INDEX($B$11:$B$63,9))*(1-E126))</f>
        <v/>
      </c>
      <c r="V127" s="15">
        <f>MAX(0,U126*(1-INDEX($B$11:$B$63,10))*(1-E126))</f>
        <v/>
      </c>
      <c r="W127" s="15">
        <f>MAX(0,V126*(1-INDEX($B$11:$B$63,11))*(1-E126))</f>
        <v/>
      </c>
      <c r="X127" s="15">
        <f>MAX(0,W126*(1-INDEX($B$11:$B$63,12))*(1-E126))</f>
        <v/>
      </c>
      <c r="Y127" s="15">
        <f>MAX(0,X126*(1-INDEX($B$11:$B$63,13))*(1-E126))</f>
        <v/>
      </c>
      <c r="Z127" s="15">
        <f>MAX(0,Y126*(1-INDEX($B$11:$B$63,14))*(1-E126))</f>
        <v/>
      </c>
      <c r="AA127" s="15">
        <f>MAX(0,Z126*(1-INDEX($B$11:$B$63,15))*(1-E126))</f>
        <v/>
      </c>
      <c r="AB127" s="15">
        <f>MAX(0,AA126*(1-INDEX($B$11:$B$63,16))*(1-E126))</f>
        <v/>
      </c>
      <c r="AC127" s="15">
        <f>MAX(0,AB126*(1-INDEX($B$11:$B$63,17))*(1-E126))</f>
        <v/>
      </c>
      <c r="AD127" s="15">
        <f>MAX(0,AC126*(1-INDEX($B$11:$B$63,18))*(1-E126))</f>
        <v/>
      </c>
      <c r="AE127" s="15">
        <f>MAX(0,AD126*(1-INDEX($B$11:$B$63,19))*(1-E126))</f>
        <v/>
      </c>
      <c r="AF127" s="15">
        <f>MAX(0,AE126*(1-INDEX($B$11:$B$63,20))*(1-E126))</f>
        <v/>
      </c>
      <c r="AG127" s="15">
        <f>MAX(0,AF126*(1-INDEX($B$11:$B$63,21))*(1-E126))</f>
        <v/>
      </c>
      <c r="AH127" s="15">
        <f>MAX(0,AG126*(1-INDEX($B$11:$B$63,22))*(1-E126))</f>
        <v/>
      </c>
      <c r="AI127" s="15">
        <f>MAX(0,AH126*(1-INDEX($B$11:$B$63,23))*(1-E126))</f>
        <v/>
      </c>
      <c r="AJ127" s="15">
        <f>MAX(0,AI126*(1-INDEX($B$11:$B$63,24))*(1-E126))</f>
        <v/>
      </c>
      <c r="AK127" s="15">
        <f>MAX(0,AJ126*(1-INDEX($B$11:$B$63,25))*(1-E126))</f>
        <v/>
      </c>
      <c r="AL127" s="15">
        <f>MAX(0,AK126*(1-INDEX($B$11:$B$63,26))*(1-E126))</f>
        <v/>
      </c>
      <c r="AM127" s="15">
        <f>MAX(0,AL126*(1-INDEX($B$11:$B$63,27))*(1-E126))</f>
        <v/>
      </c>
      <c r="AN127" s="15">
        <f>MAX(0,AM126*(1-INDEX($B$11:$B$63,28))*(1-E126))</f>
        <v/>
      </c>
      <c r="AO127" s="15">
        <f>MAX(0,AN126*(1-INDEX($B$11:$B$63,29))*(1-E126))</f>
        <v/>
      </c>
      <c r="AP127" s="15">
        <f>MAX(0,AO126*(1-INDEX($B$11:$B$63,30))*(1-E126))</f>
        <v/>
      </c>
      <c r="AQ127" s="15">
        <f>MAX(0,AP126*(1-INDEX($B$11:$B$63,31))*(1-E126))</f>
        <v/>
      </c>
      <c r="AR127" s="15">
        <f>MAX(0,AQ126*(1-INDEX($B$11:$B$63,32))*(1-E126))</f>
        <v/>
      </c>
      <c r="AS127" s="15">
        <f>MAX(0,AR126*(1-INDEX($B$11:$B$63,33))*(1-E126))</f>
        <v/>
      </c>
      <c r="AT127" s="15">
        <f>MAX(0,AS126*(1-INDEX($B$11:$B$63,34))*(1-E126))</f>
        <v/>
      </c>
      <c r="AU127" s="15">
        <f>MAX(0,AT126*(1-INDEX($B$11:$B$63,35))*(1-E126))</f>
        <v/>
      </c>
      <c r="AV127" s="15">
        <f>MAX(0,AU126*(1-INDEX($B$11:$B$63,36))*(1-E126))</f>
        <v/>
      </c>
      <c r="AW127" s="15">
        <f>MAX(0,AV126*(1-INDEX($B$11:$B$63,37))*(1-E126))</f>
        <v/>
      </c>
      <c r="AX127" s="15">
        <f>MAX(0,AW126*(1-INDEX($B$11:$B$63,38))*(1-E126))</f>
        <v/>
      </c>
      <c r="AY127" s="15">
        <f>MAX(0,AX126*(1-INDEX($B$11:$B$63,39))*(1-E126))</f>
        <v/>
      </c>
      <c r="AZ127" s="15">
        <f>MAX(0,AY126*(1-INDEX($B$11:$B$63,40))*(1-E126))</f>
        <v/>
      </c>
      <c r="BA127" s="15">
        <f>MAX(0,AZ126*(1-INDEX($B$11:$B$63,41))*(1-E126))</f>
        <v/>
      </c>
      <c r="BB127" s="15">
        <f>MAX(0,BA126*(1-INDEX($B$11:$B$63,42))*(1-E126))</f>
        <v/>
      </c>
      <c r="BC127" s="15">
        <f>MAX(0,BB126*(1-INDEX($B$11:$B$63,43))*(1-E126))</f>
        <v/>
      </c>
      <c r="BD127" s="15">
        <f>MAX(0,BC126*(1-INDEX($B$11:$B$63,44))*(1-E126))</f>
        <v/>
      </c>
      <c r="BE127" s="15">
        <f>MAX(0,BD126*(1-INDEX($B$11:$B$63,45))*(1-E126))</f>
        <v/>
      </c>
      <c r="BF127" s="15">
        <f>MAX(0,BE126*(1-INDEX($B$11:$B$63,46))*(1-E126))</f>
        <v/>
      </c>
      <c r="BG127" s="15">
        <f>MAX(0,BF126*(1-INDEX($B$11:$B$63,47))*(1-E126))</f>
        <v/>
      </c>
      <c r="BH127" s="15">
        <f>MAX(0,BG126*(1-INDEX($B$11:$B$63,48))*(1-E126))</f>
        <v/>
      </c>
      <c r="BI127" s="15">
        <f>MAX(0,BH126*(1-INDEX($B$11:$B$63,49))*(1-E126))</f>
        <v/>
      </c>
      <c r="BJ127" s="15">
        <f>MAX(0,BI126*(1-INDEX($B$11:$B$63,50))*(1-E126))</f>
        <v/>
      </c>
      <c r="BK127" s="15">
        <f>MAX(0,BJ126*(1-INDEX($B$11:$B$63,51))*(1-E126))</f>
        <v/>
      </c>
      <c r="BL127" s="15">
        <f>MAX(0,(BL126+BK126)*(1-INDEX($B$11:$B$63,53))*(1-E126))</f>
        <v/>
      </c>
    </row>
    <row r="128">
      <c r="A128" s="55" t="n">
        <v>62</v>
      </c>
      <c r="B128" s="15">
        <f>IF(A128&gt;Inputs!$C$62,"",SUM(M128:BK128))</f>
        <v/>
      </c>
      <c r="C128" s="15">
        <f>IF(A128&gt;Inputs!$C$62,"",INDEX(Trajectory!$C$23:$C$2000,A128))</f>
        <v/>
      </c>
      <c r="D128" s="15">
        <f>IF(A128&gt;Inputs!$C$62,"",SUM(L128:BK128))</f>
        <v/>
      </c>
      <c r="E128" s="12">
        <f>IF(A128&gt;Inputs!$C$62,"",INDEX(Trajectory!$AG$23:$AG$2000,A128))</f>
        <v/>
      </c>
      <c r="F128" s="12">
        <f>IF(D128=0,0,SUMPRODUCT(L128:BK128,$B$11:$B$63)/D128)</f>
        <v/>
      </c>
      <c r="G128" s="12">
        <f>IF(D128=0,0,MIN(0.95,1-(1-F128)*(1-E128)))</f>
        <v/>
      </c>
      <c r="H128" s="15">
        <f>IF(D128=0,0,D128*G128)</f>
        <v/>
      </c>
      <c r="I128" s="15">
        <f>IF(D128=0,0,D128-H128)</f>
        <v/>
      </c>
      <c r="L128" s="15">
        <f>C128</f>
        <v/>
      </c>
      <c r="M128" s="15">
        <f>MAX(0,L127*(1-INDEX($B$11:$B$63,1))*(1-E127))</f>
        <v/>
      </c>
      <c r="N128" s="15">
        <f>MAX(0,M127*(1-INDEX($B$11:$B$63,2))*(1-E127))</f>
        <v/>
      </c>
      <c r="O128" s="15">
        <f>MAX(0,N127*(1-INDEX($B$11:$B$63,3))*(1-E127))</f>
        <v/>
      </c>
      <c r="P128" s="15">
        <f>MAX(0,O127*(1-INDEX($B$11:$B$63,4))*(1-E127))</f>
        <v/>
      </c>
      <c r="Q128" s="15">
        <f>MAX(0,P127*(1-INDEX($B$11:$B$63,5))*(1-E127))</f>
        <v/>
      </c>
      <c r="R128" s="15">
        <f>MAX(0,Q127*(1-INDEX($B$11:$B$63,6))*(1-E127))</f>
        <v/>
      </c>
      <c r="S128" s="15">
        <f>MAX(0,R127*(1-INDEX($B$11:$B$63,7))*(1-E127))</f>
        <v/>
      </c>
      <c r="T128" s="15">
        <f>MAX(0,S127*(1-INDEX($B$11:$B$63,8))*(1-E127))</f>
        <v/>
      </c>
      <c r="U128" s="15">
        <f>MAX(0,T127*(1-INDEX($B$11:$B$63,9))*(1-E127))</f>
        <v/>
      </c>
      <c r="V128" s="15">
        <f>MAX(0,U127*(1-INDEX($B$11:$B$63,10))*(1-E127))</f>
        <v/>
      </c>
      <c r="W128" s="15">
        <f>MAX(0,V127*(1-INDEX($B$11:$B$63,11))*(1-E127))</f>
        <v/>
      </c>
      <c r="X128" s="15">
        <f>MAX(0,W127*(1-INDEX($B$11:$B$63,12))*(1-E127))</f>
        <v/>
      </c>
      <c r="Y128" s="15">
        <f>MAX(0,X127*(1-INDEX($B$11:$B$63,13))*(1-E127))</f>
        <v/>
      </c>
      <c r="Z128" s="15">
        <f>MAX(0,Y127*(1-INDEX($B$11:$B$63,14))*(1-E127))</f>
        <v/>
      </c>
      <c r="AA128" s="15">
        <f>MAX(0,Z127*(1-INDEX($B$11:$B$63,15))*(1-E127))</f>
        <v/>
      </c>
      <c r="AB128" s="15">
        <f>MAX(0,AA127*(1-INDEX($B$11:$B$63,16))*(1-E127))</f>
        <v/>
      </c>
      <c r="AC128" s="15">
        <f>MAX(0,AB127*(1-INDEX($B$11:$B$63,17))*(1-E127))</f>
        <v/>
      </c>
      <c r="AD128" s="15">
        <f>MAX(0,AC127*(1-INDEX($B$11:$B$63,18))*(1-E127))</f>
        <v/>
      </c>
      <c r="AE128" s="15">
        <f>MAX(0,AD127*(1-INDEX($B$11:$B$63,19))*(1-E127))</f>
        <v/>
      </c>
      <c r="AF128" s="15">
        <f>MAX(0,AE127*(1-INDEX($B$11:$B$63,20))*(1-E127))</f>
        <v/>
      </c>
      <c r="AG128" s="15">
        <f>MAX(0,AF127*(1-INDEX($B$11:$B$63,21))*(1-E127))</f>
        <v/>
      </c>
      <c r="AH128" s="15">
        <f>MAX(0,AG127*(1-INDEX($B$11:$B$63,22))*(1-E127))</f>
        <v/>
      </c>
      <c r="AI128" s="15">
        <f>MAX(0,AH127*(1-INDEX($B$11:$B$63,23))*(1-E127))</f>
        <v/>
      </c>
      <c r="AJ128" s="15">
        <f>MAX(0,AI127*(1-INDEX($B$11:$B$63,24))*(1-E127))</f>
        <v/>
      </c>
      <c r="AK128" s="15">
        <f>MAX(0,AJ127*(1-INDEX($B$11:$B$63,25))*(1-E127))</f>
        <v/>
      </c>
      <c r="AL128" s="15">
        <f>MAX(0,AK127*(1-INDEX($B$11:$B$63,26))*(1-E127))</f>
        <v/>
      </c>
      <c r="AM128" s="15">
        <f>MAX(0,AL127*(1-INDEX($B$11:$B$63,27))*(1-E127))</f>
        <v/>
      </c>
      <c r="AN128" s="15">
        <f>MAX(0,AM127*(1-INDEX($B$11:$B$63,28))*(1-E127))</f>
        <v/>
      </c>
      <c r="AO128" s="15">
        <f>MAX(0,AN127*(1-INDEX($B$11:$B$63,29))*(1-E127))</f>
        <v/>
      </c>
      <c r="AP128" s="15">
        <f>MAX(0,AO127*(1-INDEX($B$11:$B$63,30))*(1-E127))</f>
        <v/>
      </c>
      <c r="AQ128" s="15">
        <f>MAX(0,AP127*(1-INDEX($B$11:$B$63,31))*(1-E127))</f>
        <v/>
      </c>
      <c r="AR128" s="15">
        <f>MAX(0,AQ127*(1-INDEX($B$11:$B$63,32))*(1-E127))</f>
        <v/>
      </c>
      <c r="AS128" s="15">
        <f>MAX(0,AR127*(1-INDEX($B$11:$B$63,33))*(1-E127))</f>
        <v/>
      </c>
      <c r="AT128" s="15">
        <f>MAX(0,AS127*(1-INDEX($B$11:$B$63,34))*(1-E127))</f>
        <v/>
      </c>
      <c r="AU128" s="15">
        <f>MAX(0,AT127*(1-INDEX($B$11:$B$63,35))*(1-E127))</f>
        <v/>
      </c>
      <c r="AV128" s="15">
        <f>MAX(0,AU127*(1-INDEX($B$11:$B$63,36))*(1-E127))</f>
        <v/>
      </c>
      <c r="AW128" s="15">
        <f>MAX(0,AV127*(1-INDEX($B$11:$B$63,37))*(1-E127))</f>
        <v/>
      </c>
      <c r="AX128" s="15">
        <f>MAX(0,AW127*(1-INDEX($B$11:$B$63,38))*(1-E127))</f>
        <v/>
      </c>
      <c r="AY128" s="15">
        <f>MAX(0,AX127*(1-INDEX($B$11:$B$63,39))*(1-E127))</f>
        <v/>
      </c>
      <c r="AZ128" s="15">
        <f>MAX(0,AY127*(1-INDEX($B$11:$B$63,40))*(1-E127))</f>
        <v/>
      </c>
      <c r="BA128" s="15">
        <f>MAX(0,AZ127*(1-INDEX($B$11:$B$63,41))*(1-E127))</f>
        <v/>
      </c>
      <c r="BB128" s="15">
        <f>MAX(0,BA127*(1-INDEX($B$11:$B$63,42))*(1-E127))</f>
        <v/>
      </c>
      <c r="BC128" s="15">
        <f>MAX(0,BB127*(1-INDEX($B$11:$B$63,43))*(1-E127))</f>
        <v/>
      </c>
      <c r="BD128" s="15">
        <f>MAX(0,BC127*(1-INDEX($B$11:$B$63,44))*(1-E127))</f>
        <v/>
      </c>
      <c r="BE128" s="15">
        <f>MAX(0,BD127*(1-INDEX($B$11:$B$63,45))*(1-E127))</f>
        <v/>
      </c>
      <c r="BF128" s="15">
        <f>MAX(0,BE127*(1-INDEX($B$11:$B$63,46))*(1-E127))</f>
        <v/>
      </c>
      <c r="BG128" s="15">
        <f>MAX(0,BF127*(1-INDEX($B$11:$B$63,47))*(1-E127))</f>
        <v/>
      </c>
      <c r="BH128" s="15">
        <f>MAX(0,BG127*(1-INDEX($B$11:$B$63,48))*(1-E127))</f>
        <v/>
      </c>
      <c r="BI128" s="15">
        <f>MAX(0,BH127*(1-INDEX($B$11:$B$63,49))*(1-E127))</f>
        <v/>
      </c>
      <c r="BJ128" s="15">
        <f>MAX(0,BI127*(1-INDEX($B$11:$B$63,50))*(1-E127))</f>
        <v/>
      </c>
      <c r="BK128" s="15">
        <f>MAX(0,BJ127*(1-INDEX($B$11:$B$63,51))*(1-E127))</f>
        <v/>
      </c>
      <c r="BL128" s="15">
        <f>MAX(0,(BL127+BK127)*(1-INDEX($B$11:$B$63,53))*(1-E127))</f>
        <v/>
      </c>
    </row>
    <row r="129">
      <c r="A129" s="55" t="n">
        <v>63</v>
      </c>
      <c r="B129" s="15">
        <f>IF(A129&gt;Inputs!$C$62,"",SUM(M129:BK129))</f>
        <v/>
      </c>
      <c r="C129" s="15">
        <f>IF(A129&gt;Inputs!$C$62,"",INDEX(Trajectory!$C$23:$C$2000,A129))</f>
        <v/>
      </c>
      <c r="D129" s="15">
        <f>IF(A129&gt;Inputs!$C$62,"",SUM(L129:BK129))</f>
        <v/>
      </c>
      <c r="E129" s="12">
        <f>IF(A129&gt;Inputs!$C$62,"",INDEX(Trajectory!$AG$23:$AG$2000,A129))</f>
        <v/>
      </c>
      <c r="F129" s="12">
        <f>IF(D129=0,0,SUMPRODUCT(L129:BK129,$B$11:$B$63)/D129)</f>
        <v/>
      </c>
      <c r="G129" s="12">
        <f>IF(D129=0,0,MIN(0.95,1-(1-F129)*(1-E129)))</f>
        <v/>
      </c>
      <c r="H129" s="15">
        <f>IF(D129=0,0,D129*G129)</f>
        <v/>
      </c>
      <c r="I129" s="15">
        <f>IF(D129=0,0,D129-H129)</f>
        <v/>
      </c>
      <c r="L129" s="15">
        <f>C129</f>
        <v/>
      </c>
      <c r="M129" s="15">
        <f>MAX(0,L128*(1-INDEX($B$11:$B$63,1))*(1-E128))</f>
        <v/>
      </c>
      <c r="N129" s="15">
        <f>MAX(0,M128*(1-INDEX($B$11:$B$63,2))*(1-E128))</f>
        <v/>
      </c>
      <c r="O129" s="15">
        <f>MAX(0,N128*(1-INDEX($B$11:$B$63,3))*(1-E128))</f>
        <v/>
      </c>
      <c r="P129" s="15">
        <f>MAX(0,O128*(1-INDEX($B$11:$B$63,4))*(1-E128))</f>
        <v/>
      </c>
      <c r="Q129" s="15">
        <f>MAX(0,P128*(1-INDEX($B$11:$B$63,5))*(1-E128))</f>
        <v/>
      </c>
      <c r="R129" s="15">
        <f>MAX(0,Q128*(1-INDEX($B$11:$B$63,6))*(1-E128))</f>
        <v/>
      </c>
      <c r="S129" s="15">
        <f>MAX(0,R128*(1-INDEX($B$11:$B$63,7))*(1-E128))</f>
        <v/>
      </c>
      <c r="T129" s="15">
        <f>MAX(0,S128*(1-INDEX($B$11:$B$63,8))*(1-E128))</f>
        <v/>
      </c>
      <c r="U129" s="15">
        <f>MAX(0,T128*(1-INDEX($B$11:$B$63,9))*(1-E128))</f>
        <v/>
      </c>
      <c r="V129" s="15">
        <f>MAX(0,U128*(1-INDEX($B$11:$B$63,10))*(1-E128))</f>
        <v/>
      </c>
      <c r="W129" s="15">
        <f>MAX(0,V128*(1-INDEX($B$11:$B$63,11))*(1-E128))</f>
        <v/>
      </c>
      <c r="X129" s="15">
        <f>MAX(0,W128*(1-INDEX($B$11:$B$63,12))*(1-E128))</f>
        <v/>
      </c>
      <c r="Y129" s="15">
        <f>MAX(0,X128*(1-INDEX($B$11:$B$63,13))*(1-E128))</f>
        <v/>
      </c>
      <c r="Z129" s="15">
        <f>MAX(0,Y128*(1-INDEX($B$11:$B$63,14))*(1-E128))</f>
        <v/>
      </c>
      <c r="AA129" s="15">
        <f>MAX(0,Z128*(1-INDEX($B$11:$B$63,15))*(1-E128))</f>
        <v/>
      </c>
      <c r="AB129" s="15">
        <f>MAX(0,AA128*(1-INDEX($B$11:$B$63,16))*(1-E128))</f>
        <v/>
      </c>
      <c r="AC129" s="15">
        <f>MAX(0,AB128*(1-INDEX($B$11:$B$63,17))*(1-E128))</f>
        <v/>
      </c>
      <c r="AD129" s="15">
        <f>MAX(0,AC128*(1-INDEX($B$11:$B$63,18))*(1-E128))</f>
        <v/>
      </c>
      <c r="AE129" s="15">
        <f>MAX(0,AD128*(1-INDEX($B$11:$B$63,19))*(1-E128))</f>
        <v/>
      </c>
      <c r="AF129" s="15">
        <f>MAX(0,AE128*(1-INDEX($B$11:$B$63,20))*(1-E128))</f>
        <v/>
      </c>
      <c r="AG129" s="15">
        <f>MAX(0,AF128*(1-INDEX($B$11:$B$63,21))*(1-E128))</f>
        <v/>
      </c>
      <c r="AH129" s="15">
        <f>MAX(0,AG128*(1-INDEX($B$11:$B$63,22))*(1-E128))</f>
        <v/>
      </c>
      <c r="AI129" s="15">
        <f>MAX(0,AH128*(1-INDEX($B$11:$B$63,23))*(1-E128))</f>
        <v/>
      </c>
      <c r="AJ129" s="15">
        <f>MAX(0,AI128*(1-INDEX($B$11:$B$63,24))*(1-E128))</f>
        <v/>
      </c>
      <c r="AK129" s="15">
        <f>MAX(0,AJ128*(1-INDEX($B$11:$B$63,25))*(1-E128))</f>
        <v/>
      </c>
      <c r="AL129" s="15">
        <f>MAX(0,AK128*(1-INDEX($B$11:$B$63,26))*(1-E128))</f>
        <v/>
      </c>
      <c r="AM129" s="15">
        <f>MAX(0,AL128*(1-INDEX($B$11:$B$63,27))*(1-E128))</f>
        <v/>
      </c>
      <c r="AN129" s="15">
        <f>MAX(0,AM128*(1-INDEX($B$11:$B$63,28))*(1-E128))</f>
        <v/>
      </c>
      <c r="AO129" s="15">
        <f>MAX(0,AN128*(1-INDEX($B$11:$B$63,29))*(1-E128))</f>
        <v/>
      </c>
      <c r="AP129" s="15">
        <f>MAX(0,AO128*(1-INDEX($B$11:$B$63,30))*(1-E128))</f>
        <v/>
      </c>
      <c r="AQ129" s="15">
        <f>MAX(0,AP128*(1-INDEX($B$11:$B$63,31))*(1-E128))</f>
        <v/>
      </c>
      <c r="AR129" s="15">
        <f>MAX(0,AQ128*(1-INDEX($B$11:$B$63,32))*(1-E128))</f>
        <v/>
      </c>
      <c r="AS129" s="15">
        <f>MAX(0,AR128*(1-INDEX($B$11:$B$63,33))*(1-E128))</f>
        <v/>
      </c>
      <c r="AT129" s="15">
        <f>MAX(0,AS128*(1-INDEX($B$11:$B$63,34))*(1-E128))</f>
        <v/>
      </c>
      <c r="AU129" s="15">
        <f>MAX(0,AT128*(1-INDEX($B$11:$B$63,35))*(1-E128))</f>
        <v/>
      </c>
      <c r="AV129" s="15">
        <f>MAX(0,AU128*(1-INDEX($B$11:$B$63,36))*(1-E128))</f>
        <v/>
      </c>
      <c r="AW129" s="15">
        <f>MAX(0,AV128*(1-INDEX($B$11:$B$63,37))*(1-E128))</f>
        <v/>
      </c>
      <c r="AX129" s="15">
        <f>MAX(0,AW128*(1-INDEX($B$11:$B$63,38))*(1-E128))</f>
        <v/>
      </c>
      <c r="AY129" s="15">
        <f>MAX(0,AX128*(1-INDEX($B$11:$B$63,39))*(1-E128))</f>
        <v/>
      </c>
      <c r="AZ129" s="15">
        <f>MAX(0,AY128*(1-INDEX($B$11:$B$63,40))*(1-E128))</f>
        <v/>
      </c>
      <c r="BA129" s="15">
        <f>MAX(0,AZ128*(1-INDEX($B$11:$B$63,41))*(1-E128))</f>
        <v/>
      </c>
      <c r="BB129" s="15">
        <f>MAX(0,BA128*(1-INDEX($B$11:$B$63,42))*(1-E128))</f>
        <v/>
      </c>
      <c r="BC129" s="15">
        <f>MAX(0,BB128*(1-INDEX($B$11:$B$63,43))*(1-E128))</f>
        <v/>
      </c>
      <c r="BD129" s="15">
        <f>MAX(0,BC128*(1-INDEX($B$11:$B$63,44))*(1-E128))</f>
        <v/>
      </c>
      <c r="BE129" s="15">
        <f>MAX(0,BD128*(1-INDEX($B$11:$B$63,45))*(1-E128))</f>
        <v/>
      </c>
      <c r="BF129" s="15">
        <f>MAX(0,BE128*(1-INDEX($B$11:$B$63,46))*(1-E128))</f>
        <v/>
      </c>
      <c r="BG129" s="15">
        <f>MAX(0,BF128*(1-INDEX($B$11:$B$63,47))*(1-E128))</f>
        <v/>
      </c>
      <c r="BH129" s="15">
        <f>MAX(0,BG128*(1-INDEX($B$11:$B$63,48))*(1-E128))</f>
        <v/>
      </c>
      <c r="BI129" s="15">
        <f>MAX(0,BH128*(1-INDEX($B$11:$B$63,49))*(1-E128))</f>
        <v/>
      </c>
      <c r="BJ129" s="15">
        <f>MAX(0,BI128*(1-INDEX($B$11:$B$63,50))*(1-E128))</f>
        <v/>
      </c>
      <c r="BK129" s="15">
        <f>MAX(0,BJ128*(1-INDEX($B$11:$B$63,51))*(1-E128))</f>
        <v/>
      </c>
      <c r="BL129" s="15">
        <f>MAX(0,(BL128+BK128)*(1-INDEX($B$11:$B$63,53))*(1-E128))</f>
        <v/>
      </c>
    </row>
    <row r="130">
      <c r="A130" s="55" t="n">
        <v>64</v>
      </c>
      <c r="B130" s="15">
        <f>IF(A130&gt;Inputs!$C$62,"",SUM(M130:BK130))</f>
        <v/>
      </c>
      <c r="C130" s="15">
        <f>IF(A130&gt;Inputs!$C$62,"",INDEX(Trajectory!$C$23:$C$2000,A130))</f>
        <v/>
      </c>
      <c r="D130" s="15">
        <f>IF(A130&gt;Inputs!$C$62,"",SUM(L130:BK130))</f>
        <v/>
      </c>
      <c r="E130" s="12">
        <f>IF(A130&gt;Inputs!$C$62,"",INDEX(Trajectory!$AG$23:$AG$2000,A130))</f>
        <v/>
      </c>
      <c r="F130" s="12">
        <f>IF(D130=0,0,SUMPRODUCT(L130:BK130,$B$11:$B$63)/D130)</f>
        <v/>
      </c>
      <c r="G130" s="12">
        <f>IF(D130=0,0,MIN(0.95,1-(1-F130)*(1-E130)))</f>
        <v/>
      </c>
      <c r="H130" s="15">
        <f>IF(D130=0,0,D130*G130)</f>
        <v/>
      </c>
      <c r="I130" s="15">
        <f>IF(D130=0,0,D130-H130)</f>
        <v/>
      </c>
      <c r="L130" s="15">
        <f>C130</f>
        <v/>
      </c>
      <c r="M130" s="15">
        <f>MAX(0,L129*(1-INDEX($B$11:$B$63,1))*(1-E129))</f>
        <v/>
      </c>
      <c r="N130" s="15">
        <f>MAX(0,M129*(1-INDEX($B$11:$B$63,2))*(1-E129))</f>
        <v/>
      </c>
      <c r="O130" s="15">
        <f>MAX(0,N129*(1-INDEX($B$11:$B$63,3))*(1-E129))</f>
        <v/>
      </c>
      <c r="P130" s="15">
        <f>MAX(0,O129*(1-INDEX($B$11:$B$63,4))*(1-E129))</f>
        <v/>
      </c>
      <c r="Q130" s="15">
        <f>MAX(0,P129*(1-INDEX($B$11:$B$63,5))*(1-E129))</f>
        <v/>
      </c>
      <c r="R130" s="15">
        <f>MAX(0,Q129*(1-INDEX($B$11:$B$63,6))*(1-E129))</f>
        <v/>
      </c>
      <c r="S130" s="15">
        <f>MAX(0,R129*(1-INDEX($B$11:$B$63,7))*(1-E129))</f>
        <v/>
      </c>
      <c r="T130" s="15">
        <f>MAX(0,S129*(1-INDEX($B$11:$B$63,8))*(1-E129))</f>
        <v/>
      </c>
      <c r="U130" s="15">
        <f>MAX(0,T129*(1-INDEX($B$11:$B$63,9))*(1-E129))</f>
        <v/>
      </c>
      <c r="V130" s="15">
        <f>MAX(0,U129*(1-INDEX($B$11:$B$63,10))*(1-E129))</f>
        <v/>
      </c>
      <c r="W130" s="15">
        <f>MAX(0,V129*(1-INDEX($B$11:$B$63,11))*(1-E129))</f>
        <v/>
      </c>
      <c r="X130" s="15">
        <f>MAX(0,W129*(1-INDEX($B$11:$B$63,12))*(1-E129))</f>
        <v/>
      </c>
      <c r="Y130" s="15">
        <f>MAX(0,X129*(1-INDEX($B$11:$B$63,13))*(1-E129))</f>
        <v/>
      </c>
      <c r="Z130" s="15">
        <f>MAX(0,Y129*(1-INDEX($B$11:$B$63,14))*(1-E129))</f>
        <v/>
      </c>
      <c r="AA130" s="15">
        <f>MAX(0,Z129*(1-INDEX($B$11:$B$63,15))*(1-E129))</f>
        <v/>
      </c>
      <c r="AB130" s="15">
        <f>MAX(0,AA129*(1-INDEX($B$11:$B$63,16))*(1-E129))</f>
        <v/>
      </c>
      <c r="AC130" s="15">
        <f>MAX(0,AB129*(1-INDEX($B$11:$B$63,17))*(1-E129))</f>
        <v/>
      </c>
      <c r="AD130" s="15">
        <f>MAX(0,AC129*(1-INDEX($B$11:$B$63,18))*(1-E129))</f>
        <v/>
      </c>
      <c r="AE130" s="15">
        <f>MAX(0,AD129*(1-INDEX($B$11:$B$63,19))*(1-E129))</f>
        <v/>
      </c>
      <c r="AF130" s="15">
        <f>MAX(0,AE129*(1-INDEX($B$11:$B$63,20))*(1-E129))</f>
        <v/>
      </c>
      <c r="AG130" s="15">
        <f>MAX(0,AF129*(1-INDEX($B$11:$B$63,21))*(1-E129))</f>
        <v/>
      </c>
      <c r="AH130" s="15">
        <f>MAX(0,AG129*(1-INDEX($B$11:$B$63,22))*(1-E129))</f>
        <v/>
      </c>
      <c r="AI130" s="15">
        <f>MAX(0,AH129*(1-INDEX($B$11:$B$63,23))*(1-E129))</f>
        <v/>
      </c>
      <c r="AJ130" s="15">
        <f>MAX(0,AI129*(1-INDEX($B$11:$B$63,24))*(1-E129))</f>
        <v/>
      </c>
      <c r="AK130" s="15">
        <f>MAX(0,AJ129*(1-INDEX($B$11:$B$63,25))*(1-E129))</f>
        <v/>
      </c>
      <c r="AL130" s="15">
        <f>MAX(0,AK129*(1-INDEX($B$11:$B$63,26))*(1-E129))</f>
        <v/>
      </c>
      <c r="AM130" s="15">
        <f>MAX(0,AL129*(1-INDEX($B$11:$B$63,27))*(1-E129))</f>
        <v/>
      </c>
      <c r="AN130" s="15">
        <f>MAX(0,AM129*(1-INDEX($B$11:$B$63,28))*(1-E129))</f>
        <v/>
      </c>
      <c r="AO130" s="15">
        <f>MAX(0,AN129*(1-INDEX($B$11:$B$63,29))*(1-E129))</f>
        <v/>
      </c>
      <c r="AP130" s="15">
        <f>MAX(0,AO129*(1-INDEX($B$11:$B$63,30))*(1-E129))</f>
        <v/>
      </c>
      <c r="AQ130" s="15">
        <f>MAX(0,AP129*(1-INDEX($B$11:$B$63,31))*(1-E129))</f>
        <v/>
      </c>
      <c r="AR130" s="15">
        <f>MAX(0,AQ129*(1-INDEX($B$11:$B$63,32))*(1-E129))</f>
        <v/>
      </c>
      <c r="AS130" s="15">
        <f>MAX(0,AR129*(1-INDEX($B$11:$B$63,33))*(1-E129))</f>
        <v/>
      </c>
      <c r="AT130" s="15">
        <f>MAX(0,AS129*(1-INDEX($B$11:$B$63,34))*(1-E129))</f>
        <v/>
      </c>
      <c r="AU130" s="15">
        <f>MAX(0,AT129*(1-INDEX($B$11:$B$63,35))*(1-E129))</f>
        <v/>
      </c>
      <c r="AV130" s="15">
        <f>MAX(0,AU129*(1-INDEX($B$11:$B$63,36))*(1-E129))</f>
        <v/>
      </c>
      <c r="AW130" s="15">
        <f>MAX(0,AV129*(1-INDEX($B$11:$B$63,37))*(1-E129))</f>
        <v/>
      </c>
      <c r="AX130" s="15">
        <f>MAX(0,AW129*(1-INDEX($B$11:$B$63,38))*(1-E129))</f>
        <v/>
      </c>
      <c r="AY130" s="15">
        <f>MAX(0,AX129*(1-INDEX($B$11:$B$63,39))*(1-E129))</f>
        <v/>
      </c>
      <c r="AZ130" s="15">
        <f>MAX(0,AY129*(1-INDEX($B$11:$B$63,40))*(1-E129))</f>
        <v/>
      </c>
      <c r="BA130" s="15">
        <f>MAX(0,AZ129*(1-INDEX($B$11:$B$63,41))*(1-E129))</f>
        <v/>
      </c>
      <c r="BB130" s="15">
        <f>MAX(0,BA129*(1-INDEX($B$11:$B$63,42))*(1-E129))</f>
        <v/>
      </c>
      <c r="BC130" s="15">
        <f>MAX(0,BB129*(1-INDEX($B$11:$B$63,43))*(1-E129))</f>
        <v/>
      </c>
      <c r="BD130" s="15">
        <f>MAX(0,BC129*(1-INDEX($B$11:$B$63,44))*(1-E129))</f>
        <v/>
      </c>
      <c r="BE130" s="15">
        <f>MAX(0,BD129*(1-INDEX($B$11:$B$63,45))*(1-E129))</f>
        <v/>
      </c>
      <c r="BF130" s="15">
        <f>MAX(0,BE129*(1-INDEX($B$11:$B$63,46))*(1-E129))</f>
        <v/>
      </c>
      <c r="BG130" s="15">
        <f>MAX(0,BF129*(1-INDEX($B$11:$B$63,47))*(1-E129))</f>
        <v/>
      </c>
      <c r="BH130" s="15">
        <f>MAX(0,BG129*(1-INDEX($B$11:$B$63,48))*(1-E129))</f>
        <v/>
      </c>
      <c r="BI130" s="15">
        <f>MAX(0,BH129*(1-INDEX($B$11:$B$63,49))*(1-E129))</f>
        <v/>
      </c>
      <c r="BJ130" s="15">
        <f>MAX(0,BI129*(1-INDEX($B$11:$B$63,50))*(1-E129))</f>
        <v/>
      </c>
      <c r="BK130" s="15">
        <f>MAX(0,BJ129*(1-INDEX($B$11:$B$63,51))*(1-E129))</f>
        <v/>
      </c>
      <c r="BL130" s="15">
        <f>MAX(0,(BL129+BK129)*(1-INDEX($B$11:$B$63,53))*(1-E129))</f>
        <v/>
      </c>
    </row>
    <row r="131">
      <c r="A131" s="55" t="n">
        <v>65</v>
      </c>
      <c r="B131" s="15">
        <f>IF(A131&gt;Inputs!$C$62,"",SUM(M131:BK131))</f>
        <v/>
      </c>
      <c r="C131" s="15">
        <f>IF(A131&gt;Inputs!$C$62,"",INDEX(Trajectory!$C$23:$C$2000,A131))</f>
        <v/>
      </c>
      <c r="D131" s="15">
        <f>IF(A131&gt;Inputs!$C$62,"",SUM(L131:BK131))</f>
        <v/>
      </c>
      <c r="E131" s="12">
        <f>IF(A131&gt;Inputs!$C$62,"",INDEX(Trajectory!$AG$23:$AG$2000,A131))</f>
        <v/>
      </c>
      <c r="F131" s="12">
        <f>IF(D131=0,0,SUMPRODUCT(L131:BK131,$B$11:$B$63)/D131)</f>
        <v/>
      </c>
      <c r="G131" s="12">
        <f>IF(D131=0,0,MIN(0.95,1-(1-F131)*(1-E131)))</f>
        <v/>
      </c>
      <c r="H131" s="15">
        <f>IF(D131=0,0,D131*G131)</f>
        <v/>
      </c>
      <c r="I131" s="15">
        <f>IF(D131=0,0,D131-H131)</f>
        <v/>
      </c>
      <c r="L131" s="15">
        <f>C131</f>
        <v/>
      </c>
      <c r="M131" s="15">
        <f>MAX(0,L130*(1-INDEX($B$11:$B$63,1))*(1-E130))</f>
        <v/>
      </c>
      <c r="N131" s="15">
        <f>MAX(0,M130*(1-INDEX($B$11:$B$63,2))*(1-E130))</f>
        <v/>
      </c>
      <c r="O131" s="15">
        <f>MAX(0,N130*(1-INDEX($B$11:$B$63,3))*(1-E130))</f>
        <v/>
      </c>
      <c r="P131" s="15">
        <f>MAX(0,O130*(1-INDEX($B$11:$B$63,4))*(1-E130))</f>
        <v/>
      </c>
      <c r="Q131" s="15">
        <f>MAX(0,P130*(1-INDEX($B$11:$B$63,5))*(1-E130))</f>
        <v/>
      </c>
      <c r="R131" s="15">
        <f>MAX(0,Q130*(1-INDEX($B$11:$B$63,6))*(1-E130))</f>
        <v/>
      </c>
      <c r="S131" s="15">
        <f>MAX(0,R130*(1-INDEX($B$11:$B$63,7))*(1-E130))</f>
        <v/>
      </c>
      <c r="T131" s="15">
        <f>MAX(0,S130*(1-INDEX($B$11:$B$63,8))*(1-E130))</f>
        <v/>
      </c>
      <c r="U131" s="15">
        <f>MAX(0,T130*(1-INDEX($B$11:$B$63,9))*(1-E130))</f>
        <v/>
      </c>
      <c r="V131" s="15">
        <f>MAX(0,U130*(1-INDEX($B$11:$B$63,10))*(1-E130))</f>
        <v/>
      </c>
      <c r="W131" s="15">
        <f>MAX(0,V130*(1-INDEX($B$11:$B$63,11))*(1-E130))</f>
        <v/>
      </c>
      <c r="X131" s="15">
        <f>MAX(0,W130*(1-INDEX($B$11:$B$63,12))*(1-E130))</f>
        <v/>
      </c>
      <c r="Y131" s="15">
        <f>MAX(0,X130*(1-INDEX($B$11:$B$63,13))*(1-E130))</f>
        <v/>
      </c>
      <c r="Z131" s="15">
        <f>MAX(0,Y130*(1-INDEX($B$11:$B$63,14))*(1-E130))</f>
        <v/>
      </c>
      <c r="AA131" s="15">
        <f>MAX(0,Z130*(1-INDEX($B$11:$B$63,15))*(1-E130))</f>
        <v/>
      </c>
      <c r="AB131" s="15">
        <f>MAX(0,AA130*(1-INDEX($B$11:$B$63,16))*(1-E130))</f>
        <v/>
      </c>
      <c r="AC131" s="15">
        <f>MAX(0,AB130*(1-INDEX($B$11:$B$63,17))*(1-E130))</f>
        <v/>
      </c>
      <c r="AD131" s="15">
        <f>MAX(0,AC130*(1-INDEX($B$11:$B$63,18))*(1-E130))</f>
        <v/>
      </c>
      <c r="AE131" s="15">
        <f>MAX(0,AD130*(1-INDEX($B$11:$B$63,19))*(1-E130))</f>
        <v/>
      </c>
      <c r="AF131" s="15">
        <f>MAX(0,AE130*(1-INDEX($B$11:$B$63,20))*(1-E130))</f>
        <v/>
      </c>
      <c r="AG131" s="15">
        <f>MAX(0,AF130*(1-INDEX($B$11:$B$63,21))*(1-E130))</f>
        <v/>
      </c>
      <c r="AH131" s="15">
        <f>MAX(0,AG130*(1-INDEX($B$11:$B$63,22))*(1-E130))</f>
        <v/>
      </c>
      <c r="AI131" s="15">
        <f>MAX(0,AH130*(1-INDEX($B$11:$B$63,23))*(1-E130))</f>
        <v/>
      </c>
      <c r="AJ131" s="15">
        <f>MAX(0,AI130*(1-INDEX($B$11:$B$63,24))*(1-E130))</f>
        <v/>
      </c>
      <c r="AK131" s="15">
        <f>MAX(0,AJ130*(1-INDEX($B$11:$B$63,25))*(1-E130))</f>
        <v/>
      </c>
      <c r="AL131" s="15">
        <f>MAX(0,AK130*(1-INDEX($B$11:$B$63,26))*(1-E130))</f>
        <v/>
      </c>
      <c r="AM131" s="15">
        <f>MAX(0,AL130*(1-INDEX($B$11:$B$63,27))*(1-E130))</f>
        <v/>
      </c>
      <c r="AN131" s="15">
        <f>MAX(0,AM130*(1-INDEX($B$11:$B$63,28))*(1-E130))</f>
        <v/>
      </c>
      <c r="AO131" s="15">
        <f>MAX(0,AN130*(1-INDEX($B$11:$B$63,29))*(1-E130))</f>
        <v/>
      </c>
      <c r="AP131" s="15">
        <f>MAX(0,AO130*(1-INDEX($B$11:$B$63,30))*(1-E130))</f>
        <v/>
      </c>
      <c r="AQ131" s="15">
        <f>MAX(0,AP130*(1-INDEX($B$11:$B$63,31))*(1-E130))</f>
        <v/>
      </c>
      <c r="AR131" s="15">
        <f>MAX(0,AQ130*(1-INDEX($B$11:$B$63,32))*(1-E130))</f>
        <v/>
      </c>
      <c r="AS131" s="15">
        <f>MAX(0,AR130*(1-INDEX($B$11:$B$63,33))*(1-E130))</f>
        <v/>
      </c>
      <c r="AT131" s="15">
        <f>MAX(0,AS130*(1-INDEX($B$11:$B$63,34))*(1-E130))</f>
        <v/>
      </c>
      <c r="AU131" s="15">
        <f>MAX(0,AT130*(1-INDEX($B$11:$B$63,35))*(1-E130))</f>
        <v/>
      </c>
      <c r="AV131" s="15">
        <f>MAX(0,AU130*(1-INDEX($B$11:$B$63,36))*(1-E130))</f>
        <v/>
      </c>
      <c r="AW131" s="15">
        <f>MAX(0,AV130*(1-INDEX($B$11:$B$63,37))*(1-E130))</f>
        <v/>
      </c>
      <c r="AX131" s="15">
        <f>MAX(0,AW130*(1-INDEX($B$11:$B$63,38))*(1-E130))</f>
        <v/>
      </c>
      <c r="AY131" s="15">
        <f>MAX(0,AX130*(1-INDEX($B$11:$B$63,39))*(1-E130))</f>
        <v/>
      </c>
      <c r="AZ131" s="15">
        <f>MAX(0,AY130*(1-INDEX($B$11:$B$63,40))*(1-E130))</f>
        <v/>
      </c>
      <c r="BA131" s="15">
        <f>MAX(0,AZ130*(1-INDEX($B$11:$B$63,41))*(1-E130))</f>
        <v/>
      </c>
      <c r="BB131" s="15">
        <f>MAX(0,BA130*(1-INDEX($B$11:$B$63,42))*(1-E130))</f>
        <v/>
      </c>
      <c r="BC131" s="15">
        <f>MAX(0,BB130*(1-INDEX($B$11:$B$63,43))*(1-E130))</f>
        <v/>
      </c>
      <c r="BD131" s="15">
        <f>MAX(0,BC130*(1-INDEX($B$11:$B$63,44))*(1-E130))</f>
        <v/>
      </c>
      <c r="BE131" s="15">
        <f>MAX(0,BD130*(1-INDEX($B$11:$B$63,45))*(1-E130))</f>
        <v/>
      </c>
      <c r="BF131" s="15">
        <f>MAX(0,BE130*(1-INDEX($B$11:$B$63,46))*(1-E130))</f>
        <v/>
      </c>
      <c r="BG131" s="15">
        <f>MAX(0,BF130*(1-INDEX($B$11:$B$63,47))*(1-E130))</f>
        <v/>
      </c>
      <c r="BH131" s="15">
        <f>MAX(0,BG130*(1-INDEX($B$11:$B$63,48))*(1-E130))</f>
        <v/>
      </c>
      <c r="BI131" s="15">
        <f>MAX(0,BH130*(1-INDEX($B$11:$B$63,49))*(1-E130))</f>
        <v/>
      </c>
      <c r="BJ131" s="15">
        <f>MAX(0,BI130*(1-INDEX($B$11:$B$63,50))*(1-E130))</f>
        <v/>
      </c>
      <c r="BK131" s="15">
        <f>MAX(0,BJ130*(1-INDEX($B$11:$B$63,51))*(1-E130))</f>
        <v/>
      </c>
      <c r="BL131" s="15">
        <f>MAX(0,(BL130+BK130)*(1-INDEX($B$11:$B$63,53))*(1-E130))</f>
        <v/>
      </c>
    </row>
    <row r="132">
      <c r="A132" s="55" t="n">
        <v>66</v>
      </c>
      <c r="B132" s="15">
        <f>IF(A132&gt;Inputs!$C$62,"",SUM(M132:BK132))</f>
        <v/>
      </c>
      <c r="C132" s="15">
        <f>IF(A132&gt;Inputs!$C$62,"",INDEX(Trajectory!$C$23:$C$2000,A132))</f>
        <v/>
      </c>
      <c r="D132" s="15">
        <f>IF(A132&gt;Inputs!$C$62,"",SUM(L132:BK132))</f>
        <v/>
      </c>
      <c r="E132" s="12">
        <f>IF(A132&gt;Inputs!$C$62,"",INDEX(Trajectory!$AG$23:$AG$2000,A132))</f>
        <v/>
      </c>
      <c r="F132" s="12">
        <f>IF(D132=0,0,SUMPRODUCT(L132:BK132,$B$11:$B$63)/D132)</f>
        <v/>
      </c>
      <c r="G132" s="12">
        <f>IF(D132=0,0,MIN(0.95,1-(1-F132)*(1-E132)))</f>
        <v/>
      </c>
      <c r="H132" s="15">
        <f>IF(D132=0,0,D132*G132)</f>
        <v/>
      </c>
      <c r="I132" s="15">
        <f>IF(D132=0,0,D132-H132)</f>
        <v/>
      </c>
      <c r="L132" s="15">
        <f>C132</f>
        <v/>
      </c>
      <c r="M132" s="15">
        <f>MAX(0,L131*(1-INDEX($B$11:$B$63,1))*(1-E131))</f>
        <v/>
      </c>
      <c r="N132" s="15">
        <f>MAX(0,M131*(1-INDEX($B$11:$B$63,2))*(1-E131))</f>
        <v/>
      </c>
      <c r="O132" s="15">
        <f>MAX(0,N131*(1-INDEX($B$11:$B$63,3))*(1-E131))</f>
        <v/>
      </c>
      <c r="P132" s="15">
        <f>MAX(0,O131*(1-INDEX($B$11:$B$63,4))*(1-E131))</f>
        <v/>
      </c>
      <c r="Q132" s="15">
        <f>MAX(0,P131*(1-INDEX($B$11:$B$63,5))*(1-E131))</f>
        <v/>
      </c>
      <c r="R132" s="15">
        <f>MAX(0,Q131*(1-INDEX($B$11:$B$63,6))*(1-E131))</f>
        <v/>
      </c>
      <c r="S132" s="15">
        <f>MAX(0,R131*(1-INDEX($B$11:$B$63,7))*(1-E131))</f>
        <v/>
      </c>
      <c r="T132" s="15">
        <f>MAX(0,S131*(1-INDEX($B$11:$B$63,8))*(1-E131))</f>
        <v/>
      </c>
      <c r="U132" s="15">
        <f>MAX(0,T131*(1-INDEX($B$11:$B$63,9))*(1-E131))</f>
        <v/>
      </c>
      <c r="V132" s="15">
        <f>MAX(0,U131*(1-INDEX($B$11:$B$63,10))*(1-E131))</f>
        <v/>
      </c>
      <c r="W132" s="15">
        <f>MAX(0,V131*(1-INDEX($B$11:$B$63,11))*(1-E131))</f>
        <v/>
      </c>
      <c r="X132" s="15">
        <f>MAX(0,W131*(1-INDEX($B$11:$B$63,12))*(1-E131))</f>
        <v/>
      </c>
      <c r="Y132" s="15">
        <f>MAX(0,X131*(1-INDEX($B$11:$B$63,13))*(1-E131))</f>
        <v/>
      </c>
      <c r="Z132" s="15">
        <f>MAX(0,Y131*(1-INDEX($B$11:$B$63,14))*(1-E131))</f>
        <v/>
      </c>
      <c r="AA132" s="15">
        <f>MAX(0,Z131*(1-INDEX($B$11:$B$63,15))*(1-E131))</f>
        <v/>
      </c>
      <c r="AB132" s="15">
        <f>MAX(0,AA131*(1-INDEX($B$11:$B$63,16))*(1-E131))</f>
        <v/>
      </c>
      <c r="AC132" s="15">
        <f>MAX(0,AB131*(1-INDEX($B$11:$B$63,17))*(1-E131))</f>
        <v/>
      </c>
      <c r="AD132" s="15">
        <f>MAX(0,AC131*(1-INDEX($B$11:$B$63,18))*(1-E131))</f>
        <v/>
      </c>
      <c r="AE132" s="15">
        <f>MAX(0,AD131*(1-INDEX($B$11:$B$63,19))*(1-E131))</f>
        <v/>
      </c>
      <c r="AF132" s="15">
        <f>MAX(0,AE131*(1-INDEX($B$11:$B$63,20))*(1-E131))</f>
        <v/>
      </c>
      <c r="AG132" s="15">
        <f>MAX(0,AF131*(1-INDEX($B$11:$B$63,21))*(1-E131))</f>
        <v/>
      </c>
      <c r="AH132" s="15">
        <f>MAX(0,AG131*(1-INDEX($B$11:$B$63,22))*(1-E131))</f>
        <v/>
      </c>
      <c r="AI132" s="15">
        <f>MAX(0,AH131*(1-INDEX($B$11:$B$63,23))*(1-E131))</f>
        <v/>
      </c>
      <c r="AJ132" s="15">
        <f>MAX(0,AI131*(1-INDEX($B$11:$B$63,24))*(1-E131))</f>
        <v/>
      </c>
      <c r="AK132" s="15">
        <f>MAX(0,AJ131*(1-INDEX($B$11:$B$63,25))*(1-E131))</f>
        <v/>
      </c>
      <c r="AL132" s="15">
        <f>MAX(0,AK131*(1-INDEX($B$11:$B$63,26))*(1-E131))</f>
        <v/>
      </c>
      <c r="AM132" s="15">
        <f>MAX(0,AL131*(1-INDEX($B$11:$B$63,27))*(1-E131))</f>
        <v/>
      </c>
      <c r="AN132" s="15">
        <f>MAX(0,AM131*(1-INDEX($B$11:$B$63,28))*(1-E131))</f>
        <v/>
      </c>
      <c r="AO132" s="15">
        <f>MAX(0,AN131*(1-INDEX($B$11:$B$63,29))*(1-E131))</f>
        <v/>
      </c>
      <c r="AP132" s="15">
        <f>MAX(0,AO131*(1-INDEX($B$11:$B$63,30))*(1-E131))</f>
        <v/>
      </c>
      <c r="AQ132" s="15">
        <f>MAX(0,AP131*(1-INDEX($B$11:$B$63,31))*(1-E131))</f>
        <v/>
      </c>
      <c r="AR132" s="15">
        <f>MAX(0,AQ131*(1-INDEX($B$11:$B$63,32))*(1-E131))</f>
        <v/>
      </c>
      <c r="AS132" s="15">
        <f>MAX(0,AR131*(1-INDEX($B$11:$B$63,33))*(1-E131))</f>
        <v/>
      </c>
      <c r="AT132" s="15">
        <f>MAX(0,AS131*(1-INDEX($B$11:$B$63,34))*(1-E131))</f>
        <v/>
      </c>
      <c r="AU132" s="15">
        <f>MAX(0,AT131*(1-INDEX($B$11:$B$63,35))*(1-E131))</f>
        <v/>
      </c>
      <c r="AV132" s="15">
        <f>MAX(0,AU131*(1-INDEX($B$11:$B$63,36))*(1-E131))</f>
        <v/>
      </c>
      <c r="AW132" s="15">
        <f>MAX(0,AV131*(1-INDEX($B$11:$B$63,37))*(1-E131))</f>
        <v/>
      </c>
      <c r="AX132" s="15">
        <f>MAX(0,AW131*(1-INDEX($B$11:$B$63,38))*(1-E131))</f>
        <v/>
      </c>
      <c r="AY132" s="15">
        <f>MAX(0,AX131*(1-INDEX($B$11:$B$63,39))*(1-E131))</f>
        <v/>
      </c>
      <c r="AZ132" s="15">
        <f>MAX(0,AY131*(1-INDEX($B$11:$B$63,40))*(1-E131))</f>
        <v/>
      </c>
      <c r="BA132" s="15">
        <f>MAX(0,AZ131*(1-INDEX($B$11:$B$63,41))*(1-E131))</f>
        <v/>
      </c>
      <c r="BB132" s="15">
        <f>MAX(0,BA131*(1-INDEX($B$11:$B$63,42))*(1-E131))</f>
        <v/>
      </c>
      <c r="BC132" s="15">
        <f>MAX(0,BB131*(1-INDEX($B$11:$B$63,43))*(1-E131))</f>
        <v/>
      </c>
      <c r="BD132" s="15">
        <f>MAX(0,BC131*(1-INDEX($B$11:$B$63,44))*(1-E131))</f>
        <v/>
      </c>
      <c r="BE132" s="15">
        <f>MAX(0,BD131*(1-INDEX($B$11:$B$63,45))*(1-E131))</f>
        <v/>
      </c>
      <c r="BF132" s="15">
        <f>MAX(0,BE131*(1-INDEX($B$11:$B$63,46))*(1-E131))</f>
        <v/>
      </c>
      <c r="BG132" s="15">
        <f>MAX(0,BF131*(1-INDEX($B$11:$B$63,47))*(1-E131))</f>
        <v/>
      </c>
      <c r="BH132" s="15">
        <f>MAX(0,BG131*(1-INDEX($B$11:$B$63,48))*(1-E131))</f>
        <v/>
      </c>
      <c r="BI132" s="15">
        <f>MAX(0,BH131*(1-INDEX($B$11:$B$63,49))*(1-E131))</f>
        <v/>
      </c>
      <c r="BJ132" s="15">
        <f>MAX(0,BI131*(1-INDEX($B$11:$B$63,50))*(1-E131))</f>
        <v/>
      </c>
      <c r="BK132" s="15">
        <f>MAX(0,BJ131*(1-INDEX($B$11:$B$63,51))*(1-E131))</f>
        <v/>
      </c>
      <c r="BL132" s="15">
        <f>MAX(0,(BL131+BK131)*(1-INDEX($B$11:$B$63,53))*(1-E131))</f>
        <v/>
      </c>
    </row>
    <row r="133">
      <c r="A133" s="55" t="n">
        <v>67</v>
      </c>
      <c r="B133" s="15">
        <f>IF(A133&gt;Inputs!$C$62,"",SUM(M133:BK133))</f>
        <v/>
      </c>
      <c r="C133" s="15">
        <f>IF(A133&gt;Inputs!$C$62,"",INDEX(Trajectory!$C$23:$C$2000,A133))</f>
        <v/>
      </c>
      <c r="D133" s="15">
        <f>IF(A133&gt;Inputs!$C$62,"",SUM(L133:BK133))</f>
        <v/>
      </c>
      <c r="E133" s="12">
        <f>IF(A133&gt;Inputs!$C$62,"",INDEX(Trajectory!$AG$23:$AG$2000,A133))</f>
        <v/>
      </c>
      <c r="F133" s="12">
        <f>IF(D133=0,0,SUMPRODUCT(L133:BK133,$B$11:$B$63)/D133)</f>
        <v/>
      </c>
      <c r="G133" s="12">
        <f>IF(D133=0,0,MIN(0.95,1-(1-F133)*(1-E133)))</f>
        <v/>
      </c>
      <c r="H133" s="15">
        <f>IF(D133=0,0,D133*G133)</f>
        <v/>
      </c>
      <c r="I133" s="15">
        <f>IF(D133=0,0,D133-H133)</f>
        <v/>
      </c>
      <c r="L133" s="15">
        <f>C133</f>
        <v/>
      </c>
      <c r="M133" s="15">
        <f>MAX(0,L132*(1-INDEX($B$11:$B$63,1))*(1-E132))</f>
        <v/>
      </c>
      <c r="N133" s="15">
        <f>MAX(0,M132*(1-INDEX($B$11:$B$63,2))*(1-E132))</f>
        <v/>
      </c>
      <c r="O133" s="15">
        <f>MAX(0,N132*(1-INDEX($B$11:$B$63,3))*(1-E132))</f>
        <v/>
      </c>
      <c r="P133" s="15">
        <f>MAX(0,O132*(1-INDEX($B$11:$B$63,4))*(1-E132))</f>
        <v/>
      </c>
      <c r="Q133" s="15">
        <f>MAX(0,P132*(1-INDEX($B$11:$B$63,5))*(1-E132))</f>
        <v/>
      </c>
      <c r="R133" s="15">
        <f>MAX(0,Q132*(1-INDEX($B$11:$B$63,6))*(1-E132))</f>
        <v/>
      </c>
      <c r="S133" s="15">
        <f>MAX(0,R132*(1-INDEX($B$11:$B$63,7))*(1-E132))</f>
        <v/>
      </c>
      <c r="T133" s="15">
        <f>MAX(0,S132*(1-INDEX($B$11:$B$63,8))*(1-E132))</f>
        <v/>
      </c>
      <c r="U133" s="15">
        <f>MAX(0,T132*(1-INDEX($B$11:$B$63,9))*(1-E132))</f>
        <v/>
      </c>
      <c r="V133" s="15">
        <f>MAX(0,U132*(1-INDEX($B$11:$B$63,10))*(1-E132))</f>
        <v/>
      </c>
      <c r="W133" s="15">
        <f>MAX(0,V132*(1-INDEX($B$11:$B$63,11))*(1-E132))</f>
        <v/>
      </c>
      <c r="X133" s="15">
        <f>MAX(0,W132*(1-INDEX($B$11:$B$63,12))*(1-E132))</f>
        <v/>
      </c>
      <c r="Y133" s="15">
        <f>MAX(0,X132*(1-INDEX($B$11:$B$63,13))*(1-E132))</f>
        <v/>
      </c>
      <c r="Z133" s="15">
        <f>MAX(0,Y132*(1-INDEX($B$11:$B$63,14))*(1-E132))</f>
        <v/>
      </c>
      <c r="AA133" s="15">
        <f>MAX(0,Z132*(1-INDEX($B$11:$B$63,15))*(1-E132))</f>
        <v/>
      </c>
      <c r="AB133" s="15">
        <f>MAX(0,AA132*(1-INDEX($B$11:$B$63,16))*(1-E132))</f>
        <v/>
      </c>
      <c r="AC133" s="15">
        <f>MAX(0,AB132*(1-INDEX($B$11:$B$63,17))*(1-E132))</f>
        <v/>
      </c>
      <c r="AD133" s="15">
        <f>MAX(0,AC132*(1-INDEX($B$11:$B$63,18))*(1-E132))</f>
        <v/>
      </c>
      <c r="AE133" s="15">
        <f>MAX(0,AD132*(1-INDEX($B$11:$B$63,19))*(1-E132))</f>
        <v/>
      </c>
      <c r="AF133" s="15">
        <f>MAX(0,AE132*(1-INDEX($B$11:$B$63,20))*(1-E132))</f>
        <v/>
      </c>
      <c r="AG133" s="15">
        <f>MAX(0,AF132*(1-INDEX($B$11:$B$63,21))*(1-E132))</f>
        <v/>
      </c>
      <c r="AH133" s="15">
        <f>MAX(0,AG132*(1-INDEX($B$11:$B$63,22))*(1-E132))</f>
        <v/>
      </c>
      <c r="AI133" s="15">
        <f>MAX(0,AH132*(1-INDEX($B$11:$B$63,23))*(1-E132))</f>
        <v/>
      </c>
      <c r="AJ133" s="15">
        <f>MAX(0,AI132*(1-INDEX($B$11:$B$63,24))*(1-E132))</f>
        <v/>
      </c>
      <c r="AK133" s="15">
        <f>MAX(0,AJ132*(1-INDEX($B$11:$B$63,25))*(1-E132))</f>
        <v/>
      </c>
      <c r="AL133" s="15">
        <f>MAX(0,AK132*(1-INDEX($B$11:$B$63,26))*(1-E132))</f>
        <v/>
      </c>
      <c r="AM133" s="15">
        <f>MAX(0,AL132*(1-INDEX($B$11:$B$63,27))*(1-E132))</f>
        <v/>
      </c>
      <c r="AN133" s="15">
        <f>MAX(0,AM132*(1-INDEX($B$11:$B$63,28))*(1-E132))</f>
        <v/>
      </c>
      <c r="AO133" s="15">
        <f>MAX(0,AN132*(1-INDEX($B$11:$B$63,29))*(1-E132))</f>
        <v/>
      </c>
      <c r="AP133" s="15">
        <f>MAX(0,AO132*(1-INDEX($B$11:$B$63,30))*(1-E132))</f>
        <v/>
      </c>
      <c r="AQ133" s="15">
        <f>MAX(0,AP132*(1-INDEX($B$11:$B$63,31))*(1-E132))</f>
        <v/>
      </c>
      <c r="AR133" s="15">
        <f>MAX(0,AQ132*(1-INDEX($B$11:$B$63,32))*(1-E132))</f>
        <v/>
      </c>
      <c r="AS133" s="15">
        <f>MAX(0,AR132*(1-INDEX($B$11:$B$63,33))*(1-E132))</f>
        <v/>
      </c>
      <c r="AT133" s="15">
        <f>MAX(0,AS132*(1-INDEX($B$11:$B$63,34))*(1-E132))</f>
        <v/>
      </c>
      <c r="AU133" s="15">
        <f>MAX(0,AT132*(1-INDEX($B$11:$B$63,35))*(1-E132))</f>
        <v/>
      </c>
      <c r="AV133" s="15">
        <f>MAX(0,AU132*(1-INDEX($B$11:$B$63,36))*(1-E132))</f>
        <v/>
      </c>
      <c r="AW133" s="15">
        <f>MAX(0,AV132*(1-INDEX($B$11:$B$63,37))*(1-E132))</f>
        <v/>
      </c>
      <c r="AX133" s="15">
        <f>MAX(0,AW132*(1-INDEX($B$11:$B$63,38))*(1-E132))</f>
        <v/>
      </c>
      <c r="AY133" s="15">
        <f>MAX(0,AX132*(1-INDEX($B$11:$B$63,39))*(1-E132))</f>
        <v/>
      </c>
      <c r="AZ133" s="15">
        <f>MAX(0,AY132*(1-INDEX($B$11:$B$63,40))*(1-E132))</f>
        <v/>
      </c>
      <c r="BA133" s="15">
        <f>MAX(0,AZ132*(1-INDEX($B$11:$B$63,41))*(1-E132))</f>
        <v/>
      </c>
      <c r="BB133" s="15">
        <f>MAX(0,BA132*(1-INDEX($B$11:$B$63,42))*(1-E132))</f>
        <v/>
      </c>
      <c r="BC133" s="15">
        <f>MAX(0,BB132*(1-INDEX($B$11:$B$63,43))*(1-E132))</f>
        <v/>
      </c>
      <c r="BD133" s="15">
        <f>MAX(0,BC132*(1-INDEX($B$11:$B$63,44))*(1-E132))</f>
        <v/>
      </c>
      <c r="BE133" s="15">
        <f>MAX(0,BD132*(1-INDEX($B$11:$B$63,45))*(1-E132))</f>
        <v/>
      </c>
      <c r="BF133" s="15">
        <f>MAX(0,BE132*(1-INDEX($B$11:$B$63,46))*(1-E132))</f>
        <v/>
      </c>
      <c r="BG133" s="15">
        <f>MAX(0,BF132*(1-INDEX($B$11:$B$63,47))*(1-E132))</f>
        <v/>
      </c>
      <c r="BH133" s="15">
        <f>MAX(0,BG132*(1-INDEX($B$11:$B$63,48))*(1-E132))</f>
        <v/>
      </c>
      <c r="BI133" s="15">
        <f>MAX(0,BH132*(1-INDEX($B$11:$B$63,49))*(1-E132))</f>
        <v/>
      </c>
      <c r="BJ133" s="15">
        <f>MAX(0,BI132*(1-INDEX($B$11:$B$63,50))*(1-E132))</f>
        <v/>
      </c>
      <c r="BK133" s="15">
        <f>MAX(0,BJ132*(1-INDEX($B$11:$B$63,51))*(1-E132))</f>
        <v/>
      </c>
      <c r="BL133" s="15">
        <f>MAX(0,(BL132+BK132)*(1-INDEX($B$11:$B$63,53))*(1-E132))</f>
        <v/>
      </c>
    </row>
    <row r="134">
      <c r="A134" s="55" t="n">
        <v>68</v>
      </c>
      <c r="B134" s="15">
        <f>IF(A134&gt;Inputs!$C$62,"",SUM(M134:BK134))</f>
        <v/>
      </c>
      <c r="C134" s="15">
        <f>IF(A134&gt;Inputs!$C$62,"",INDEX(Trajectory!$C$23:$C$2000,A134))</f>
        <v/>
      </c>
      <c r="D134" s="15">
        <f>IF(A134&gt;Inputs!$C$62,"",SUM(L134:BK134))</f>
        <v/>
      </c>
      <c r="E134" s="12">
        <f>IF(A134&gt;Inputs!$C$62,"",INDEX(Trajectory!$AG$23:$AG$2000,A134))</f>
        <v/>
      </c>
      <c r="F134" s="12">
        <f>IF(D134=0,0,SUMPRODUCT(L134:BK134,$B$11:$B$63)/D134)</f>
        <v/>
      </c>
      <c r="G134" s="12">
        <f>IF(D134=0,0,MIN(0.95,1-(1-F134)*(1-E134)))</f>
        <v/>
      </c>
      <c r="H134" s="15">
        <f>IF(D134=0,0,D134*G134)</f>
        <v/>
      </c>
      <c r="I134" s="15">
        <f>IF(D134=0,0,D134-H134)</f>
        <v/>
      </c>
      <c r="L134" s="15">
        <f>C134</f>
        <v/>
      </c>
      <c r="M134" s="15">
        <f>MAX(0,L133*(1-INDEX($B$11:$B$63,1))*(1-E133))</f>
        <v/>
      </c>
      <c r="N134" s="15">
        <f>MAX(0,M133*(1-INDEX($B$11:$B$63,2))*(1-E133))</f>
        <v/>
      </c>
      <c r="O134" s="15">
        <f>MAX(0,N133*(1-INDEX($B$11:$B$63,3))*(1-E133))</f>
        <v/>
      </c>
      <c r="P134" s="15">
        <f>MAX(0,O133*(1-INDEX($B$11:$B$63,4))*(1-E133))</f>
        <v/>
      </c>
      <c r="Q134" s="15">
        <f>MAX(0,P133*(1-INDEX($B$11:$B$63,5))*(1-E133))</f>
        <v/>
      </c>
      <c r="R134" s="15">
        <f>MAX(0,Q133*(1-INDEX($B$11:$B$63,6))*(1-E133))</f>
        <v/>
      </c>
      <c r="S134" s="15">
        <f>MAX(0,R133*(1-INDEX($B$11:$B$63,7))*(1-E133))</f>
        <v/>
      </c>
      <c r="T134" s="15">
        <f>MAX(0,S133*(1-INDEX($B$11:$B$63,8))*(1-E133))</f>
        <v/>
      </c>
      <c r="U134" s="15">
        <f>MAX(0,T133*(1-INDEX($B$11:$B$63,9))*(1-E133))</f>
        <v/>
      </c>
      <c r="V134" s="15">
        <f>MAX(0,U133*(1-INDEX($B$11:$B$63,10))*(1-E133))</f>
        <v/>
      </c>
      <c r="W134" s="15">
        <f>MAX(0,V133*(1-INDEX($B$11:$B$63,11))*(1-E133))</f>
        <v/>
      </c>
      <c r="X134" s="15">
        <f>MAX(0,W133*(1-INDEX($B$11:$B$63,12))*(1-E133))</f>
        <v/>
      </c>
      <c r="Y134" s="15">
        <f>MAX(0,X133*(1-INDEX($B$11:$B$63,13))*(1-E133))</f>
        <v/>
      </c>
      <c r="Z134" s="15">
        <f>MAX(0,Y133*(1-INDEX($B$11:$B$63,14))*(1-E133))</f>
        <v/>
      </c>
      <c r="AA134" s="15">
        <f>MAX(0,Z133*(1-INDEX($B$11:$B$63,15))*(1-E133))</f>
        <v/>
      </c>
      <c r="AB134" s="15">
        <f>MAX(0,AA133*(1-INDEX($B$11:$B$63,16))*(1-E133))</f>
        <v/>
      </c>
      <c r="AC134" s="15">
        <f>MAX(0,AB133*(1-INDEX($B$11:$B$63,17))*(1-E133))</f>
        <v/>
      </c>
      <c r="AD134" s="15">
        <f>MAX(0,AC133*(1-INDEX($B$11:$B$63,18))*(1-E133))</f>
        <v/>
      </c>
      <c r="AE134" s="15">
        <f>MAX(0,AD133*(1-INDEX($B$11:$B$63,19))*(1-E133))</f>
        <v/>
      </c>
      <c r="AF134" s="15">
        <f>MAX(0,AE133*(1-INDEX($B$11:$B$63,20))*(1-E133))</f>
        <v/>
      </c>
      <c r="AG134" s="15">
        <f>MAX(0,AF133*(1-INDEX($B$11:$B$63,21))*(1-E133))</f>
        <v/>
      </c>
      <c r="AH134" s="15">
        <f>MAX(0,AG133*(1-INDEX($B$11:$B$63,22))*(1-E133))</f>
        <v/>
      </c>
      <c r="AI134" s="15">
        <f>MAX(0,AH133*(1-INDEX($B$11:$B$63,23))*(1-E133))</f>
        <v/>
      </c>
      <c r="AJ134" s="15">
        <f>MAX(0,AI133*(1-INDEX($B$11:$B$63,24))*(1-E133))</f>
        <v/>
      </c>
      <c r="AK134" s="15">
        <f>MAX(0,AJ133*(1-INDEX($B$11:$B$63,25))*(1-E133))</f>
        <v/>
      </c>
      <c r="AL134" s="15">
        <f>MAX(0,AK133*(1-INDEX($B$11:$B$63,26))*(1-E133))</f>
        <v/>
      </c>
      <c r="AM134" s="15">
        <f>MAX(0,AL133*(1-INDEX($B$11:$B$63,27))*(1-E133))</f>
        <v/>
      </c>
      <c r="AN134" s="15">
        <f>MAX(0,AM133*(1-INDEX($B$11:$B$63,28))*(1-E133))</f>
        <v/>
      </c>
      <c r="AO134" s="15">
        <f>MAX(0,AN133*(1-INDEX($B$11:$B$63,29))*(1-E133))</f>
        <v/>
      </c>
      <c r="AP134" s="15">
        <f>MAX(0,AO133*(1-INDEX($B$11:$B$63,30))*(1-E133))</f>
        <v/>
      </c>
      <c r="AQ134" s="15">
        <f>MAX(0,AP133*(1-INDEX($B$11:$B$63,31))*(1-E133))</f>
        <v/>
      </c>
      <c r="AR134" s="15">
        <f>MAX(0,AQ133*(1-INDEX($B$11:$B$63,32))*(1-E133))</f>
        <v/>
      </c>
      <c r="AS134" s="15">
        <f>MAX(0,AR133*(1-INDEX($B$11:$B$63,33))*(1-E133))</f>
        <v/>
      </c>
      <c r="AT134" s="15">
        <f>MAX(0,AS133*(1-INDEX($B$11:$B$63,34))*(1-E133))</f>
        <v/>
      </c>
      <c r="AU134" s="15">
        <f>MAX(0,AT133*(1-INDEX($B$11:$B$63,35))*(1-E133))</f>
        <v/>
      </c>
      <c r="AV134" s="15">
        <f>MAX(0,AU133*(1-INDEX($B$11:$B$63,36))*(1-E133))</f>
        <v/>
      </c>
      <c r="AW134" s="15">
        <f>MAX(0,AV133*(1-INDEX($B$11:$B$63,37))*(1-E133))</f>
        <v/>
      </c>
      <c r="AX134" s="15">
        <f>MAX(0,AW133*(1-INDEX($B$11:$B$63,38))*(1-E133))</f>
        <v/>
      </c>
      <c r="AY134" s="15">
        <f>MAX(0,AX133*(1-INDEX($B$11:$B$63,39))*(1-E133))</f>
        <v/>
      </c>
      <c r="AZ134" s="15">
        <f>MAX(0,AY133*(1-INDEX($B$11:$B$63,40))*(1-E133))</f>
        <v/>
      </c>
      <c r="BA134" s="15">
        <f>MAX(0,AZ133*(1-INDEX($B$11:$B$63,41))*(1-E133))</f>
        <v/>
      </c>
      <c r="BB134" s="15">
        <f>MAX(0,BA133*(1-INDEX($B$11:$B$63,42))*(1-E133))</f>
        <v/>
      </c>
      <c r="BC134" s="15">
        <f>MAX(0,BB133*(1-INDEX($B$11:$B$63,43))*(1-E133))</f>
        <v/>
      </c>
      <c r="BD134" s="15">
        <f>MAX(0,BC133*(1-INDEX($B$11:$B$63,44))*(1-E133))</f>
        <v/>
      </c>
      <c r="BE134" s="15">
        <f>MAX(0,BD133*(1-INDEX($B$11:$B$63,45))*(1-E133))</f>
        <v/>
      </c>
      <c r="BF134" s="15">
        <f>MAX(0,BE133*(1-INDEX($B$11:$B$63,46))*(1-E133))</f>
        <v/>
      </c>
      <c r="BG134" s="15">
        <f>MAX(0,BF133*(1-INDEX($B$11:$B$63,47))*(1-E133))</f>
        <v/>
      </c>
      <c r="BH134" s="15">
        <f>MAX(0,BG133*(1-INDEX($B$11:$B$63,48))*(1-E133))</f>
        <v/>
      </c>
      <c r="BI134" s="15">
        <f>MAX(0,BH133*(1-INDEX($B$11:$B$63,49))*(1-E133))</f>
        <v/>
      </c>
      <c r="BJ134" s="15">
        <f>MAX(0,BI133*(1-INDEX($B$11:$B$63,50))*(1-E133))</f>
        <v/>
      </c>
      <c r="BK134" s="15">
        <f>MAX(0,BJ133*(1-INDEX($B$11:$B$63,51))*(1-E133))</f>
        <v/>
      </c>
      <c r="BL134" s="15">
        <f>MAX(0,(BL133+BK133)*(1-INDEX($B$11:$B$63,53))*(1-E133))</f>
        <v/>
      </c>
    </row>
    <row r="135">
      <c r="A135" s="55" t="n">
        <v>69</v>
      </c>
      <c r="B135" s="15">
        <f>IF(A135&gt;Inputs!$C$62,"",SUM(M135:BK135))</f>
        <v/>
      </c>
      <c r="C135" s="15">
        <f>IF(A135&gt;Inputs!$C$62,"",INDEX(Trajectory!$C$23:$C$2000,A135))</f>
        <v/>
      </c>
      <c r="D135" s="15">
        <f>IF(A135&gt;Inputs!$C$62,"",SUM(L135:BK135))</f>
        <v/>
      </c>
      <c r="E135" s="12">
        <f>IF(A135&gt;Inputs!$C$62,"",INDEX(Trajectory!$AG$23:$AG$2000,A135))</f>
        <v/>
      </c>
      <c r="F135" s="12">
        <f>IF(D135=0,0,SUMPRODUCT(L135:BK135,$B$11:$B$63)/D135)</f>
        <v/>
      </c>
      <c r="G135" s="12">
        <f>IF(D135=0,0,MIN(0.95,1-(1-F135)*(1-E135)))</f>
        <v/>
      </c>
      <c r="H135" s="15">
        <f>IF(D135=0,0,D135*G135)</f>
        <v/>
      </c>
      <c r="I135" s="15">
        <f>IF(D135=0,0,D135-H135)</f>
        <v/>
      </c>
      <c r="L135" s="15">
        <f>C135</f>
        <v/>
      </c>
      <c r="M135" s="15">
        <f>MAX(0,L134*(1-INDEX($B$11:$B$63,1))*(1-E134))</f>
        <v/>
      </c>
      <c r="N135" s="15">
        <f>MAX(0,M134*(1-INDEX($B$11:$B$63,2))*(1-E134))</f>
        <v/>
      </c>
      <c r="O135" s="15">
        <f>MAX(0,N134*(1-INDEX($B$11:$B$63,3))*(1-E134))</f>
        <v/>
      </c>
      <c r="P135" s="15">
        <f>MAX(0,O134*(1-INDEX($B$11:$B$63,4))*(1-E134))</f>
        <v/>
      </c>
      <c r="Q135" s="15">
        <f>MAX(0,P134*(1-INDEX($B$11:$B$63,5))*(1-E134))</f>
        <v/>
      </c>
      <c r="R135" s="15">
        <f>MAX(0,Q134*(1-INDEX($B$11:$B$63,6))*(1-E134))</f>
        <v/>
      </c>
      <c r="S135" s="15">
        <f>MAX(0,R134*(1-INDEX($B$11:$B$63,7))*(1-E134))</f>
        <v/>
      </c>
      <c r="T135" s="15">
        <f>MAX(0,S134*(1-INDEX($B$11:$B$63,8))*(1-E134))</f>
        <v/>
      </c>
      <c r="U135" s="15">
        <f>MAX(0,T134*(1-INDEX($B$11:$B$63,9))*(1-E134))</f>
        <v/>
      </c>
      <c r="V135" s="15">
        <f>MAX(0,U134*(1-INDEX($B$11:$B$63,10))*(1-E134))</f>
        <v/>
      </c>
      <c r="W135" s="15">
        <f>MAX(0,V134*(1-INDEX($B$11:$B$63,11))*(1-E134))</f>
        <v/>
      </c>
      <c r="X135" s="15">
        <f>MAX(0,W134*(1-INDEX($B$11:$B$63,12))*(1-E134))</f>
        <v/>
      </c>
      <c r="Y135" s="15">
        <f>MAX(0,X134*(1-INDEX($B$11:$B$63,13))*(1-E134))</f>
        <v/>
      </c>
      <c r="Z135" s="15">
        <f>MAX(0,Y134*(1-INDEX($B$11:$B$63,14))*(1-E134))</f>
        <v/>
      </c>
      <c r="AA135" s="15">
        <f>MAX(0,Z134*(1-INDEX($B$11:$B$63,15))*(1-E134))</f>
        <v/>
      </c>
      <c r="AB135" s="15">
        <f>MAX(0,AA134*(1-INDEX($B$11:$B$63,16))*(1-E134))</f>
        <v/>
      </c>
      <c r="AC135" s="15">
        <f>MAX(0,AB134*(1-INDEX($B$11:$B$63,17))*(1-E134))</f>
        <v/>
      </c>
      <c r="AD135" s="15">
        <f>MAX(0,AC134*(1-INDEX($B$11:$B$63,18))*(1-E134))</f>
        <v/>
      </c>
      <c r="AE135" s="15">
        <f>MAX(0,AD134*(1-INDEX($B$11:$B$63,19))*(1-E134))</f>
        <v/>
      </c>
      <c r="AF135" s="15">
        <f>MAX(0,AE134*(1-INDEX($B$11:$B$63,20))*(1-E134))</f>
        <v/>
      </c>
      <c r="AG135" s="15">
        <f>MAX(0,AF134*(1-INDEX($B$11:$B$63,21))*(1-E134))</f>
        <v/>
      </c>
      <c r="AH135" s="15">
        <f>MAX(0,AG134*(1-INDEX($B$11:$B$63,22))*(1-E134))</f>
        <v/>
      </c>
      <c r="AI135" s="15">
        <f>MAX(0,AH134*(1-INDEX($B$11:$B$63,23))*(1-E134))</f>
        <v/>
      </c>
      <c r="AJ135" s="15">
        <f>MAX(0,AI134*(1-INDEX($B$11:$B$63,24))*(1-E134))</f>
        <v/>
      </c>
      <c r="AK135" s="15">
        <f>MAX(0,AJ134*(1-INDEX($B$11:$B$63,25))*(1-E134))</f>
        <v/>
      </c>
      <c r="AL135" s="15">
        <f>MAX(0,AK134*(1-INDEX($B$11:$B$63,26))*(1-E134))</f>
        <v/>
      </c>
      <c r="AM135" s="15">
        <f>MAX(0,AL134*(1-INDEX($B$11:$B$63,27))*(1-E134))</f>
        <v/>
      </c>
      <c r="AN135" s="15">
        <f>MAX(0,AM134*(1-INDEX($B$11:$B$63,28))*(1-E134))</f>
        <v/>
      </c>
      <c r="AO135" s="15">
        <f>MAX(0,AN134*(1-INDEX($B$11:$B$63,29))*(1-E134))</f>
        <v/>
      </c>
      <c r="AP135" s="15">
        <f>MAX(0,AO134*(1-INDEX($B$11:$B$63,30))*(1-E134))</f>
        <v/>
      </c>
      <c r="AQ135" s="15">
        <f>MAX(0,AP134*(1-INDEX($B$11:$B$63,31))*(1-E134))</f>
        <v/>
      </c>
      <c r="AR135" s="15">
        <f>MAX(0,AQ134*(1-INDEX($B$11:$B$63,32))*(1-E134))</f>
        <v/>
      </c>
      <c r="AS135" s="15">
        <f>MAX(0,AR134*(1-INDEX($B$11:$B$63,33))*(1-E134))</f>
        <v/>
      </c>
      <c r="AT135" s="15">
        <f>MAX(0,AS134*(1-INDEX($B$11:$B$63,34))*(1-E134))</f>
        <v/>
      </c>
      <c r="AU135" s="15">
        <f>MAX(0,AT134*(1-INDEX($B$11:$B$63,35))*(1-E134))</f>
        <v/>
      </c>
      <c r="AV135" s="15">
        <f>MAX(0,AU134*(1-INDEX($B$11:$B$63,36))*(1-E134))</f>
        <v/>
      </c>
      <c r="AW135" s="15">
        <f>MAX(0,AV134*(1-INDEX($B$11:$B$63,37))*(1-E134))</f>
        <v/>
      </c>
      <c r="AX135" s="15">
        <f>MAX(0,AW134*(1-INDEX($B$11:$B$63,38))*(1-E134))</f>
        <v/>
      </c>
      <c r="AY135" s="15">
        <f>MAX(0,AX134*(1-INDEX($B$11:$B$63,39))*(1-E134))</f>
        <v/>
      </c>
      <c r="AZ135" s="15">
        <f>MAX(0,AY134*(1-INDEX($B$11:$B$63,40))*(1-E134))</f>
        <v/>
      </c>
      <c r="BA135" s="15">
        <f>MAX(0,AZ134*(1-INDEX($B$11:$B$63,41))*(1-E134))</f>
        <v/>
      </c>
      <c r="BB135" s="15">
        <f>MAX(0,BA134*(1-INDEX($B$11:$B$63,42))*(1-E134))</f>
        <v/>
      </c>
      <c r="BC135" s="15">
        <f>MAX(0,BB134*(1-INDEX($B$11:$B$63,43))*(1-E134))</f>
        <v/>
      </c>
      <c r="BD135" s="15">
        <f>MAX(0,BC134*(1-INDEX($B$11:$B$63,44))*(1-E134))</f>
        <v/>
      </c>
      <c r="BE135" s="15">
        <f>MAX(0,BD134*(1-INDEX($B$11:$B$63,45))*(1-E134))</f>
        <v/>
      </c>
      <c r="BF135" s="15">
        <f>MAX(0,BE134*(1-INDEX($B$11:$B$63,46))*(1-E134))</f>
        <v/>
      </c>
      <c r="BG135" s="15">
        <f>MAX(0,BF134*(1-INDEX($B$11:$B$63,47))*(1-E134))</f>
        <v/>
      </c>
      <c r="BH135" s="15">
        <f>MAX(0,BG134*(1-INDEX($B$11:$B$63,48))*(1-E134))</f>
        <v/>
      </c>
      <c r="BI135" s="15">
        <f>MAX(0,BH134*(1-INDEX($B$11:$B$63,49))*(1-E134))</f>
        <v/>
      </c>
      <c r="BJ135" s="15">
        <f>MAX(0,BI134*(1-INDEX($B$11:$B$63,50))*(1-E134))</f>
        <v/>
      </c>
      <c r="BK135" s="15">
        <f>MAX(0,BJ134*(1-INDEX($B$11:$B$63,51))*(1-E134))</f>
        <v/>
      </c>
      <c r="BL135" s="15">
        <f>MAX(0,(BL134+BK134)*(1-INDEX($B$11:$B$63,53))*(1-E134))</f>
        <v/>
      </c>
    </row>
    <row r="136">
      <c r="A136" s="55" t="n">
        <v>70</v>
      </c>
      <c r="B136" s="15">
        <f>IF(A136&gt;Inputs!$C$62,"",SUM(M136:BK136))</f>
        <v/>
      </c>
      <c r="C136" s="15">
        <f>IF(A136&gt;Inputs!$C$62,"",INDEX(Trajectory!$C$23:$C$2000,A136))</f>
        <v/>
      </c>
      <c r="D136" s="15">
        <f>IF(A136&gt;Inputs!$C$62,"",SUM(L136:BK136))</f>
        <v/>
      </c>
      <c r="E136" s="12">
        <f>IF(A136&gt;Inputs!$C$62,"",INDEX(Trajectory!$AG$23:$AG$2000,A136))</f>
        <v/>
      </c>
      <c r="F136" s="12">
        <f>IF(D136=0,0,SUMPRODUCT(L136:BK136,$B$11:$B$63)/D136)</f>
        <v/>
      </c>
      <c r="G136" s="12">
        <f>IF(D136=0,0,MIN(0.95,1-(1-F136)*(1-E136)))</f>
        <v/>
      </c>
      <c r="H136" s="15">
        <f>IF(D136=0,0,D136*G136)</f>
        <v/>
      </c>
      <c r="I136" s="15">
        <f>IF(D136=0,0,D136-H136)</f>
        <v/>
      </c>
      <c r="L136" s="15">
        <f>C136</f>
        <v/>
      </c>
      <c r="M136" s="15">
        <f>MAX(0,L135*(1-INDEX($B$11:$B$63,1))*(1-E135))</f>
        <v/>
      </c>
      <c r="N136" s="15">
        <f>MAX(0,M135*(1-INDEX($B$11:$B$63,2))*(1-E135))</f>
        <v/>
      </c>
      <c r="O136" s="15">
        <f>MAX(0,N135*(1-INDEX($B$11:$B$63,3))*(1-E135))</f>
        <v/>
      </c>
      <c r="P136" s="15">
        <f>MAX(0,O135*(1-INDEX($B$11:$B$63,4))*(1-E135))</f>
        <v/>
      </c>
      <c r="Q136" s="15">
        <f>MAX(0,P135*(1-INDEX($B$11:$B$63,5))*(1-E135))</f>
        <v/>
      </c>
      <c r="R136" s="15">
        <f>MAX(0,Q135*(1-INDEX($B$11:$B$63,6))*(1-E135))</f>
        <v/>
      </c>
      <c r="S136" s="15">
        <f>MAX(0,R135*(1-INDEX($B$11:$B$63,7))*(1-E135))</f>
        <v/>
      </c>
      <c r="T136" s="15">
        <f>MAX(0,S135*(1-INDEX($B$11:$B$63,8))*(1-E135))</f>
        <v/>
      </c>
      <c r="U136" s="15">
        <f>MAX(0,T135*(1-INDEX($B$11:$B$63,9))*(1-E135))</f>
        <v/>
      </c>
      <c r="V136" s="15">
        <f>MAX(0,U135*(1-INDEX($B$11:$B$63,10))*(1-E135))</f>
        <v/>
      </c>
      <c r="W136" s="15">
        <f>MAX(0,V135*(1-INDEX($B$11:$B$63,11))*(1-E135))</f>
        <v/>
      </c>
      <c r="X136" s="15">
        <f>MAX(0,W135*(1-INDEX($B$11:$B$63,12))*(1-E135))</f>
        <v/>
      </c>
      <c r="Y136" s="15">
        <f>MAX(0,X135*(1-INDEX($B$11:$B$63,13))*(1-E135))</f>
        <v/>
      </c>
      <c r="Z136" s="15">
        <f>MAX(0,Y135*(1-INDEX($B$11:$B$63,14))*(1-E135))</f>
        <v/>
      </c>
      <c r="AA136" s="15">
        <f>MAX(0,Z135*(1-INDEX($B$11:$B$63,15))*(1-E135))</f>
        <v/>
      </c>
      <c r="AB136" s="15">
        <f>MAX(0,AA135*(1-INDEX($B$11:$B$63,16))*(1-E135))</f>
        <v/>
      </c>
      <c r="AC136" s="15">
        <f>MAX(0,AB135*(1-INDEX($B$11:$B$63,17))*(1-E135))</f>
        <v/>
      </c>
      <c r="AD136" s="15">
        <f>MAX(0,AC135*(1-INDEX($B$11:$B$63,18))*(1-E135))</f>
        <v/>
      </c>
      <c r="AE136" s="15">
        <f>MAX(0,AD135*(1-INDEX($B$11:$B$63,19))*(1-E135))</f>
        <v/>
      </c>
      <c r="AF136" s="15">
        <f>MAX(0,AE135*(1-INDEX($B$11:$B$63,20))*(1-E135))</f>
        <v/>
      </c>
      <c r="AG136" s="15">
        <f>MAX(0,AF135*(1-INDEX($B$11:$B$63,21))*(1-E135))</f>
        <v/>
      </c>
      <c r="AH136" s="15">
        <f>MAX(0,AG135*(1-INDEX($B$11:$B$63,22))*(1-E135))</f>
        <v/>
      </c>
      <c r="AI136" s="15">
        <f>MAX(0,AH135*(1-INDEX($B$11:$B$63,23))*(1-E135))</f>
        <v/>
      </c>
      <c r="AJ136" s="15">
        <f>MAX(0,AI135*(1-INDEX($B$11:$B$63,24))*(1-E135))</f>
        <v/>
      </c>
      <c r="AK136" s="15">
        <f>MAX(0,AJ135*(1-INDEX($B$11:$B$63,25))*(1-E135))</f>
        <v/>
      </c>
      <c r="AL136" s="15">
        <f>MAX(0,AK135*(1-INDEX($B$11:$B$63,26))*(1-E135))</f>
        <v/>
      </c>
      <c r="AM136" s="15">
        <f>MAX(0,AL135*(1-INDEX($B$11:$B$63,27))*(1-E135))</f>
        <v/>
      </c>
      <c r="AN136" s="15">
        <f>MAX(0,AM135*(1-INDEX($B$11:$B$63,28))*(1-E135))</f>
        <v/>
      </c>
      <c r="AO136" s="15">
        <f>MAX(0,AN135*(1-INDEX($B$11:$B$63,29))*(1-E135))</f>
        <v/>
      </c>
      <c r="AP136" s="15">
        <f>MAX(0,AO135*(1-INDEX($B$11:$B$63,30))*(1-E135))</f>
        <v/>
      </c>
      <c r="AQ136" s="15">
        <f>MAX(0,AP135*(1-INDEX($B$11:$B$63,31))*(1-E135))</f>
        <v/>
      </c>
      <c r="AR136" s="15">
        <f>MAX(0,AQ135*(1-INDEX($B$11:$B$63,32))*(1-E135))</f>
        <v/>
      </c>
      <c r="AS136" s="15">
        <f>MAX(0,AR135*(1-INDEX($B$11:$B$63,33))*(1-E135))</f>
        <v/>
      </c>
      <c r="AT136" s="15">
        <f>MAX(0,AS135*(1-INDEX($B$11:$B$63,34))*(1-E135))</f>
        <v/>
      </c>
      <c r="AU136" s="15">
        <f>MAX(0,AT135*(1-INDEX($B$11:$B$63,35))*(1-E135))</f>
        <v/>
      </c>
      <c r="AV136" s="15">
        <f>MAX(0,AU135*(1-INDEX($B$11:$B$63,36))*(1-E135))</f>
        <v/>
      </c>
      <c r="AW136" s="15">
        <f>MAX(0,AV135*(1-INDEX($B$11:$B$63,37))*(1-E135))</f>
        <v/>
      </c>
      <c r="AX136" s="15">
        <f>MAX(0,AW135*(1-INDEX($B$11:$B$63,38))*(1-E135))</f>
        <v/>
      </c>
      <c r="AY136" s="15">
        <f>MAX(0,AX135*(1-INDEX($B$11:$B$63,39))*(1-E135))</f>
        <v/>
      </c>
      <c r="AZ136" s="15">
        <f>MAX(0,AY135*(1-INDEX($B$11:$B$63,40))*(1-E135))</f>
        <v/>
      </c>
      <c r="BA136" s="15">
        <f>MAX(0,AZ135*(1-INDEX($B$11:$B$63,41))*(1-E135))</f>
        <v/>
      </c>
      <c r="BB136" s="15">
        <f>MAX(0,BA135*(1-INDEX($B$11:$B$63,42))*(1-E135))</f>
        <v/>
      </c>
      <c r="BC136" s="15">
        <f>MAX(0,BB135*(1-INDEX($B$11:$B$63,43))*(1-E135))</f>
        <v/>
      </c>
      <c r="BD136" s="15">
        <f>MAX(0,BC135*(1-INDEX($B$11:$B$63,44))*(1-E135))</f>
        <v/>
      </c>
      <c r="BE136" s="15">
        <f>MAX(0,BD135*(1-INDEX($B$11:$B$63,45))*(1-E135))</f>
        <v/>
      </c>
      <c r="BF136" s="15">
        <f>MAX(0,BE135*(1-INDEX($B$11:$B$63,46))*(1-E135))</f>
        <v/>
      </c>
      <c r="BG136" s="15">
        <f>MAX(0,BF135*(1-INDEX($B$11:$B$63,47))*(1-E135))</f>
        <v/>
      </c>
      <c r="BH136" s="15">
        <f>MAX(0,BG135*(1-INDEX($B$11:$B$63,48))*(1-E135))</f>
        <v/>
      </c>
      <c r="BI136" s="15">
        <f>MAX(0,BH135*(1-INDEX($B$11:$B$63,49))*(1-E135))</f>
        <v/>
      </c>
      <c r="BJ136" s="15">
        <f>MAX(0,BI135*(1-INDEX($B$11:$B$63,50))*(1-E135))</f>
        <v/>
      </c>
      <c r="BK136" s="15">
        <f>MAX(0,BJ135*(1-INDEX($B$11:$B$63,51))*(1-E135))</f>
        <v/>
      </c>
      <c r="BL136" s="15">
        <f>MAX(0,(BL135+BK135)*(1-INDEX($B$11:$B$63,53))*(1-E135))</f>
        <v/>
      </c>
    </row>
    <row r="137">
      <c r="A137" s="55" t="n">
        <v>71</v>
      </c>
      <c r="B137" s="15">
        <f>IF(A137&gt;Inputs!$C$62,"",SUM(M137:BK137))</f>
        <v/>
      </c>
      <c r="C137" s="15">
        <f>IF(A137&gt;Inputs!$C$62,"",INDEX(Trajectory!$C$23:$C$2000,A137))</f>
        <v/>
      </c>
      <c r="D137" s="15">
        <f>IF(A137&gt;Inputs!$C$62,"",SUM(L137:BK137))</f>
        <v/>
      </c>
      <c r="E137" s="12">
        <f>IF(A137&gt;Inputs!$C$62,"",INDEX(Trajectory!$AG$23:$AG$2000,A137))</f>
        <v/>
      </c>
      <c r="F137" s="12">
        <f>IF(D137=0,0,SUMPRODUCT(L137:BK137,$B$11:$B$63)/D137)</f>
        <v/>
      </c>
      <c r="G137" s="12">
        <f>IF(D137=0,0,MIN(0.95,1-(1-F137)*(1-E137)))</f>
        <v/>
      </c>
      <c r="H137" s="15">
        <f>IF(D137=0,0,D137*G137)</f>
        <v/>
      </c>
      <c r="I137" s="15">
        <f>IF(D137=0,0,D137-H137)</f>
        <v/>
      </c>
      <c r="L137" s="15">
        <f>C137</f>
        <v/>
      </c>
      <c r="M137" s="15">
        <f>MAX(0,L136*(1-INDEX($B$11:$B$63,1))*(1-E136))</f>
        <v/>
      </c>
      <c r="N137" s="15">
        <f>MAX(0,M136*(1-INDEX($B$11:$B$63,2))*(1-E136))</f>
        <v/>
      </c>
      <c r="O137" s="15">
        <f>MAX(0,N136*(1-INDEX($B$11:$B$63,3))*(1-E136))</f>
        <v/>
      </c>
      <c r="P137" s="15">
        <f>MAX(0,O136*(1-INDEX($B$11:$B$63,4))*(1-E136))</f>
        <v/>
      </c>
      <c r="Q137" s="15">
        <f>MAX(0,P136*(1-INDEX($B$11:$B$63,5))*(1-E136))</f>
        <v/>
      </c>
      <c r="R137" s="15">
        <f>MAX(0,Q136*(1-INDEX($B$11:$B$63,6))*(1-E136))</f>
        <v/>
      </c>
      <c r="S137" s="15">
        <f>MAX(0,R136*(1-INDEX($B$11:$B$63,7))*(1-E136))</f>
        <v/>
      </c>
      <c r="T137" s="15">
        <f>MAX(0,S136*(1-INDEX($B$11:$B$63,8))*(1-E136))</f>
        <v/>
      </c>
      <c r="U137" s="15">
        <f>MAX(0,T136*(1-INDEX($B$11:$B$63,9))*(1-E136))</f>
        <v/>
      </c>
      <c r="V137" s="15">
        <f>MAX(0,U136*(1-INDEX($B$11:$B$63,10))*(1-E136))</f>
        <v/>
      </c>
      <c r="W137" s="15">
        <f>MAX(0,V136*(1-INDEX($B$11:$B$63,11))*(1-E136))</f>
        <v/>
      </c>
      <c r="X137" s="15">
        <f>MAX(0,W136*(1-INDEX($B$11:$B$63,12))*(1-E136))</f>
        <v/>
      </c>
      <c r="Y137" s="15">
        <f>MAX(0,X136*(1-INDEX($B$11:$B$63,13))*(1-E136))</f>
        <v/>
      </c>
      <c r="Z137" s="15">
        <f>MAX(0,Y136*(1-INDEX($B$11:$B$63,14))*(1-E136))</f>
        <v/>
      </c>
      <c r="AA137" s="15">
        <f>MAX(0,Z136*(1-INDEX($B$11:$B$63,15))*(1-E136))</f>
        <v/>
      </c>
      <c r="AB137" s="15">
        <f>MAX(0,AA136*(1-INDEX($B$11:$B$63,16))*(1-E136))</f>
        <v/>
      </c>
      <c r="AC137" s="15">
        <f>MAX(0,AB136*(1-INDEX($B$11:$B$63,17))*(1-E136))</f>
        <v/>
      </c>
      <c r="AD137" s="15">
        <f>MAX(0,AC136*(1-INDEX($B$11:$B$63,18))*(1-E136))</f>
        <v/>
      </c>
      <c r="AE137" s="15">
        <f>MAX(0,AD136*(1-INDEX($B$11:$B$63,19))*(1-E136))</f>
        <v/>
      </c>
      <c r="AF137" s="15">
        <f>MAX(0,AE136*(1-INDEX($B$11:$B$63,20))*(1-E136))</f>
        <v/>
      </c>
      <c r="AG137" s="15">
        <f>MAX(0,AF136*(1-INDEX($B$11:$B$63,21))*(1-E136))</f>
        <v/>
      </c>
      <c r="AH137" s="15">
        <f>MAX(0,AG136*(1-INDEX($B$11:$B$63,22))*(1-E136))</f>
        <v/>
      </c>
      <c r="AI137" s="15">
        <f>MAX(0,AH136*(1-INDEX($B$11:$B$63,23))*(1-E136))</f>
        <v/>
      </c>
      <c r="AJ137" s="15">
        <f>MAX(0,AI136*(1-INDEX($B$11:$B$63,24))*(1-E136))</f>
        <v/>
      </c>
      <c r="AK137" s="15">
        <f>MAX(0,AJ136*(1-INDEX($B$11:$B$63,25))*(1-E136))</f>
        <v/>
      </c>
      <c r="AL137" s="15">
        <f>MAX(0,AK136*(1-INDEX($B$11:$B$63,26))*(1-E136))</f>
        <v/>
      </c>
      <c r="AM137" s="15">
        <f>MAX(0,AL136*(1-INDEX($B$11:$B$63,27))*(1-E136))</f>
        <v/>
      </c>
      <c r="AN137" s="15">
        <f>MAX(0,AM136*(1-INDEX($B$11:$B$63,28))*(1-E136))</f>
        <v/>
      </c>
      <c r="AO137" s="15">
        <f>MAX(0,AN136*(1-INDEX($B$11:$B$63,29))*(1-E136))</f>
        <v/>
      </c>
      <c r="AP137" s="15">
        <f>MAX(0,AO136*(1-INDEX($B$11:$B$63,30))*(1-E136))</f>
        <v/>
      </c>
      <c r="AQ137" s="15">
        <f>MAX(0,AP136*(1-INDEX($B$11:$B$63,31))*(1-E136))</f>
        <v/>
      </c>
      <c r="AR137" s="15">
        <f>MAX(0,AQ136*(1-INDEX($B$11:$B$63,32))*(1-E136))</f>
        <v/>
      </c>
      <c r="AS137" s="15">
        <f>MAX(0,AR136*(1-INDEX($B$11:$B$63,33))*(1-E136))</f>
        <v/>
      </c>
      <c r="AT137" s="15">
        <f>MAX(0,AS136*(1-INDEX($B$11:$B$63,34))*(1-E136))</f>
        <v/>
      </c>
      <c r="AU137" s="15">
        <f>MAX(0,AT136*(1-INDEX($B$11:$B$63,35))*(1-E136))</f>
        <v/>
      </c>
      <c r="AV137" s="15">
        <f>MAX(0,AU136*(1-INDEX($B$11:$B$63,36))*(1-E136))</f>
        <v/>
      </c>
      <c r="AW137" s="15">
        <f>MAX(0,AV136*(1-INDEX($B$11:$B$63,37))*(1-E136))</f>
        <v/>
      </c>
      <c r="AX137" s="15">
        <f>MAX(0,AW136*(1-INDEX($B$11:$B$63,38))*(1-E136))</f>
        <v/>
      </c>
      <c r="AY137" s="15">
        <f>MAX(0,AX136*(1-INDEX($B$11:$B$63,39))*(1-E136))</f>
        <v/>
      </c>
      <c r="AZ137" s="15">
        <f>MAX(0,AY136*(1-INDEX($B$11:$B$63,40))*(1-E136))</f>
        <v/>
      </c>
      <c r="BA137" s="15">
        <f>MAX(0,AZ136*(1-INDEX($B$11:$B$63,41))*(1-E136))</f>
        <v/>
      </c>
      <c r="BB137" s="15">
        <f>MAX(0,BA136*(1-INDEX($B$11:$B$63,42))*(1-E136))</f>
        <v/>
      </c>
      <c r="BC137" s="15">
        <f>MAX(0,BB136*(1-INDEX($B$11:$B$63,43))*(1-E136))</f>
        <v/>
      </c>
      <c r="BD137" s="15">
        <f>MAX(0,BC136*(1-INDEX($B$11:$B$63,44))*(1-E136))</f>
        <v/>
      </c>
      <c r="BE137" s="15">
        <f>MAX(0,BD136*(1-INDEX($B$11:$B$63,45))*(1-E136))</f>
        <v/>
      </c>
      <c r="BF137" s="15">
        <f>MAX(0,BE136*(1-INDEX($B$11:$B$63,46))*(1-E136))</f>
        <v/>
      </c>
      <c r="BG137" s="15">
        <f>MAX(0,BF136*(1-INDEX($B$11:$B$63,47))*(1-E136))</f>
        <v/>
      </c>
      <c r="BH137" s="15">
        <f>MAX(0,BG136*(1-INDEX($B$11:$B$63,48))*(1-E136))</f>
        <v/>
      </c>
      <c r="BI137" s="15">
        <f>MAX(0,BH136*(1-INDEX($B$11:$B$63,49))*(1-E136))</f>
        <v/>
      </c>
      <c r="BJ137" s="15">
        <f>MAX(0,BI136*(1-INDEX($B$11:$B$63,50))*(1-E136))</f>
        <v/>
      </c>
      <c r="BK137" s="15">
        <f>MAX(0,BJ136*(1-INDEX($B$11:$B$63,51))*(1-E136))</f>
        <v/>
      </c>
      <c r="BL137" s="15">
        <f>MAX(0,(BL136+BK136)*(1-INDEX($B$11:$B$63,53))*(1-E136))</f>
        <v/>
      </c>
    </row>
    <row r="138">
      <c r="A138" s="55" t="n">
        <v>72</v>
      </c>
      <c r="B138" s="15">
        <f>IF(A138&gt;Inputs!$C$62,"",SUM(M138:BK138))</f>
        <v/>
      </c>
      <c r="C138" s="15">
        <f>IF(A138&gt;Inputs!$C$62,"",INDEX(Trajectory!$C$23:$C$2000,A138))</f>
        <v/>
      </c>
      <c r="D138" s="15">
        <f>IF(A138&gt;Inputs!$C$62,"",SUM(L138:BK138))</f>
        <v/>
      </c>
      <c r="E138" s="12">
        <f>IF(A138&gt;Inputs!$C$62,"",INDEX(Trajectory!$AG$23:$AG$2000,A138))</f>
        <v/>
      </c>
      <c r="F138" s="12">
        <f>IF(D138=0,0,SUMPRODUCT(L138:BK138,$B$11:$B$63)/D138)</f>
        <v/>
      </c>
      <c r="G138" s="12">
        <f>IF(D138=0,0,MIN(0.95,1-(1-F138)*(1-E138)))</f>
        <v/>
      </c>
      <c r="H138" s="15">
        <f>IF(D138=0,0,D138*G138)</f>
        <v/>
      </c>
      <c r="I138" s="15">
        <f>IF(D138=0,0,D138-H138)</f>
        <v/>
      </c>
      <c r="L138" s="15">
        <f>C138</f>
        <v/>
      </c>
      <c r="M138" s="15">
        <f>MAX(0,L137*(1-INDEX($B$11:$B$63,1))*(1-E137))</f>
        <v/>
      </c>
      <c r="N138" s="15">
        <f>MAX(0,M137*(1-INDEX($B$11:$B$63,2))*(1-E137))</f>
        <v/>
      </c>
      <c r="O138" s="15">
        <f>MAX(0,N137*(1-INDEX($B$11:$B$63,3))*(1-E137))</f>
        <v/>
      </c>
      <c r="P138" s="15">
        <f>MAX(0,O137*(1-INDEX($B$11:$B$63,4))*(1-E137))</f>
        <v/>
      </c>
      <c r="Q138" s="15">
        <f>MAX(0,P137*(1-INDEX($B$11:$B$63,5))*(1-E137))</f>
        <v/>
      </c>
      <c r="R138" s="15">
        <f>MAX(0,Q137*(1-INDEX($B$11:$B$63,6))*(1-E137))</f>
        <v/>
      </c>
      <c r="S138" s="15">
        <f>MAX(0,R137*(1-INDEX($B$11:$B$63,7))*(1-E137))</f>
        <v/>
      </c>
      <c r="T138" s="15">
        <f>MAX(0,S137*(1-INDEX($B$11:$B$63,8))*(1-E137))</f>
        <v/>
      </c>
      <c r="U138" s="15">
        <f>MAX(0,T137*(1-INDEX($B$11:$B$63,9))*(1-E137))</f>
        <v/>
      </c>
      <c r="V138" s="15">
        <f>MAX(0,U137*(1-INDEX($B$11:$B$63,10))*(1-E137))</f>
        <v/>
      </c>
      <c r="W138" s="15">
        <f>MAX(0,V137*(1-INDEX($B$11:$B$63,11))*(1-E137))</f>
        <v/>
      </c>
      <c r="X138" s="15">
        <f>MAX(0,W137*(1-INDEX($B$11:$B$63,12))*(1-E137))</f>
        <v/>
      </c>
      <c r="Y138" s="15">
        <f>MAX(0,X137*(1-INDEX($B$11:$B$63,13))*(1-E137))</f>
        <v/>
      </c>
      <c r="Z138" s="15">
        <f>MAX(0,Y137*(1-INDEX($B$11:$B$63,14))*(1-E137))</f>
        <v/>
      </c>
      <c r="AA138" s="15">
        <f>MAX(0,Z137*(1-INDEX($B$11:$B$63,15))*(1-E137))</f>
        <v/>
      </c>
      <c r="AB138" s="15">
        <f>MAX(0,AA137*(1-INDEX($B$11:$B$63,16))*(1-E137))</f>
        <v/>
      </c>
      <c r="AC138" s="15">
        <f>MAX(0,AB137*(1-INDEX($B$11:$B$63,17))*(1-E137))</f>
        <v/>
      </c>
      <c r="AD138" s="15">
        <f>MAX(0,AC137*(1-INDEX($B$11:$B$63,18))*(1-E137))</f>
        <v/>
      </c>
      <c r="AE138" s="15">
        <f>MAX(0,AD137*(1-INDEX($B$11:$B$63,19))*(1-E137))</f>
        <v/>
      </c>
      <c r="AF138" s="15">
        <f>MAX(0,AE137*(1-INDEX($B$11:$B$63,20))*(1-E137))</f>
        <v/>
      </c>
      <c r="AG138" s="15">
        <f>MAX(0,AF137*(1-INDEX($B$11:$B$63,21))*(1-E137))</f>
        <v/>
      </c>
      <c r="AH138" s="15">
        <f>MAX(0,AG137*(1-INDEX($B$11:$B$63,22))*(1-E137))</f>
        <v/>
      </c>
      <c r="AI138" s="15">
        <f>MAX(0,AH137*(1-INDEX($B$11:$B$63,23))*(1-E137))</f>
        <v/>
      </c>
      <c r="AJ138" s="15">
        <f>MAX(0,AI137*(1-INDEX($B$11:$B$63,24))*(1-E137))</f>
        <v/>
      </c>
      <c r="AK138" s="15">
        <f>MAX(0,AJ137*(1-INDEX($B$11:$B$63,25))*(1-E137))</f>
        <v/>
      </c>
      <c r="AL138" s="15">
        <f>MAX(0,AK137*(1-INDEX($B$11:$B$63,26))*(1-E137))</f>
        <v/>
      </c>
      <c r="AM138" s="15">
        <f>MAX(0,AL137*(1-INDEX($B$11:$B$63,27))*(1-E137))</f>
        <v/>
      </c>
      <c r="AN138" s="15">
        <f>MAX(0,AM137*(1-INDEX($B$11:$B$63,28))*(1-E137))</f>
        <v/>
      </c>
      <c r="AO138" s="15">
        <f>MAX(0,AN137*(1-INDEX($B$11:$B$63,29))*(1-E137))</f>
        <v/>
      </c>
      <c r="AP138" s="15">
        <f>MAX(0,AO137*(1-INDEX($B$11:$B$63,30))*(1-E137))</f>
        <v/>
      </c>
      <c r="AQ138" s="15">
        <f>MAX(0,AP137*(1-INDEX($B$11:$B$63,31))*(1-E137))</f>
        <v/>
      </c>
      <c r="AR138" s="15">
        <f>MAX(0,AQ137*(1-INDEX($B$11:$B$63,32))*(1-E137))</f>
        <v/>
      </c>
      <c r="AS138" s="15">
        <f>MAX(0,AR137*(1-INDEX($B$11:$B$63,33))*(1-E137))</f>
        <v/>
      </c>
      <c r="AT138" s="15">
        <f>MAX(0,AS137*(1-INDEX($B$11:$B$63,34))*(1-E137))</f>
        <v/>
      </c>
      <c r="AU138" s="15">
        <f>MAX(0,AT137*(1-INDEX($B$11:$B$63,35))*(1-E137))</f>
        <v/>
      </c>
      <c r="AV138" s="15">
        <f>MAX(0,AU137*(1-INDEX($B$11:$B$63,36))*(1-E137))</f>
        <v/>
      </c>
      <c r="AW138" s="15">
        <f>MAX(0,AV137*(1-INDEX($B$11:$B$63,37))*(1-E137))</f>
        <v/>
      </c>
      <c r="AX138" s="15">
        <f>MAX(0,AW137*(1-INDEX($B$11:$B$63,38))*(1-E137))</f>
        <v/>
      </c>
      <c r="AY138" s="15">
        <f>MAX(0,AX137*(1-INDEX($B$11:$B$63,39))*(1-E137))</f>
        <v/>
      </c>
      <c r="AZ138" s="15">
        <f>MAX(0,AY137*(1-INDEX($B$11:$B$63,40))*(1-E137))</f>
        <v/>
      </c>
      <c r="BA138" s="15">
        <f>MAX(0,AZ137*(1-INDEX($B$11:$B$63,41))*(1-E137))</f>
        <v/>
      </c>
      <c r="BB138" s="15">
        <f>MAX(0,BA137*(1-INDEX($B$11:$B$63,42))*(1-E137))</f>
        <v/>
      </c>
      <c r="BC138" s="15">
        <f>MAX(0,BB137*(1-INDEX($B$11:$B$63,43))*(1-E137))</f>
        <v/>
      </c>
      <c r="BD138" s="15">
        <f>MAX(0,BC137*(1-INDEX($B$11:$B$63,44))*(1-E137))</f>
        <v/>
      </c>
      <c r="BE138" s="15">
        <f>MAX(0,BD137*(1-INDEX($B$11:$B$63,45))*(1-E137))</f>
        <v/>
      </c>
      <c r="BF138" s="15">
        <f>MAX(0,BE137*(1-INDEX($B$11:$B$63,46))*(1-E137))</f>
        <v/>
      </c>
      <c r="BG138" s="15">
        <f>MAX(0,BF137*(1-INDEX($B$11:$B$63,47))*(1-E137))</f>
        <v/>
      </c>
      <c r="BH138" s="15">
        <f>MAX(0,BG137*(1-INDEX($B$11:$B$63,48))*(1-E137))</f>
        <v/>
      </c>
      <c r="BI138" s="15">
        <f>MAX(0,BH137*(1-INDEX($B$11:$B$63,49))*(1-E137))</f>
        <v/>
      </c>
      <c r="BJ138" s="15">
        <f>MAX(0,BI137*(1-INDEX($B$11:$B$63,50))*(1-E137))</f>
        <v/>
      </c>
      <c r="BK138" s="15">
        <f>MAX(0,BJ137*(1-INDEX($B$11:$B$63,51))*(1-E137))</f>
        <v/>
      </c>
      <c r="BL138" s="15">
        <f>MAX(0,(BL137+BK137)*(1-INDEX($B$11:$B$63,53))*(1-E137))</f>
        <v/>
      </c>
    </row>
    <row r="139">
      <c r="A139" s="55" t="n">
        <v>73</v>
      </c>
      <c r="B139" s="15">
        <f>IF(A139&gt;Inputs!$C$62,"",SUM(M139:BK139))</f>
        <v/>
      </c>
      <c r="C139" s="15">
        <f>IF(A139&gt;Inputs!$C$62,"",INDEX(Trajectory!$C$23:$C$2000,A139))</f>
        <v/>
      </c>
      <c r="D139" s="15">
        <f>IF(A139&gt;Inputs!$C$62,"",SUM(L139:BK139))</f>
        <v/>
      </c>
      <c r="E139" s="12">
        <f>IF(A139&gt;Inputs!$C$62,"",INDEX(Trajectory!$AG$23:$AG$2000,A139))</f>
        <v/>
      </c>
      <c r="F139" s="12">
        <f>IF(D139=0,0,SUMPRODUCT(L139:BK139,$B$11:$B$63)/D139)</f>
        <v/>
      </c>
      <c r="G139" s="12">
        <f>IF(D139=0,0,MIN(0.95,1-(1-F139)*(1-E139)))</f>
        <v/>
      </c>
      <c r="H139" s="15">
        <f>IF(D139=0,0,D139*G139)</f>
        <v/>
      </c>
      <c r="I139" s="15">
        <f>IF(D139=0,0,D139-H139)</f>
        <v/>
      </c>
      <c r="L139" s="15">
        <f>C139</f>
        <v/>
      </c>
      <c r="M139" s="15">
        <f>MAX(0,L138*(1-INDEX($B$11:$B$63,1))*(1-E138))</f>
        <v/>
      </c>
      <c r="N139" s="15">
        <f>MAX(0,M138*(1-INDEX($B$11:$B$63,2))*(1-E138))</f>
        <v/>
      </c>
      <c r="O139" s="15">
        <f>MAX(0,N138*(1-INDEX($B$11:$B$63,3))*(1-E138))</f>
        <v/>
      </c>
      <c r="P139" s="15">
        <f>MAX(0,O138*(1-INDEX($B$11:$B$63,4))*(1-E138))</f>
        <v/>
      </c>
      <c r="Q139" s="15">
        <f>MAX(0,P138*(1-INDEX($B$11:$B$63,5))*(1-E138))</f>
        <v/>
      </c>
      <c r="R139" s="15">
        <f>MAX(0,Q138*(1-INDEX($B$11:$B$63,6))*(1-E138))</f>
        <v/>
      </c>
      <c r="S139" s="15">
        <f>MAX(0,R138*(1-INDEX($B$11:$B$63,7))*(1-E138))</f>
        <v/>
      </c>
      <c r="T139" s="15">
        <f>MAX(0,S138*(1-INDEX($B$11:$B$63,8))*(1-E138))</f>
        <v/>
      </c>
      <c r="U139" s="15">
        <f>MAX(0,T138*(1-INDEX($B$11:$B$63,9))*(1-E138))</f>
        <v/>
      </c>
      <c r="V139" s="15">
        <f>MAX(0,U138*(1-INDEX($B$11:$B$63,10))*(1-E138))</f>
        <v/>
      </c>
      <c r="W139" s="15">
        <f>MAX(0,V138*(1-INDEX($B$11:$B$63,11))*(1-E138))</f>
        <v/>
      </c>
      <c r="X139" s="15">
        <f>MAX(0,W138*(1-INDEX($B$11:$B$63,12))*(1-E138))</f>
        <v/>
      </c>
      <c r="Y139" s="15">
        <f>MAX(0,X138*(1-INDEX($B$11:$B$63,13))*(1-E138))</f>
        <v/>
      </c>
      <c r="Z139" s="15">
        <f>MAX(0,Y138*(1-INDEX($B$11:$B$63,14))*(1-E138))</f>
        <v/>
      </c>
      <c r="AA139" s="15">
        <f>MAX(0,Z138*(1-INDEX($B$11:$B$63,15))*(1-E138))</f>
        <v/>
      </c>
      <c r="AB139" s="15">
        <f>MAX(0,AA138*(1-INDEX($B$11:$B$63,16))*(1-E138))</f>
        <v/>
      </c>
      <c r="AC139" s="15">
        <f>MAX(0,AB138*(1-INDEX($B$11:$B$63,17))*(1-E138))</f>
        <v/>
      </c>
      <c r="AD139" s="15">
        <f>MAX(0,AC138*(1-INDEX($B$11:$B$63,18))*(1-E138))</f>
        <v/>
      </c>
      <c r="AE139" s="15">
        <f>MAX(0,AD138*(1-INDEX($B$11:$B$63,19))*(1-E138))</f>
        <v/>
      </c>
      <c r="AF139" s="15">
        <f>MAX(0,AE138*(1-INDEX($B$11:$B$63,20))*(1-E138))</f>
        <v/>
      </c>
      <c r="AG139" s="15">
        <f>MAX(0,AF138*(1-INDEX($B$11:$B$63,21))*(1-E138))</f>
        <v/>
      </c>
      <c r="AH139" s="15">
        <f>MAX(0,AG138*(1-INDEX($B$11:$B$63,22))*(1-E138))</f>
        <v/>
      </c>
      <c r="AI139" s="15">
        <f>MAX(0,AH138*(1-INDEX($B$11:$B$63,23))*(1-E138))</f>
        <v/>
      </c>
      <c r="AJ139" s="15">
        <f>MAX(0,AI138*(1-INDEX($B$11:$B$63,24))*(1-E138))</f>
        <v/>
      </c>
      <c r="AK139" s="15">
        <f>MAX(0,AJ138*(1-INDEX($B$11:$B$63,25))*(1-E138))</f>
        <v/>
      </c>
      <c r="AL139" s="15">
        <f>MAX(0,AK138*(1-INDEX($B$11:$B$63,26))*(1-E138))</f>
        <v/>
      </c>
      <c r="AM139" s="15">
        <f>MAX(0,AL138*(1-INDEX($B$11:$B$63,27))*(1-E138))</f>
        <v/>
      </c>
      <c r="AN139" s="15">
        <f>MAX(0,AM138*(1-INDEX($B$11:$B$63,28))*(1-E138))</f>
        <v/>
      </c>
      <c r="AO139" s="15">
        <f>MAX(0,AN138*(1-INDEX($B$11:$B$63,29))*(1-E138))</f>
        <v/>
      </c>
      <c r="AP139" s="15">
        <f>MAX(0,AO138*(1-INDEX($B$11:$B$63,30))*(1-E138))</f>
        <v/>
      </c>
      <c r="AQ139" s="15">
        <f>MAX(0,AP138*(1-INDEX($B$11:$B$63,31))*(1-E138))</f>
        <v/>
      </c>
      <c r="AR139" s="15">
        <f>MAX(0,AQ138*(1-INDEX($B$11:$B$63,32))*(1-E138))</f>
        <v/>
      </c>
      <c r="AS139" s="15">
        <f>MAX(0,AR138*(1-INDEX($B$11:$B$63,33))*(1-E138))</f>
        <v/>
      </c>
      <c r="AT139" s="15">
        <f>MAX(0,AS138*(1-INDEX($B$11:$B$63,34))*(1-E138))</f>
        <v/>
      </c>
      <c r="AU139" s="15">
        <f>MAX(0,AT138*(1-INDEX($B$11:$B$63,35))*(1-E138))</f>
        <v/>
      </c>
      <c r="AV139" s="15">
        <f>MAX(0,AU138*(1-INDEX($B$11:$B$63,36))*(1-E138))</f>
        <v/>
      </c>
      <c r="AW139" s="15">
        <f>MAX(0,AV138*(1-INDEX($B$11:$B$63,37))*(1-E138))</f>
        <v/>
      </c>
      <c r="AX139" s="15">
        <f>MAX(0,AW138*(1-INDEX($B$11:$B$63,38))*(1-E138))</f>
        <v/>
      </c>
      <c r="AY139" s="15">
        <f>MAX(0,AX138*(1-INDEX($B$11:$B$63,39))*(1-E138))</f>
        <v/>
      </c>
      <c r="AZ139" s="15">
        <f>MAX(0,AY138*(1-INDEX($B$11:$B$63,40))*(1-E138))</f>
        <v/>
      </c>
      <c r="BA139" s="15">
        <f>MAX(0,AZ138*(1-INDEX($B$11:$B$63,41))*(1-E138))</f>
        <v/>
      </c>
      <c r="BB139" s="15">
        <f>MAX(0,BA138*(1-INDEX($B$11:$B$63,42))*(1-E138))</f>
        <v/>
      </c>
      <c r="BC139" s="15">
        <f>MAX(0,BB138*(1-INDEX($B$11:$B$63,43))*(1-E138))</f>
        <v/>
      </c>
      <c r="BD139" s="15">
        <f>MAX(0,BC138*(1-INDEX($B$11:$B$63,44))*(1-E138))</f>
        <v/>
      </c>
      <c r="BE139" s="15">
        <f>MAX(0,BD138*(1-INDEX($B$11:$B$63,45))*(1-E138))</f>
        <v/>
      </c>
      <c r="BF139" s="15">
        <f>MAX(0,BE138*(1-INDEX($B$11:$B$63,46))*(1-E138))</f>
        <v/>
      </c>
      <c r="BG139" s="15">
        <f>MAX(0,BF138*(1-INDEX($B$11:$B$63,47))*(1-E138))</f>
        <v/>
      </c>
      <c r="BH139" s="15">
        <f>MAX(0,BG138*(1-INDEX($B$11:$B$63,48))*(1-E138))</f>
        <v/>
      </c>
      <c r="BI139" s="15">
        <f>MAX(0,BH138*(1-INDEX($B$11:$B$63,49))*(1-E138))</f>
        <v/>
      </c>
      <c r="BJ139" s="15">
        <f>MAX(0,BI138*(1-INDEX($B$11:$B$63,50))*(1-E138))</f>
        <v/>
      </c>
      <c r="BK139" s="15">
        <f>MAX(0,BJ138*(1-INDEX($B$11:$B$63,51))*(1-E138))</f>
        <v/>
      </c>
      <c r="BL139" s="15">
        <f>MAX(0,(BL138+BK138)*(1-INDEX($B$11:$B$63,53))*(1-E138))</f>
        <v/>
      </c>
    </row>
    <row r="140">
      <c r="A140" s="55" t="n">
        <v>74</v>
      </c>
      <c r="B140" s="15">
        <f>IF(A140&gt;Inputs!$C$62,"",SUM(M140:BK140))</f>
        <v/>
      </c>
      <c r="C140" s="15">
        <f>IF(A140&gt;Inputs!$C$62,"",INDEX(Trajectory!$C$23:$C$2000,A140))</f>
        <v/>
      </c>
      <c r="D140" s="15">
        <f>IF(A140&gt;Inputs!$C$62,"",SUM(L140:BK140))</f>
        <v/>
      </c>
      <c r="E140" s="12">
        <f>IF(A140&gt;Inputs!$C$62,"",INDEX(Trajectory!$AG$23:$AG$2000,A140))</f>
        <v/>
      </c>
      <c r="F140" s="12">
        <f>IF(D140=0,0,SUMPRODUCT(L140:BK140,$B$11:$B$63)/D140)</f>
        <v/>
      </c>
      <c r="G140" s="12">
        <f>IF(D140=0,0,MIN(0.95,1-(1-F140)*(1-E140)))</f>
        <v/>
      </c>
      <c r="H140" s="15">
        <f>IF(D140=0,0,D140*G140)</f>
        <v/>
      </c>
      <c r="I140" s="15">
        <f>IF(D140=0,0,D140-H140)</f>
        <v/>
      </c>
      <c r="L140" s="15">
        <f>C140</f>
        <v/>
      </c>
      <c r="M140" s="15">
        <f>MAX(0,L139*(1-INDEX($B$11:$B$63,1))*(1-E139))</f>
        <v/>
      </c>
      <c r="N140" s="15">
        <f>MAX(0,M139*(1-INDEX($B$11:$B$63,2))*(1-E139))</f>
        <v/>
      </c>
      <c r="O140" s="15">
        <f>MAX(0,N139*(1-INDEX($B$11:$B$63,3))*(1-E139))</f>
        <v/>
      </c>
      <c r="P140" s="15">
        <f>MAX(0,O139*(1-INDEX($B$11:$B$63,4))*(1-E139))</f>
        <v/>
      </c>
      <c r="Q140" s="15">
        <f>MAX(0,P139*(1-INDEX($B$11:$B$63,5))*(1-E139))</f>
        <v/>
      </c>
      <c r="R140" s="15">
        <f>MAX(0,Q139*(1-INDEX($B$11:$B$63,6))*(1-E139))</f>
        <v/>
      </c>
      <c r="S140" s="15">
        <f>MAX(0,R139*(1-INDEX($B$11:$B$63,7))*(1-E139))</f>
        <v/>
      </c>
      <c r="T140" s="15">
        <f>MAX(0,S139*(1-INDEX($B$11:$B$63,8))*(1-E139))</f>
        <v/>
      </c>
      <c r="U140" s="15">
        <f>MAX(0,T139*(1-INDEX($B$11:$B$63,9))*(1-E139))</f>
        <v/>
      </c>
      <c r="V140" s="15">
        <f>MAX(0,U139*(1-INDEX($B$11:$B$63,10))*(1-E139))</f>
        <v/>
      </c>
      <c r="W140" s="15">
        <f>MAX(0,V139*(1-INDEX($B$11:$B$63,11))*(1-E139))</f>
        <v/>
      </c>
      <c r="X140" s="15">
        <f>MAX(0,W139*(1-INDEX($B$11:$B$63,12))*(1-E139))</f>
        <v/>
      </c>
      <c r="Y140" s="15">
        <f>MAX(0,X139*(1-INDEX($B$11:$B$63,13))*(1-E139))</f>
        <v/>
      </c>
      <c r="Z140" s="15">
        <f>MAX(0,Y139*(1-INDEX($B$11:$B$63,14))*(1-E139))</f>
        <v/>
      </c>
      <c r="AA140" s="15">
        <f>MAX(0,Z139*(1-INDEX($B$11:$B$63,15))*(1-E139))</f>
        <v/>
      </c>
      <c r="AB140" s="15">
        <f>MAX(0,AA139*(1-INDEX($B$11:$B$63,16))*(1-E139))</f>
        <v/>
      </c>
      <c r="AC140" s="15">
        <f>MAX(0,AB139*(1-INDEX($B$11:$B$63,17))*(1-E139))</f>
        <v/>
      </c>
      <c r="AD140" s="15">
        <f>MAX(0,AC139*(1-INDEX($B$11:$B$63,18))*(1-E139))</f>
        <v/>
      </c>
      <c r="AE140" s="15">
        <f>MAX(0,AD139*(1-INDEX($B$11:$B$63,19))*(1-E139))</f>
        <v/>
      </c>
      <c r="AF140" s="15">
        <f>MAX(0,AE139*(1-INDEX($B$11:$B$63,20))*(1-E139))</f>
        <v/>
      </c>
      <c r="AG140" s="15">
        <f>MAX(0,AF139*(1-INDEX($B$11:$B$63,21))*(1-E139))</f>
        <v/>
      </c>
      <c r="AH140" s="15">
        <f>MAX(0,AG139*(1-INDEX($B$11:$B$63,22))*(1-E139))</f>
        <v/>
      </c>
      <c r="AI140" s="15">
        <f>MAX(0,AH139*(1-INDEX($B$11:$B$63,23))*(1-E139))</f>
        <v/>
      </c>
      <c r="AJ140" s="15">
        <f>MAX(0,AI139*(1-INDEX($B$11:$B$63,24))*(1-E139))</f>
        <v/>
      </c>
      <c r="AK140" s="15">
        <f>MAX(0,AJ139*(1-INDEX($B$11:$B$63,25))*(1-E139))</f>
        <v/>
      </c>
      <c r="AL140" s="15">
        <f>MAX(0,AK139*(1-INDEX($B$11:$B$63,26))*(1-E139))</f>
        <v/>
      </c>
      <c r="AM140" s="15">
        <f>MAX(0,AL139*(1-INDEX($B$11:$B$63,27))*(1-E139))</f>
        <v/>
      </c>
      <c r="AN140" s="15">
        <f>MAX(0,AM139*(1-INDEX($B$11:$B$63,28))*(1-E139))</f>
        <v/>
      </c>
      <c r="AO140" s="15">
        <f>MAX(0,AN139*(1-INDEX($B$11:$B$63,29))*(1-E139))</f>
        <v/>
      </c>
      <c r="AP140" s="15">
        <f>MAX(0,AO139*(1-INDEX($B$11:$B$63,30))*(1-E139))</f>
        <v/>
      </c>
      <c r="AQ140" s="15">
        <f>MAX(0,AP139*(1-INDEX($B$11:$B$63,31))*(1-E139))</f>
        <v/>
      </c>
      <c r="AR140" s="15">
        <f>MAX(0,AQ139*(1-INDEX($B$11:$B$63,32))*(1-E139))</f>
        <v/>
      </c>
      <c r="AS140" s="15">
        <f>MAX(0,AR139*(1-INDEX($B$11:$B$63,33))*(1-E139))</f>
        <v/>
      </c>
      <c r="AT140" s="15">
        <f>MAX(0,AS139*(1-INDEX($B$11:$B$63,34))*(1-E139))</f>
        <v/>
      </c>
      <c r="AU140" s="15">
        <f>MAX(0,AT139*(1-INDEX($B$11:$B$63,35))*(1-E139))</f>
        <v/>
      </c>
      <c r="AV140" s="15">
        <f>MAX(0,AU139*(1-INDEX($B$11:$B$63,36))*(1-E139))</f>
        <v/>
      </c>
      <c r="AW140" s="15">
        <f>MAX(0,AV139*(1-INDEX($B$11:$B$63,37))*(1-E139))</f>
        <v/>
      </c>
      <c r="AX140" s="15">
        <f>MAX(0,AW139*(1-INDEX($B$11:$B$63,38))*(1-E139))</f>
        <v/>
      </c>
      <c r="AY140" s="15">
        <f>MAX(0,AX139*(1-INDEX($B$11:$B$63,39))*(1-E139))</f>
        <v/>
      </c>
      <c r="AZ140" s="15">
        <f>MAX(0,AY139*(1-INDEX($B$11:$B$63,40))*(1-E139))</f>
        <v/>
      </c>
      <c r="BA140" s="15">
        <f>MAX(0,AZ139*(1-INDEX($B$11:$B$63,41))*(1-E139))</f>
        <v/>
      </c>
      <c r="BB140" s="15">
        <f>MAX(0,BA139*(1-INDEX($B$11:$B$63,42))*(1-E139))</f>
        <v/>
      </c>
      <c r="BC140" s="15">
        <f>MAX(0,BB139*(1-INDEX($B$11:$B$63,43))*(1-E139))</f>
        <v/>
      </c>
      <c r="BD140" s="15">
        <f>MAX(0,BC139*(1-INDEX($B$11:$B$63,44))*(1-E139))</f>
        <v/>
      </c>
      <c r="BE140" s="15">
        <f>MAX(0,BD139*(1-INDEX($B$11:$B$63,45))*(1-E139))</f>
        <v/>
      </c>
      <c r="BF140" s="15">
        <f>MAX(0,BE139*(1-INDEX($B$11:$B$63,46))*(1-E139))</f>
        <v/>
      </c>
      <c r="BG140" s="15">
        <f>MAX(0,BF139*(1-INDEX($B$11:$B$63,47))*(1-E139))</f>
        <v/>
      </c>
      <c r="BH140" s="15">
        <f>MAX(0,BG139*(1-INDEX($B$11:$B$63,48))*(1-E139))</f>
        <v/>
      </c>
      <c r="BI140" s="15">
        <f>MAX(0,BH139*(1-INDEX($B$11:$B$63,49))*(1-E139))</f>
        <v/>
      </c>
      <c r="BJ140" s="15">
        <f>MAX(0,BI139*(1-INDEX($B$11:$B$63,50))*(1-E139))</f>
        <v/>
      </c>
      <c r="BK140" s="15">
        <f>MAX(0,BJ139*(1-INDEX($B$11:$B$63,51))*(1-E139))</f>
        <v/>
      </c>
      <c r="BL140" s="15">
        <f>MAX(0,(BL139+BK139)*(1-INDEX($B$11:$B$63,53))*(1-E139))</f>
        <v/>
      </c>
    </row>
    <row r="141">
      <c r="A141" s="55" t="n">
        <v>75</v>
      </c>
      <c r="B141" s="15">
        <f>IF(A141&gt;Inputs!$C$62,"",SUM(M141:BK141))</f>
        <v/>
      </c>
      <c r="C141" s="15">
        <f>IF(A141&gt;Inputs!$C$62,"",INDEX(Trajectory!$C$23:$C$2000,A141))</f>
        <v/>
      </c>
      <c r="D141" s="15">
        <f>IF(A141&gt;Inputs!$C$62,"",SUM(L141:BK141))</f>
        <v/>
      </c>
      <c r="E141" s="12">
        <f>IF(A141&gt;Inputs!$C$62,"",INDEX(Trajectory!$AG$23:$AG$2000,A141))</f>
        <v/>
      </c>
      <c r="F141" s="12">
        <f>IF(D141=0,0,SUMPRODUCT(L141:BK141,$B$11:$B$63)/D141)</f>
        <v/>
      </c>
      <c r="G141" s="12">
        <f>IF(D141=0,0,MIN(0.95,1-(1-F141)*(1-E141)))</f>
        <v/>
      </c>
      <c r="H141" s="15">
        <f>IF(D141=0,0,D141*G141)</f>
        <v/>
      </c>
      <c r="I141" s="15">
        <f>IF(D141=0,0,D141-H141)</f>
        <v/>
      </c>
      <c r="L141" s="15">
        <f>C141</f>
        <v/>
      </c>
      <c r="M141" s="15">
        <f>MAX(0,L140*(1-INDEX($B$11:$B$63,1))*(1-E140))</f>
        <v/>
      </c>
      <c r="N141" s="15">
        <f>MAX(0,M140*(1-INDEX($B$11:$B$63,2))*(1-E140))</f>
        <v/>
      </c>
      <c r="O141" s="15">
        <f>MAX(0,N140*(1-INDEX($B$11:$B$63,3))*(1-E140))</f>
        <v/>
      </c>
      <c r="P141" s="15">
        <f>MAX(0,O140*(1-INDEX($B$11:$B$63,4))*(1-E140))</f>
        <v/>
      </c>
      <c r="Q141" s="15">
        <f>MAX(0,P140*(1-INDEX($B$11:$B$63,5))*(1-E140))</f>
        <v/>
      </c>
      <c r="R141" s="15">
        <f>MAX(0,Q140*(1-INDEX($B$11:$B$63,6))*(1-E140))</f>
        <v/>
      </c>
      <c r="S141" s="15">
        <f>MAX(0,R140*(1-INDEX($B$11:$B$63,7))*(1-E140))</f>
        <v/>
      </c>
      <c r="T141" s="15">
        <f>MAX(0,S140*(1-INDEX($B$11:$B$63,8))*(1-E140))</f>
        <v/>
      </c>
      <c r="U141" s="15">
        <f>MAX(0,T140*(1-INDEX($B$11:$B$63,9))*(1-E140))</f>
        <v/>
      </c>
      <c r="V141" s="15">
        <f>MAX(0,U140*(1-INDEX($B$11:$B$63,10))*(1-E140))</f>
        <v/>
      </c>
      <c r="W141" s="15">
        <f>MAX(0,V140*(1-INDEX($B$11:$B$63,11))*(1-E140))</f>
        <v/>
      </c>
      <c r="X141" s="15">
        <f>MAX(0,W140*(1-INDEX($B$11:$B$63,12))*(1-E140))</f>
        <v/>
      </c>
      <c r="Y141" s="15">
        <f>MAX(0,X140*(1-INDEX($B$11:$B$63,13))*(1-E140))</f>
        <v/>
      </c>
      <c r="Z141" s="15">
        <f>MAX(0,Y140*(1-INDEX($B$11:$B$63,14))*(1-E140))</f>
        <v/>
      </c>
      <c r="AA141" s="15">
        <f>MAX(0,Z140*(1-INDEX($B$11:$B$63,15))*(1-E140))</f>
        <v/>
      </c>
      <c r="AB141" s="15">
        <f>MAX(0,AA140*(1-INDEX($B$11:$B$63,16))*(1-E140))</f>
        <v/>
      </c>
      <c r="AC141" s="15">
        <f>MAX(0,AB140*(1-INDEX($B$11:$B$63,17))*(1-E140))</f>
        <v/>
      </c>
      <c r="AD141" s="15">
        <f>MAX(0,AC140*(1-INDEX($B$11:$B$63,18))*(1-E140))</f>
        <v/>
      </c>
      <c r="AE141" s="15">
        <f>MAX(0,AD140*(1-INDEX($B$11:$B$63,19))*(1-E140))</f>
        <v/>
      </c>
      <c r="AF141" s="15">
        <f>MAX(0,AE140*(1-INDEX($B$11:$B$63,20))*(1-E140))</f>
        <v/>
      </c>
      <c r="AG141" s="15">
        <f>MAX(0,AF140*(1-INDEX($B$11:$B$63,21))*(1-E140))</f>
        <v/>
      </c>
      <c r="AH141" s="15">
        <f>MAX(0,AG140*(1-INDEX($B$11:$B$63,22))*(1-E140))</f>
        <v/>
      </c>
      <c r="AI141" s="15">
        <f>MAX(0,AH140*(1-INDEX($B$11:$B$63,23))*(1-E140))</f>
        <v/>
      </c>
      <c r="AJ141" s="15">
        <f>MAX(0,AI140*(1-INDEX($B$11:$B$63,24))*(1-E140))</f>
        <v/>
      </c>
      <c r="AK141" s="15">
        <f>MAX(0,AJ140*(1-INDEX($B$11:$B$63,25))*(1-E140))</f>
        <v/>
      </c>
      <c r="AL141" s="15">
        <f>MAX(0,AK140*(1-INDEX($B$11:$B$63,26))*(1-E140))</f>
        <v/>
      </c>
      <c r="AM141" s="15">
        <f>MAX(0,AL140*(1-INDEX($B$11:$B$63,27))*(1-E140))</f>
        <v/>
      </c>
      <c r="AN141" s="15">
        <f>MAX(0,AM140*(1-INDEX($B$11:$B$63,28))*(1-E140))</f>
        <v/>
      </c>
      <c r="AO141" s="15">
        <f>MAX(0,AN140*(1-INDEX($B$11:$B$63,29))*(1-E140))</f>
        <v/>
      </c>
      <c r="AP141" s="15">
        <f>MAX(0,AO140*(1-INDEX($B$11:$B$63,30))*(1-E140))</f>
        <v/>
      </c>
      <c r="AQ141" s="15">
        <f>MAX(0,AP140*(1-INDEX($B$11:$B$63,31))*(1-E140))</f>
        <v/>
      </c>
      <c r="AR141" s="15">
        <f>MAX(0,AQ140*(1-INDEX($B$11:$B$63,32))*(1-E140))</f>
        <v/>
      </c>
      <c r="AS141" s="15">
        <f>MAX(0,AR140*(1-INDEX($B$11:$B$63,33))*(1-E140))</f>
        <v/>
      </c>
      <c r="AT141" s="15">
        <f>MAX(0,AS140*(1-INDEX($B$11:$B$63,34))*(1-E140))</f>
        <v/>
      </c>
      <c r="AU141" s="15">
        <f>MAX(0,AT140*(1-INDEX($B$11:$B$63,35))*(1-E140))</f>
        <v/>
      </c>
      <c r="AV141" s="15">
        <f>MAX(0,AU140*(1-INDEX($B$11:$B$63,36))*(1-E140))</f>
        <v/>
      </c>
      <c r="AW141" s="15">
        <f>MAX(0,AV140*(1-INDEX($B$11:$B$63,37))*(1-E140))</f>
        <v/>
      </c>
      <c r="AX141" s="15">
        <f>MAX(0,AW140*(1-INDEX($B$11:$B$63,38))*(1-E140))</f>
        <v/>
      </c>
      <c r="AY141" s="15">
        <f>MAX(0,AX140*(1-INDEX($B$11:$B$63,39))*(1-E140))</f>
        <v/>
      </c>
      <c r="AZ141" s="15">
        <f>MAX(0,AY140*(1-INDEX($B$11:$B$63,40))*(1-E140))</f>
        <v/>
      </c>
      <c r="BA141" s="15">
        <f>MAX(0,AZ140*(1-INDEX($B$11:$B$63,41))*(1-E140))</f>
        <v/>
      </c>
      <c r="BB141" s="15">
        <f>MAX(0,BA140*(1-INDEX($B$11:$B$63,42))*(1-E140))</f>
        <v/>
      </c>
      <c r="BC141" s="15">
        <f>MAX(0,BB140*(1-INDEX($B$11:$B$63,43))*(1-E140))</f>
        <v/>
      </c>
      <c r="BD141" s="15">
        <f>MAX(0,BC140*(1-INDEX($B$11:$B$63,44))*(1-E140))</f>
        <v/>
      </c>
      <c r="BE141" s="15">
        <f>MAX(0,BD140*(1-INDEX($B$11:$B$63,45))*(1-E140))</f>
        <v/>
      </c>
      <c r="BF141" s="15">
        <f>MAX(0,BE140*(1-INDEX($B$11:$B$63,46))*(1-E140))</f>
        <v/>
      </c>
      <c r="BG141" s="15">
        <f>MAX(0,BF140*(1-INDEX($B$11:$B$63,47))*(1-E140))</f>
        <v/>
      </c>
      <c r="BH141" s="15">
        <f>MAX(0,BG140*(1-INDEX($B$11:$B$63,48))*(1-E140))</f>
        <v/>
      </c>
      <c r="BI141" s="15">
        <f>MAX(0,BH140*(1-INDEX($B$11:$B$63,49))*(1-E140))</f>
        <v/>
      </c>
      <c r="BJ141" s="15">
        <f>MAX(0,BI140*(1-INDEX($B$11:$B$63,50))*(1-E140))</f>
        <v/>
      </c>
      <c r="BK141" s="15">
        <f>MAX(0,BJ140*(1-INDEX($B$11:$B$63,51))*(1-E140))</f>
        <v/>
      </c>
      <c r="BL141" s="15">
        <f>MAX(0,(BL140+BK140)*(1-INDEX($B$11:$B$63,53))*(1-E140))</f>
        <v/>
      </c>
    </row>
    <row r="142">
      <c r="A142" s="55" t="n">
        <v>76</v>
      </c>
      <c r="B142" s="15">
        <f>IF(A142&gt;Inputs!$C$62,"",SUM(M142:BK142))</f>
        <v/>
      </c>
      <c r="C142" s="15">
        <f>IF(A142&gt;Inputs!$C$62,"",INDEX(Trajectory!$C$23:$C$2000,A142))</f>
        <v/>
      </c>
      <c r="D142" s="15">
        <f>IF(A142&gt;Inputs!$C$62,"",SUM(L142:BK142))</f>
        <v/>
      </c>
      <c r="E142" s="12">
        <f>IF(A142&gt;Inputs!$C$62,"",INDEX(Trajectory!$AG$23:$AG$2000,A142))</f>
        <v/>
      </c>
      <c r="F142" s="12">
        <f>IF(D142=0,0,SUMPRODUCT(L142:BK142,$B$11:$B$63)/D142)</f>
        <v/>
      </c>
      <c r="G142" s="12">
        <f>IF(D142=0,0,MIN(0.95,1-(1-F142)*(1-E142)))</f>
        <v/>
      </c>
      <c r="H142" s="15">
        <f>IF(D142=0,0,D142*G142)</f>
        <v/>
      </c>
      <c r="I142" s="15">
        <f>IF(D142=0,0,D142-H142)</f>
        <v/>
      </c>
      <c r="L142" s="15">
        <f>C142</f>
        <v/>
      </c>
      <c r="M142" s="15">
        <f>MAX(0,L141*(1-INDEX($B$11:$B$63,1))*(1-E141))</f>
        <v/>
      </c>
      <c r="N142" s="15">
        <f>MAX(0,M141*(1-INDEX($B$11:$B$63,2))*(1-E141))</f>
        <v/>
      </c>
      <c r="O142" s="15">
        <f>MAX(0,N141*(1-INDEX($B$11:$B$63,3))*(1-E141))</f>
        <v/>
      </c>
      <c r="P142" s="15">
        <f>MAX(0,O141*(1-INDEX($B$11:$B$63,4))*(1-E141))</f>
        <v/>
      </c>
      <c r="Q142" s="15">
        <f>MAX(0,P141*(1-INDEX($B$11:$B$63,5))*(1-E141))</f>
        <v/>
      </c>
      <c r="R142" s="15">
        <f>MAX(0,Q141*(1-INDEX($B$11:$B$63,6))*(1-E141))</f>
        <v/>
      </c>
      <c r="S142" s="15">
        <f>MAX(0,R141*(1-INDEX($B$11:$B$63,7))*(1-E141))</f>
        <v/>
      </c>
      <c r="T142" s="15">
        <f>MAX(0,S141*(1-INDEX($B$11:$B$63,8))*(1-E141))</f>
        <v/>
      </c>
      <c r="U142" s="15">
        <f>MAX(0,T141*(1-INDEX($B$11:$B$63,9))*(1-E141))</f>
        <v/>
      </c>
      <c r="V142" s="15">
        <f>MAX(0,U141*(1-INDEX($B$11:$B$63,10))*(1-E141))</f>
        <v/>
      </c>
      <c r="W142" s="15">
        <f>MAX(0,V141*(1-INDEX($B$11:$B$63,11))*(1-E141))</f>
        <v/>
      </c>
      <c r="X142" s="15">
        <f>MAX(0,W141*(1-INDEX($B$11:$B$63,12))*(1-E141))</f>
        <v/>
      </c>
      <c r="Y142" s="15">
        <f>MAX(0,X141*(1-INDEX($B$11:$B$63,13))*(1-E141))</f>
        <v/>
      </c>
      <c r="Z142" s="15">
        <f>MAX(0,Y141*(1-INDEX($B$11:$B$63,14))*(1-E141))</f>
        <v/>
      </c>
      <c r="AA142" s="15">
        <f>MAX(0,Z141*(1-INDEX($B$11:$B$63,15))*(1-E141))</f>
        <v/>
      </c>
      <c r="AB142" s="15">
        <f>MAX(0,AA141*(1-INDEX($B$11:$B$63,16))*(1-E141))</f>
        <v/>
      </c>
      <c r="AC142" s="15">
        <f>MAX(0,AB141*(1-INDEX($B$11:$B$63,17))*(1-E141))</f>
        <v/>
      </c>
      <c r="AD142" s="15">
        <f>MAX(0,AC141*(1-INDEX($B$11:$B$63,18))*(1-E141))</f>
        <v/>
      </c>
      <c r="AE142" s="15">
        <f>MAX(0,AD141*(1-INDEX($B$11:$B$63,19))*(1-E141))</f>
        <v/>
      </c>
      <c r="AF142" s="15">
        <f>MAX(0,AE141*(1-INDEX($B$11:$B$63,20))*(1-E141))</f>
        <v/>
      </c>
      <c r="AG142" s="15">
        <f>MAX(0,AF141*(1-INDEX($B$11:$B$63,21))*(1-E141))</f>
        <v/>
      </c>
      <c r="AH142" s="15">
        <f>MAX(0,AG141*(1-INDEX($B$11:$B$63,22))*(1-E141))</f>
        <v/>
      </c>
      <c r="AI142" s="15">
        <f>MAX(0,AH141*(1-INDEX($B$11:$B$63,23))*(1-E141))</f>
        <v/>
      </c>
      <c r="AJ142" s="15">
        <f>MAX(0,AI141*(1-INDEX($B$11:$B$63,24))*(1-E141))</f>
        <v/>
      </c>
      <c r="AK142" s="15">
        <f>MAX(0,AJ141*(1-INDEX($B$11:$B$63,25))*(1-E141))</f>
        <v/>
      </c>
      <c r="AL142" s="15">
        <f>MAX(0,AK141*(1-INDEX($B$11:$B$63,26))*(1-E141))</f>
        <v/>
      </c>
      <c r="AM142" s="15">
        <f>MAX(0,AL141*(1-INDEX($B$11:$B$63,27))*(1-E141))</f>
        <v/>
      </c>
      <c r="AN142" s="15">
        <f>MAX(0,AM141*(1-INDEX($B$11:$B$63,28))*(1-E141))</f>
        <v/>
      </c>
      <c r="AO142" s="15">
        <f>MAX(0,AN141*(1-INDEX($B$11:$B$63,29))*(1-E141))</f>
        <v/>
      </c>
      <c r="AP142" s="15">
        <f>MAX(0,AO141*(1-INDEX($B$11:$B$63,30))*(1-E141))</f>
        <v/>
      </c>
      <c r="AQ142" s="15">
        <f>MAX(0,AP141*(1-INDEX($B$11:$B$63,31))*(1-E141))</f>
        <v/>
      </c>
      <c r="AR142" s="15">
        <f>MAX(0,AQ141*(1-INDEX($B$11:$B$63,32))*(1-E141))</f>
        <v/>
      </c>
      <c r="AS142" s="15">
        <f>MAX(0,AR141*(1-INDEX($B$11:$B$63,33))*(1-E141))</f>
        <v/>
      </c>
      <c r="AT142" s="15">
        <f>MAX(0,AS141*(1-INDEX($B$11:$B$63,34))*(1-E141))</f>
        <v/>
      </c>
      <c r="AU142" s="15">
        <f>MAX(0,AT141*(1-INDEX($B$11:$B$63,35))*(1-E141))</f>
        <v/>
      </c>
      <c r="AV142" s="15">
        <f>MAX(0,AU141*(1-INDEX($B$11:$B$63,36))*(1-E141))</f>
        <v/>
      </c>
      <c r="AW142" s="15">
        <f>MAX(0,AV141*(1-INDEX($B$11:$B$63,37))*(1-E141))</f>
        <v/>
      </c>
      <c r="AX142" s="15">
        <f>MAX(0,AW141*(1-INDEX($B$11:$B$63,38))*(1-E141))</f>
        <v/>
      </c>
      <c r="AY142" s="15">
        <f>MAX(0,AX141*(1-INDEX($B$11:$B$63,39))*(1-E141))</f>
        <v/>
      </c>
      <c r="AZ142" s="15">
        <f>MAX(0,AY141*(1-INDEX($B$11:$B$63,40))*(1-E141))</f>
        <v/>
      </c>
      <c r="BA142" s="15">
        <f>MAX(0,AZ141*(1-INDEX($B$11:$B$63,41))*(1-E141))</f>
        <v/>
      </c>
      <c r="BB142" s="15">
        <f>MAX(0,BA141*(1-INDEX($B$11:$B$63,42))*(1-E141))</f>
        <v/>
      </c>
      <c r="BC142" s="15">
        <f>MAX(0,BB141*(1-INDEX($B$11:$B$63,43))*(1-E141))</f>
        <v/>
      </c>
      <c r="BD142" s="15">
        <f>MAX(0,BC141*(1-INDEX($B$11:$B$63,44))*(1-E141))</f>
        <v/>
      </c>
      <c r="BE142" s="15">
        <f>MAX(0,BD141*(1-INDEX($B$11:$B$63,45))*(1-E141))</f>
        <v/>
      </c>
      <c r="BF142" s="15">
        <f>MAX(0,BE141*(1-INDEX($B$11:$B$63,46))*(1-E141))</f>
        <v/>
      </c>
      <c r="BG142" s="15">
        <f>MAX(0,BF141*(1-INDEX($B$11:$B$63,47))*(1-E141))</f>
        <v/>
      </c>
      <c r="BH142" s="15">
        <f>MAX(0,BG141*(1-INDEX($B$11:$B$63,48))*(1-E141))</f>
        <v/>
      </c>
      <c r="BI142" s="15">
        <f>MAX(0,BH141*(1-INDEX($B$11:$B$63,49))*(1-E141))</f>
        <v/>
      </c>
      <c r="BJ142" s="15">
        <f>MAX(0,BI141*(1-INDEX($B$11:$B$63,50))*(1-E141))</f>
        <v/>
      </c>
      <c r="BK142" s="15">
        <f>MAX(0,BJ141*(1-INDEX($B$11:$B$63,51))*(1-E141))</f>
        <v/>
      </c>
      <c r="BL142" s="15">
        <f>MAX(0,(BL141+BK141)*(1-INDEX($B$11:$B$63,53))*(1-E141))</f>
        <v/>
      </c>
    </row>
    <row r="143">
      <c r="A143" s="55" t="n">
        <v>77</v>
      </c>
      <c r="B143" s="15">
        <f>IF(A143&gt;Inputs!$C$62,"",SUM(M143:BK143))</f>
        <v/>
      </c>
      <c r="C143" s="15">
        <f>IF(A143&gt;Inputs!$C$62,"",INDEX(Trajectory!$C$23:$C$2000,A143))</f>
        <v/>
      </c>
      <c r="D143" s="15">
        <f>IF(A143&gt;Inputs!$C$62,"",SUM(L143:BK143))</f>
        <v/>
      </c>
      <c r="E143" s="12">
        <f>IF(A143&gt;Inputs!$C$62,"",INDEX(Trajectory!$AG$23:$AG$2000,A143))</f>
        <v/>
      </c>
      <c r="F143" s="12">
        <f>IF(D143=0,0,SUMPRODUCT(L143:BK143,$B$11:$B$63)/D143)</f>
        <v/>
      </c>
      <c r="G143" s="12">
        <f>IF(D143=0,0,MIN(0.95,1-(1-F143)*(1-E143)))</f>
        <v/>
      </c>
      <c r="H143" s="15">
        <f>IF(D143=0,0,D143*G143)</f>
        <v/>
      </c>
      <c r="I143" s="15">
        <f>IF(D143=0,0,D143-H143)</f>
        <v/>
      </c>
      <c r="L143" s="15">
        <f>C143</f>
        <v/>
      </c>
      <c r="M143" s="15">
        <f>MAX(0,L142*(1-INDEX($B$11:$B$63,1))*(1-E142))</f>
        <v/>
      </c>
      <c r="N143" s="15">
        <f>MAX(0,M142*(1-INDEX($B$11:$B$63,2))*(1-E142))</f>
        <v/>
      </c>
      <c r="O143" s="15">
        <f>MAX(0,N142*(1-INDEX($B$11:$B$63,3))*(1-E142))</f>
        <v/>
      </c>
      <c r="P143" s="15">
        <f>MAX(0,O142*(1-INDEX($B$11:$B$63,4))*(1-E142))</f>
        <v/>
      </c>
      <c r="Q143" s="15">
        <f>MAX(0,P142*(1-INDEX($B$11:$B$63,5))*(1-E142))</f>
        <v/>
      </c>
      <c r="R143" s="15">
        <f>MAX(0,Q142*(1-INDEX($B$11:$B$63,6))*(1-E142))</f>
        <v/>
      </c>
      <c r="S143" s="15">
        <f>MAX(0,R142*(1-INDEX($B$11:$B$63,7))*(1-E142))</f>
        <v/>
      </c>
      <c r="T143" s="15">
        <f>MAX(0,S142*(1-INDEX($B$11:$B$63,8))*(1-E142))</f>
        <v/>
      </c>
      <c r="U143" s="15">
        <f>MAX(0,T142*(1-INDEX($B$11:$B$63,9))*(1-E142))</f>
        <v/>
      </c>
      <c r="V143" s="15">
        <f>MAX(0,U142*(1-INDEX($B$11:$B$63,10))*(1-E142))</f>
        <v/>
      </c>
      <c r="W143" s="15">
        <f>MAX(0,V142*(1-INDEX($B$11:$B$63,11))*(1-E142))</f>
        <v/>
      </c>
      <c r="X143" s="15">
        <f>MAX(0,W142*(1-INDEX($B$11:$B$63,12))*(1-E142))</f>
        <v/>
      </c>
      <c r="Y143" s="15">
        <f>MAX(0,X142*(1-INDEX($B$11:$B$63,13))*(1-E142))</f>
        <v/>
      </c>
      <c r="Z143" s="15">
        <f>MAX(0,Y142*(1-INDEX($B$11:$B$63,14))*(1-E142))</f>
        <v/>
      </c>
      <c r="AA143" s="15">
        <f>MAX(0,Z142*(1-INDEX($B$11:$B$63,15))*(1-E142))</f>
        <v/>
      </c>
      <c r="AB143" s="15">
        <f>MAX(0,AA142*(1-INDEX($B$11:$B$63,16))*(1-E142))</f>
        <v/>
      </c>
      <c r="AC143" s="15">
        <f>MAX(0,AB142*(1-INDEX($B$11:$B$63,17))*(1-E142))</f>
        <v/>
      </c>
      <c r="AD143" s="15">
        <f>MAX(0,AC142*(1-INDEX($B$11:$B$63,18))*(1-E142))</f>
        <v/>
      </c>
      <c r="AE143" s="15">
        <f>MAX(0,AD142*(1-INDEX($B$11:$B$63,19))*(1-E142))</f>
        <v/>
      </c>
      <c r="AF143" s="15">
        <f>MAX(0,AE142*(1-INDEX($B$11:$B$63,20))*(1-E142))</f>
        <v/>
      </c>
      <c r="AG143" s="15">
        <f>MAX(0,AF142*(1-INDEX($B$11:$B$63,21))*(1-E142))</f>
        <v/>
      </c>
      <c r="AH143" s="15">
        <f>MAX(0,AG142*(1-INDEX($B$11:$B$63,22))*(1-E142))</f>
        <v/>
      </c>
      <c r="AI143" s="15">
        <f>MAX(0,AH142*(1-INDEX($B$11:$B$63,23))*(1-E142))</f>
        <v/>
      </c>
      <c r="AJ143" s="15">
        <f>MAX(0,AI142*(1-INDEX($B$11:$B$63,24))*(1-E142))</f>
        <v/>
      </c>
      <c r="AK143" s="15">
        <f>MAX(0,AJ142*(1-INDEX($B$11:$B$63,25))*(1-E142))</f>
        <v/>
      </c>
      <c r="AL143" s="15">
        <f>MAX(0,AK142*(1-INDEX($B$11:$B$63,26))*(1-E142))</f>
        <v/>
      </c>
      <c r="AM143" s="15">
        <f>MAX(0,AL142*(1-INDEX($B$11:$B$63,27))*(1-E142))</f>
        <v/>
      </c>
      <c r="AN143" s="15">
        <f>MAX(0,AM142*(1-INDEX($B$11:$B$63,28))*(1-E142))</f>
        <v/>
      </c>
      <c r="AO143" s="15">
        <f>MAX(0,AN142*(1-INDEX($B$11:$B$63,29))*(1-E142))</f>
        <v/>
      </c>
      <c r="AP143" s="15">
        <f>MAX(0,AO142*(1-INDEX($B$11:$B$63,30))*(1-E142))</f>
        <v/>
      </c>
      <c r="AQ143" s="15">
        <f>MAX(0,AP142*(1-INDEX($B$11:$B$63,31))*(1-E142))</f>
        <v/>
      </c>
      <c r="AR143" s="15">
        <f>MAX(0,AQ142*(1-INDEX($B$11:$B$63,32))*(1-E142))</f>
        <v/>
      </c>
      <c r="AS143" s="15">
        <f>MAX(0,AR142*(1-INDEX($B$11:$B$63,33))*(1-E142))</f>
        <v/>
      </c>
      <c r="AT143" s="15">
        <f>MAX(0,AS142*(1-INDEX($B$11:$B$63,34))*(1-E142))</f>
        <v/>
      </c>
      <c r="AU143" s="15">
        <f>MAX(0,AT142*(1-INDEX($B$11:$B$63,35))*(1-E142))</f>
        <v/>
      </c>
      <c r="AV143" s="15">
        <f>MAX(0,AU142*(1-INDEX($B$11:$B$63,36))*(1-E142))</f>
        <v/>
      </c>
      <c r="AW143" s="15">
        <f>MAX(0,AV142*(1-INDEX($B$11:$B$63,37))*(1-E142))</f>
        <v/>
      </c>
      <c r="AX143" s="15">
        <f>MAX(0,AW142*(1-INDEX($B$11:$B$63,38))*(1-E142))</f>
        <v/>
      </c>
      <c r="AY143" s="15">
        <f>MAX(0,AX142*(1-INDEX($B$11:$B$63,39))*(1-E142))</f>
        <v/>
      </c>
      <c r="AZ143" s="15">
        <f>MAX(0,AY142*(1-INDEX($B$11:$B$63,40))*(1-E142))</f>
        <v/>
      </c>
      <c r="BA143" s="15">
        <f>MAX(0,AZ142*(1-INDEX($B$11:$B$63,41))*(1-E142))</f>
        <v/>
      </c>
      <c r="BB143" s="15">
        <f>MAX(0,BA142*(1-INDEX($B$11:$B$63,42))*(1-E142))</f>
        <v/>
      </c>
      <c r="BC143" s="15">
        <f>MAX(0,BB142*(1-INDEX($B$11:$B$63,43))*(1-E142))</f>
        <v/>
      </c>
      <c r="BD143" s="15">
        <f>MAX(0,BC142*(1-INDEX($B$11:$B$63,44))*(1-E142))</f>
        <v/>
      </c>
      <c r="BE143" s="15">
        <f>MAX(0,BD142*(1-INDEX($B$11:$B$63,45))*(1-E142))</f>
        <v/>
      </c>
      <c r="BF143" s="15">
        <f>MAX(0,BE142*(1-INDEX($B$11:$B$63,46))*(1-E142))</f>
        <v/>
      </c>
      <c r="BG143" s="15">
        <f>MAX(0,BF142*(1-INDEX($B$11:$B$63,47))*(1-E142))</f>
        <v/>
      </c>
      <c r="BH143" s="15">
        <f>MAX(0,BG142*(1-INDEX($B$11:$B$63,48))*(1-E142))</f>
        <v/>
      </c>
      <c r="BI143" s="15">
        <f>MAX(0,BH142*(1-INDEX($B$11:$B$63,49))*(1-E142))</f>
        <v/>
      </c>
      <c r="BJ143" s="15">
        <f>MAX(0,BI142*(1-INDEX($B$11:$B$63,50))*(1-E142))</f>
        <v/>
      </c>
      <c r="BK143" s="15">
        <f>MAX(0,BJ142*(1-INDEX($B$11:$B$63,51))*(1-E142))</f>
        <v/>
      </c>
      <c r="BL143" s="15">
        <f>MAX(0,(BL142+BK142)*(1-INDEX($B$11:$B$63,53))*(1-E142))</f>
        <v/>
      </c>
    </row>
    <row r="144">
      <c r="A144" s="55" t="n">
        <v>78</v>
      </c>
      <c r="B144" s="15">
        <f>IF(A144&gt;Inputs!$C$62,"",SUM(M144:BK144))</f>
        <v/>
      </c>
      <c r="C144" s="15">
        <f>IF(A144&gt;Inputs!$C$62,"",INDEX(Trajectory!$C$23:$C$2000,A144))</f>
        <v/>
      </c>
      <c r="D144" s="15">
        <f>IF(A144&gt;Inputs!$C$62,"",SUM(L144:BK144))</f>
        <v/>
      </c>
      <c r="E144" s="12">
        <f>IF(A144&gt;Inputs!$C$62,"",INDEX(Trajectory!$AG$23:$AG$2000,A144))</f>
        <v/>
      </c>
      <c r="F144" s="12">
        <f>IF(D144=0,0,SUMPRODUCT(L144:BK144,$B$11:$B$63)/D144)</f>
        <v/>
      </c>
      <c r="G144" s="12">
        <f>IF(D144=0,0,MIN(0.95,1-(1-F144)*(1-E144)))</f>
        <v/>
      </c>
      <c r="H144" s="15">
        <f>IF(D144=0,0,D144*G144)</f>
        <v/>
      </c>
      <c r="I144" s="15">
        <f>IF(D144=0,0,D144-H144)</f>
        <v/>
      </c>
      <c r="L144" s="15">
        <f>C144</f>
        <v/>
      </c>
      <c r="M144" s="15">
        <f>MAX(0,L143*(1-INDEX($B$11:$B$63,1))*(1-E143))</f>
        <v/>
      </c>
      <c r="N144" s="15">
        <f>MAX(0,M143*(1-INDEX($B$11:$B$63,2))*(1-E143))</f>
        <v/>
      </c>
      <c r="O144" s="15">
        <f>MAX(0,N143*(1-INDEX($B$11:$B$63,3))*(1-E143))</f>
        <v/>
      </c>
      <c r="P144" s="15">
        <f>MAX(0,O143*(1-INDEX($B$11:$B$63,4))*(1-E143))</f>
        <v/>
      </c>
      <c r="Q144" s="15">
        <f>MAX(0,P143*(1-INDEX($B$11:$B$63,5))*(1-E143))</f>
        <v/>
      </c>
      <c r="R144" s="15">
        <f>MAX(0,Q143*(1-INDEX($B$11:$B$63,6))*(1-E143))</f>
        <v/>
      </c>
      <c r="S144" s="15">
        <f>MAX(0,R143*(1-INDEX($B$11:$B$63,7))*(1-E143))</f>
        <v/>
      </c>
      <c r="T144" s="15">
        <f>MAX(0,S143*(1-INDEX($B$11:$B$63,8))*(1-E143))</f>
        <v/>
      </c>
      <c r="U144" s="15">
        <f>MAX(0,T143*(1-INDEX($B$11:$B$63,9))*(1-E143))</f>
        <v/>
      </c>
      <c r="V144" s="15">
        <f>MAX(0,U143*(1-INDEX($B$11:$B$63,10))*(1-E143))</f>
        <v/>
      </c>
      <c r="W144" s="15">
        <f>MAX(0,V143*(1-INDEX($B$11:$B$63,11))*(1-E143))</f>
        <v/>
      </c>
      <c r="X144" s="15">
        <f>MAX(0,W143*(1-INDEX($B$11:$B$63,12))*(1-E143))</f>
        <v/>
      </c>
      <c r="Y144" s="15">
        <f>MAX(0,X143*(1-INDEX($B$11:$B$63,13))*(1-E143))</f>
        <v/>
      </c>
      <c r="Z144" s="15">
        <f>MAX(0,Y143*(1-INDEX($B$11:$B$63,14))*(1-E143))</f>
        <v/>
      </c>
      <c r="AA144" s="15">
        <f>MAX(0,Z143*(1-INDEX($B$11:$B$63,15))*(1-E143))</f>
        <v/>
      </c>
      <c r="AB144" s="15">
        <f>MAX(0,AA143*(1-INDEX($B$11:$B$63,16))*(1-E143))</f>
        <v/>
      </c>
      <c r="AC144" s="15">
        <f>MAX(0,AB143*(1-INDEX($B$11:$B$63,17))*(1-E143))</f>
        <v/>
      </c>
      <c r="AD144" s="15">
        <f>MAX(0,AC143*(1-INDEX($B$11:$B$63,18))*(1-E143))</f>
        <v/>
      </c>
      <c r="AE144" s="15">
        <f>MAX(0,AD143*(1-INDEX($B$11:$B$63,19))*(1-E143))</f>
        <v/>
      </c>
      <c r="AF144" s="15">
        <f>MAX(0,AE143*(1-INDEX($B$11:$B$63,20))*(1-E143))</f>
        <v/>
      </c>
      <c r="AG144" s="15">
        <f>MAX(0,AF143*(1-INDEX($B$11:$B$63,21))*(1-E143))</f>
        <v/>
      </c>
      <c r="AH144" s="15">
        <f>MAX(0,AG143*(1-INDEX($B$11:$B$63,22))*(1-E143))</f>
        <v/>
      </c>
      <c r="AI144" s="15">
        <f>MAX(0,AH143*(1-INDEX($B$11:$B$63,23))*(1-E143))</f>
        <v/>
      </c>
      <c r="AJ144" s="15">
        <f>MAX(0,AI143*(1-INDEX($B$11:$B$63,24))*(1-E143))</f>
        <v/>
      </c>
      <c r="AK144" s="15">
        <f>MAX(0,AJ143*(1-INDEX($B$11:$B$63,25))*(1-E143))</f>
        <v/>
      </c>
      <c r="AL144" s="15">
        <f>MAX(0,AK143*(1-INDEX($B$11:$B$63,26))*(1-E143))</f>
        <v/>
      </c>
      <c r="AM144" s="15">
        <f>MAX(0,AL143*(1-INDEX($B$11:$B$63,27))*(1-E143))</f>
        <v/>
      </c>
      <c r="AN144" s="15">
        <f>MAX(0,AM143*(1-INDEX($B$11:$B$63,28))*(1-E143))</f>
        <v/>
      </c>
      <c r="AO144" s="15">
        <f>MAX(0,AN143*(1-INDEX($B$11:$B$63,29))*(1-E143))</f>
        <v/>
      </c>
      <c r="AP144" s="15">
        <f>MAX(0,AO143*(1-INDEX($B$11:$B$63,30))*(1-E143))</f>
        <v/>
      </c>
      <c r="AQ144" s="15">
        <f>MAX(0,AP143*(1-INDEX($B$11:$B$63,31))*(1-E143))</f>
        <v/>
      </c>
      <c r="AR144" s="15">
        <f>MAX(0,AQ143*(1-INDEX($B$11:$B$63,32))*(1-E143))</f>
        <v/>
      </c>
      <c r="AS144" s="15">
        <f>MAX(0,AR143*(1-INDEX($B$11:$B$63,33))*(1-E143))</f>
        <v/>
      </c>
      <c r="AT144" s="15">
        <f>MAX(0,AS143*(1-INDEX($B$11:$B$63,34))*(1-E143))</f>
        <v/>
      </c>
      <c r="AU144" s="15">
        <f>MAX(0,AT143*(1-INDEX($B$11:$B$63,35))*(1-E143))</f>
        <v/>
      </c>
      <c r="AV144" s="15">
        <f>MAX(0,AU143*(1-INDEX($B$11:$B$63,36))*(1-E143))</f>
        <v/>
      </c>
      <c r="AW144" s="15">
        <f>MAX(0,AV143*(1-INDEX($B$11:$B$63,37))*(1-E143))</f>
        <v/>
      </c>
      <c r="AX144" s="15">
        <f>MAX(0,AW143*(1-INDEX($B$11:$B$63,38))*(1-E143))</f>
        <v/>
      </c>
      <c r="AY144" s="15">
        <f>MAX(0,AX143*(1-INDEX($B$11:$B$63,39))*(1-E143))</f>
        <v/>
      </c>
      <c r="AZ144" s="15">
        <f>MAX(0,AY143*(1-INDEX($B$11:$B$63,40))*(1-E143))</f>
        <v/>
      </c>
      <c r="BA144" s="15">
        <f>MAX(0,AZ143*(1-INDEX($B$11:$B$63,41))*(1-E143))</f>
        <v/>
      </c>
      <c r="BB144" s="15">
        <f>MAX(0,BA143*(1-INDEX($B$11:$B$63,42))*(1-E143))</f>
        <v/>
      </c>
      <c r="BC144" s="15">
        <f>MAX(0,BB143*(1-INDEX($B$11:$B$63,43))*(1-E143))</f>
        <v/>
      </c>
      <c r="BD144" s="15">
        <f>MAX(0,BC143*(1-INDEX($B$11:$B$63,44))*(1-E143))</f>
        <v/>
      </c>
      <c r="BE144" s="15">
        <f>MAX(0,BD143*(1-INDEX($B$11:$B$63,45))*(1-E143))</f>
        <v/>
      </c>
      <c r="BF144" s="15">
        <f>MAX(0,BE143*(1-INDEX($B$11:$B$63,46))*(1-E143))</f>
        <v/>
      </c>
      <c r="BG144" s="15">
        <f>MAX(0,BF143*(1-INDEX($B$11:$B$63,47))*(1-E143))</f>
        <v/>
      </c>
      <c r="BH144" s="15">
        <f>MAX(0,BG143*(1-INDEX($B$11:$B$63,48))*(1-E143))</f>
        <v/>
      </c>
      <c r="BI144" s="15">
        <f>MAX(0,BH143*(1-INDEX($B$11:$B$63,49))*(1-E143))</f>
        <v/>
      </c>
      <c r="BJ144" s="15">
        <f>MAX(0,BI143*(1-INDEX($B$11:$B$63,50))*(1-E143))</f>
        <v/>
      </c>
      <c r="BK144" s="15">
        <f>MAX(0,BJ143*(1-INDEX($B$11:$B$63,51))*(1-E143))</f>
        <v/>
      </c>
      <c r="BL144" s="15">
        <f>MAX(0,(BL143+BK143)*(1-INDEX($B$11:$B$63,53))*(1-E143))</f>
        <v/>
      </c>
    </row>
    <row r="145">
      <c r="A145" s="55" t="n">
        <v>79</v>
      </c>
      <c r="B145" s="15">
        <f>IF(A145&gt;Inputs!$C$62,"",SUM(M145:BK145))</f>
        <v/>
      </c>
      <c r="C145" s="15">
        <f>IF(A145&gt;Inputs!$C$62,"",INDEX(Trajectory!$C$23:$C$2000,A145))</f>
        <v/>
      </c>
      <c r="D145" s="15">
        <f>IF(A145&gt;Inputs!$C$62,"",SUM(L145:BK145))</f>
        <v/>
      </c>
      <c r="E145" s="12">
        <f>IF(A145&gt;Inputs!$C$62,"",INDEX(Trajectory!$AG$23:$AG$2000,A145))</f>
        <v/>
      </c>
      <c r="F145" s="12">
        <f>IF(D145=0,0,SUMPRODUCT(L145:BK145,$B$11:$B$63)/D145)</f>
        <v/>
      </c>
      <c r="G145" s="12">
        <f>IF(D145=0,0,MIN(0.95,1-(1-F145)*(1-E145)))</f>
        <v/>
      </c>
      <c r="H145" s="15">
        <f>IF(D145=0,0,D145*G145)</f>
        <v/>
      </c>
      <c r="I145" s="15">
        <f>IF(D145=0,0,D145-H145)</f>
        <v/>
      </c>
      <c r="L145" s="15">
        <f>C145</f>
        <v/>
      </c>
      <c r="M145" s="15">
        <f>MAX(0,L144*(1-INDEX($B$11:$B$63,1))*(1-E144))</f>
        <v/>
      </c>
      <c r="N145" s="15">
        <f>MAX(0,M144*(1-INDEX($B$11:$B$63,2))*(1-E144))</f>
        <v/>
      </c>
      <c r="O145" s="15">
        <f>MAX(0,N144*(1-INDEX($B$11:$B$63,3))*(1-E144))</f>
        <v/>
      </c>
      <c r="P145" s="15">
        <f>MAX(0,O144*(1-INDEX($B$11:$B$63,4))*(1-E144))</f>
        <v/>
      </c>
      <c r="Q145" s="15">
        <f>MAX(0,P144*(1-INDEX($B$11:$B$63,5))*(1-E144))</f>
        <v/>
      </c>
      <c r="R145" s="15">
        <f>MAX(0,Q144*(1-INDEX($B$11:$B$63,6))*(1-E144))</f>
        <v/>
      </c>
      <c r="S145" s="15">
        <f>MAX(0,R144*(1-INDEX($B$11:$B$63,7))*(1-E144))</f>
        <v/>
      </c>
      <c r="T145" s="15">
        <f>MAX(0,S144*(1-INDEX($B$11:$B$63,8))*(1-E144))</f>
        <v/>
      </c>
      <c r="U145" s="15">
        <f>MAX(0,T144*(1-INDEX($B$11:$B$63,9))*(1-E144))</f>
        <v/>
      </c>
      <c r="V145" s="15">
        <f>MAX(0,U144*(1-INDEX($B$11:$B$63,10))*(1-E144))</f>
        <v/>
      </c>
      <c r="W145" s="15">
        <f>MAX(0,V144*(1-INDEX($B$11:$B$63,11))*(1-E144))</f>
        <v/>
      </c>
      <c r="X145" s="15">
        <f>MAX(0,W144*(1-INDEX($B$11:$B$63,12))*(1-E144))</f>
        <v/>
      </c>
      <c r="Y145" s="15">
        <f>MAX(0,X144*(1-INDEX($B$11:$B$63,13))*(1-E144))</f>
        <v/>
      </c>
      <c r="Z145" s="15">
        <f>MAX(0,Y144*(1-INDEX($B$11:$B$63,14))*(1-E144))</f>
        <v/>
      </c>
      <c r="AA145" s="15">
        <f>MAX(0,Z144*(1-INDEX($B$11:$B$63,15))*(1-E144))</f>
        <v/>
      </c>
      <c r="AB145" s="15">
        <f>MAX(0,AA144*(1-INDEX($B$11:$B$63,16))*(1-E144))</f>
        <v/>
      </c>
      <c r="AC145" s="15">
        <f>MAX(0,AB144*(1-INDEX($B$11:$B$63,17))*(1-E144))</f>
        <v/>
      </c>
      <c r="AD145" s="15">
        <f>MAX(0,AC144*(1-INDEX($B$11:$B$63,18))*(1-E144))</f>
        <v/>
      </c>
      <c r="AE145" s="15">
        <f>MAX(0,AD144*(1-INDEX($B$11:$B$63,19))*(1-E144))</f>
        <v/>
      </c>
      <c r="AF145" s="15">
        <f>MAX(0,AE144*(1-INDEX($B$11:$B$63,20))*(1-E144))</f>
        <v/>
      </c>
      <c r="AG145" s="15">
        <f>MAX(0,AF144*(1-INDEX($B$11:$B$63,21))*(1-E144))</f>
        <v/>
      </c>
      <c r="AH145" s="15">
        <f>MAX(0,AG144*(1-INDEX($B$11:$B$63,22))*(1-E144))</f>
        <v/>
      </c>
      <c r="AI145" s="15">
        <f>MAX(0,AH144*(1-INDEX($B$11:$B$63,23))*(1-E144))</f>
        <v/>
      </c>
      <c r="AJ145" s="15">
        <f>MAX(0,AI144*(1-INDEX($B$11:$B$63,24))*(1-E144))</f>
        <v/>
      </c>
      <c r="AK145" s="15">
        <f>MAX(0,AJ144*(1-INDEX($B$11:$B$63,25))*(1-E144))</f>
        <v/>
      </c>
      <c r="AL145" s="15">
        <f>MAX(0,AK144*(1-INDEX($B$11:$B$63,26))*(1-E144))</f>
        <v/>
      </c>
      <c r="AM145" s="15">
        <f>MAX(0,AL144*(1-INDEX($B$11:$B$63,27))*(1-E144))</f>
        <v/>
      </c>
      <c r="AN145" s="15">
        <f>MAX(0,AM144*(1-INDEX($B$11:$B$63,28))*(1-E144))</f>
        <v/>
      </c>
      <c r="AO145" s="15">
        <f>MAX(0,AN144*(1-INDEX($B$11:$B$63,29))*(1-E144))</f>
        <v/>
      </c>
      <c r="AP145" s="15">
        <f>MAX(0,AO144*(1-INDEX($B$11:$B$63,30))*(1-E144))</f>
        <v/>
      </c>
      <c r="AQ145" s="15">
        <f>MAX(0,AP144*(1-INDEX($B$11:$B$63,31))*(1-E144))</f>
        <v/>
      </c>
      <c r="AR145" s="15">
        <f>MAX(0,AQ144*(1-INDEX($B$11:$B$63,32))*(1-E144))</f>
        <v/>
      </c>
      <c r="AS145" s="15">
        <f>MAX(0,AR144*(1-INDEX($B$11:$B$63,33))*(1-E144))</f>
        <v/>
      </c>
      <c r="AT145" s="15">
        <f>MAX(0,AS144*(1-INDEX($B$11:$B$63,34))*(1-E144))</f>
        <v/>
      </c>
      <c r="AU145" s="15">
        <f>MAX(0,AT144*(1-INDEX($B$11:$B$63,35))*(1-E144))</f>
        <v/>
      </c>
      <c r="AV145" s="15">
        <f>MAX(0,AU144*(1-INDEX($B$11:$B$63,36))*(1-E144))</f>
        <v/>
      </c>
      <c r="AW145" s="15">
        <f>MAX(0,AV144*(1-INDEX($B$11:$B$63,37))*(1-E144))</f>
        <v/>
      </c>
      <c r="AX145" s="15">
        <f>MAX(0,AW144*(1-INDEX($B$11:$B$63,38))*(1-E144))</f>
        <v/>
      </c>
      <c r="AY145" s="15">
        <f>MAX(0,AX144*(1-INDEX($B$11:$B$63,39))*(1-E144))</f>
        <v/>
      </c>
      <c r="AZ145" s="15">
        <f>MAX(0,AY144*(1-INDEX($B$11:$B$63,40))*(1-E144))</f>
        <v/>
      </c>
      <c r="BA145" s="15">
        <f>MAX(0,AZ144*(1-INDEX($B$11:$B$63,41))*(1-E144))</f>
        <v/>
      </c>
      <c r="BB145" s="15">
        <f>MAX(0,BA144*(1-INDEX($B$11:$B$63,42))*(1-E144))</f>
        <v/>
      </c>
      <c r="BC145" s="15">
        <f>MAX(0,BB144*(1-INDEX($B$11:$B$63,43))*(1-E144))</f>
        <v/>
      </c>
      <c r="BD145" s="15">
        <f>MAX(0,BC144*(1-INDEX($B$11:$B$63,44))*(1-E144))</f>
        <v/>
      </c>
      <c r="BE145" s="15">
        <f>MAX(0,BD144*(1-INDEX($B$11:$B$63,45))*(1-E144))</f>
        <v/>
      </c>
      <c r="BF145" s="15">
        <f>MAX(0,BE144*(1-INDEX($B$11:$B$63,46))*(1-E144))</f>
        <v/>
      </c>
      <c r="BG145" s="15">
        <f>MAX(0,BF144*(1-INDEX($B$11:$B$63,47))*(1-E144))</f>
        <v/>
      </c>
      <c r="BH145" s="15">
        <f>MAX(0,BG144*(1-INDEX($B$11:$B$63,48))*(1-E144))</f>
        <v/>
      </c>
      <c r="BI145" s="15">
        <f>MAX(0,BH144*(1-INDEX($B$11:$B$63,49))*(1-E144))</f>
        <v/>
      </c>
      <c r="BJ145" s="15">
        <f>MAX(0,BI144*(1-INDEX($B$11:$B$63,50))*(1-E144))</f>
        <v/>
      </c>
      <c r="BK145" s="15">
        <f>MAX(0,BJ144*(1-INDEX($B$11:$B$63,51))*(1-E144))</f>
        <v/>
      </c>
      <c r="BL145" s="15">
        <f>MAX(0,(BL144+BK144)*(1-INDEX($B$11:$B$63,53))*(1-E144))</f>
        <v/>
      </c>
    </row>
    <row r="146">
      <c r="A146" s="55" t="n">
        <v>80</v>
      </c>
      <c r="B146" s="15">
        <f>IF(A146&gt;Inputs!$C$62,"",SUM(M146:BK146))</f>
        <v/>
      </c>
      <c r="C146" s="15">
        <f>IF(A146&gt;Inputs!$C$62,"",INDEX(Trajectory!$C$23:$C$2000,A146))</f>
        <v/>
      </c>
      <c r="D146" s="15">
        <f>IF(A146&gt;Inputs!$C$62,"",SUM(L146:BK146))</f>
        <v/>
      </c>
      <c r="E146" s="12">
        <f>IF(A146&gt;Inputs!$C$62,"",INDEX(Trajectory!$AG$23:$AG$2000,A146))</f>
        <v/>
      </c>
      <c r="F146" s="12">
        <f>IF(D146=0,0,SUMPRODUCT(L146:BK146,$B$11:$B$63)/D146)</f>
        <v/>
      </c>
      <c r="G146" s="12">
        <f>IF(D146=0,0,MIN(0.95,1-(1-F146)*(1-E146)))</f>
        <v/>
      </c>
      <c r="H146" s="15">
        <f>IF(D146=0,0,D146*G146)</f>
        <v/>
      </c>
      <c r="I146" s="15">
        <f>IF(D146=0,0,D146-H146)</f>
        <v/>
      </c>
      <c r="L146" s="15">
        <f>C146</f>
        <v/>
      </c>
      <c r="M146" s="15">
        <f>MAX(0,L145*(1-INDEX($B$11:$B$63,1))*(1-E145))</f>
        <v/>
      </c>
      <c r="N146" s="15">
        <f>MAX(0,M145*(1-INDEX($B$11:$B$63,2))*(1-E145))</f>
        <v/>
      </c>
      <c r="O146" s="15">
        <f>MAX(0,N145*(1-INDEX($B$11:$B$63,3))*(1-E145))</f>
        <v/>
      </c>
      <c r="P146" s="15">
        <f>MAX(0,O145*(1-INDEX($B$11:$B$63,4))*(1-E145))</f>
        <v/>
      </c>
      <c r="Q146" s="15">
        <f>MAX(0,P145*(1-INDEX($B$11:$B$63,5))*(1-E145))</f>
        <v/>
      </c>
      <c r="R146" s="15">
        <f>MAX(0,Q145*(1-INDEX($B$11:$B$63,6))*(1-E145))</f>
        <v/>
      </c>
      <c r="S146" s="15">
        <f>MAX(0,R145*(1-INDEX($B$11:$B$63,7))*(1-E145))</f>
        <v/>
      </c>
      <c r="T146" s="15">
        <f>MAX(0,S145*(1-INDEX($B$11:$B$63,8))*(1-E145))</f>
        <v/>
      </c>
      <c r="U146" s="15">
        <f>MAX(0,T145*(1-INDEX($B$11:$B$63,9))*(1-E145))</f>
        <v/>
      </c>
      <c r="V146" s="15">
        <f>MAX(0,U145*(1-INDEX($B$11:$B$63,10))*(1-E145))</f>
        <v/>
      </c>
      <c r="W146" s="15">
        <f>MAX(0,V145*(1-INDEX($B$11:$B$63,11))*(1-E145))</f>
        <v/>
      </c>
      <c r="X146" s="15">
        <f>MAX(0,W145*(1-INDEX($B$11:$B$63,12))*(1-E145))</f>
        <v/>
      </c>
      <c r="Y146" s="15">
        <f>MAX(0,X145*(1-INDEX($B$11:$B$63,13))*(1-E145))</f>
        <v/>
      </c>
      <c r="Z146" s="15">
        <f>MAX(0,Y145*(1-INDEX($B$11:$B$63,14))*(1-E145))</f>
        <v/>
      </c>
      <c r="AA146" s="15">
        <f>MAX(0,Z145*(1-INDEX($B$11:$B$63,15))*(1-E145))</f>
        <v/>
      </c>
      <c r="AB146" s="15">
        <f>MAX(0,AA145*(1-INDEX($B$11:$B$63,16))*(1-E145))</f>
        <v/>
      </c>
      <c r="AC146" s="15">
        <f>MAX(0,AB145*(1-INDEX($B$11:$B$63,17))*(1-E145))</f>
        <v/>
      </c>
      <c r="AD146" s="15">
        <f>MAX(0,AC145*(1-INDEX($B$11:$B$63,18))*(1-E145))</f>
        <v/>
      </c>
      <c r="AE146" s="15">
        <f>MAX(0,AD145*(1-INDEX($B$11:$B$63,19))*(1-E145))</f>
        <v/>
      </c>
      <c r="AF146" s="15">
        <f>MAX(0,AE145*(1-INDEX($B$11:$B$63,20))*(1-E145))</f>
        <v/>
      </c>
      <c r="AG146" s="15">
        <f>MAX(0,AF145*(1-INDEX($B$11:$B$63,21))*(1-E145))</f>
        <v/>
      </c>
      <c r="AH146" s="15">
        <f>MAX(0,AG145*(1-INDEX($B$11:$B$63,22))*(1-E145))</f>
        <v/>
      </c>
      <c r="AI146" s="15">
        <f>MAX(0,AH145*(1-INDEX($B$11:$B$63,23))*(1-E145))</f>
        <v/>
      </c>
      <c r="AJ146" s="15">
        <f>MAX(0,AI145*(1-INDEX($B$11:$B$63,24))*(1-E145))</f>
        <v/>
      </c>
      <c r="AK146" s="15">
        <f>MAX(0,AJ145*(1-INDEX($B$11:$B$63,25))*(1-E145))</f>
        <v/>
      </c>
      <c r="AL146" s="15">
        <f>MAX(0,AK145*(1-INDEX($B$11:$B$63,26))*(1-E145))</f>
        <v/>
      </c>
      <c r="AM146" s="15">
        <f>MAX(0,AL145*(1-INDEX($B$11:$B$63,27))*(1-E145))</f>
        <v/>
      </c>
      <c r="AN146" s="15">
        <f>MAX(0,AM145*(1-INDEX($B$11:$B$63,28))*(1-E145))</f>
        <v/>
      </c>
      <c r="AO146" s="15">
        <f>MAX(0,AN145*(1-INDEX($B$11:$B$63,29))*(1-E145))</f>
        <v/>
      </c>
      <c r="AP146" s="15">
        <f>MAX(0,AO145*(1-INDEX($B$11:$B$63,30))*(1-E145))</f>
        <v/>
      </c>
      <c r="AQ146" s="15">
        <f>MAX(0,AP145*(1-INDEX($B$11:$B$63,31))*(1-E145))</f>
        <v/>
      </c>
      <c r="AR146" s="15">
        <f>MAX(0,AQ145*(1-INDEX($B$11:$B$63,32))*(1-E145))</f>
        <v/>
      </c>
      <c r="AS146" s="15">
        <f>MAX(0,AR145*(1-INDEX($B$11:$B$63,33))*(1-E145))</f>
        <v/>
      </c>
      <c r="AT146" s="15">
        <f>MAX(0,AS145*(1-INDEX($B$11:$B$63,34))*(1-E145))</f>
        <v/>
      </c>
      <c r="AU146" s="15">
        <f>MAX(0,AT145*(1-INDEX($B$11:$B$63,35))*(1-E145))</f>
        <v/>
      </c>
      <c r="AV146" s="15">
        <f>MAX(0,AU145*(1-INDEX($B$11:$B$63,36))*(1-E145))</f>
        <v/>
      </c>
      <c r="AW146" s="15">
        <f>MAX(0,AV145*(1-INDEX($B$11:$B$63,37))*(1-E145))</f>
        <v/>
      </c>
      <c r="AX146" s="15">
        <f>MAX(0,AW145*(1-INDEX($B$11:$B$63,38))*(1-E145))</f>
        <v/>
      </c>
      <c r="AY146" s="15">
        <f>MAX(0,AX145*(1-INDEX($B$11:$B$63,39))*(1-E145))</f>
        <v/>
      </c>
      <c r="AZ146" s="15">
        <f>MAX(0,AY145*(1-INDEX($B$11:$B$63,40))*(1-E145))</f>
        <v/>
      </c>
      <c r="BA146" s="15">
        <f>MAX(0,AZ145*(1-INDEX($B$11:$B$63,41))*(1-E145))</f>
        <v/>
      </c>
      <c r="BB146" s="15">
        <f>MAX(0,BA145*(1-INDEX($B$11:$B$63,42))*(1-E145))</f>
        <v/>
      </c>
      <c r="BC146" s="15">
        <f>MAX(0,BB145*(1-INDEX($B$11:$B$63,43))*(1-E145))</f>
        <v/>
      </c>
      <c r="BD146" s="15">
        <f>MAX(0,BC145*(1-INDEX($B$11:$B$63,44))*(1-E145))</f>
        <v/>
      </c>
      <c r="BE146" s="15">
        <f>MAX(0,BD145*(1-INDEX($B$11:$B$63,45))*(1-E145))</f>
        <v/>
      </c>
      <c r="BF146" s="15">
        <f>MAX(0,BE145*(1-INDEX($B$11:$B$63,46))*(1-E145))</f>
        <v/>
      </c>
      <c r="BG146" s="15">
        <f>MAX(0,BF145*(1-INDEX($B$11:$B$63,47))*(1-E145))</f>
        <v/>
      </c>
      <c r="BH146" s="15">
        <f>MAX(0,BG145*(1-INDEX($B$11:$B$63,48))*(1-E145))</f>
        <v/>
      </c>
      <c r="BI146" s="15">
        <f>MAX(0,BH145*(1-INDEX($B$11:$B$63,49))*(1-E145))</f>
        <v/>
      </c>
      <c r="BJ146" s="15">
        <f>MAX(0,BI145*(1-INDEX($B$11:$B$63,50))*(1-E145))</f>
        <v/>
      </c>
      <c r="BK146" s="15">
        <f>MAX(0,BJ145*(1-INDEX($B$11:$B$63,51))*(1-E145))</f>
        <v/>
      </c>
      <c r="BL146" s="15">
        <f>MAX(0,(BL145+BK145)*(1-INDEX($B$11:$B$63,53))*(1-E145))</f>
        <v/>
      </c>
    </row>
    <row r="147">
      <c r="A147" s="55" t="n">
        <v>81</v>
      </c>
      <c r="B147" s="15">
        <f>IF(A147&gt;Inputs!$C$62,"",SUM(M147:BK147))</f>
        <v/>
      </c>
      <c r="C147" s="15">
        <f>IF(A147&gt;Inputs!$C$62,"",INDEX(Trajectory!$C$23:$C$2000,A147))</f>
        <v/>
      </c>
      <c r="D147" s="15">
        <f>IF(A147&gt;Inputs!$C$62,"",SUM(L147:BK147))</f>
        <v/>
      </c>
      <c r="E147" s="12">
        <f>IF(A147&gt;Inputs!$C$62,"",INDEX(Trajectory!$AG$23:$AG$2000,A147))</f>
        <v/>
      </c>
      <c r="F147" s="12">
        <f>IF(D147=0,0,SUMPRODUCT(L147:BK147,$B$11:$B$63)/D147)</f>
        <v/>
      </c>
      <c r="G147" s="12">
        <f>IF(D147=0,0,MIN(0.95,1-(1-F147)*(1-E147)))</f>
        <v/>
      </c>
      <c r="H147" s="15">
        <f>IF(D147=0,0,D147*G147)</f>
        <v/>
      </c>
      <c r="I147" s="15">
        <f>IF(D147=0,0,D147-H147)</f>
        <v/>
      </c>
      <c r="L147" s="15">
        <f>C147</f>
        <v/>
      </c>
      <c r="M147" s="15">
        <f>MAX(0,L146*(1-INDEX($B$11:$B$63,1))*(1-E146))</f>
        <v/>
      </c>
      <c r="N147" s="15">
        <f>MAX(0,M146*(1-INDEX($B$11:$B$63,2))*(1-E146))</f>
        <v/>
      </c>
      <c r="O147" s="15">
        <f>MAX(0,N146*(1-INDEX($B$11:$B$63,3))*(1-E146))</f>
        <v/>
      </c>
      <c r="P147" s="15">
        <f>MAX(0,O146*(1-INDEX($B$11:$B$63,4))*(1-E146))</f>
        <v/>
      </c>
      <c r="Q147" s="15">
        <f>MAX(0,P146*(1-INDEX($B$11:$B$63,5))*(1-E146))</f>
        <v/>
      </c>
      <c r="R147" s="15">
        <f>MAX(0,Q146*(1-INDEX($B$11:$B$63,6))*(1-E146))</f>
        <v/>
      </c>
      <c r="S147" s="15">
        <f>MAX(0,R146*(1-INDEX($B$11:$B$63,7))*(1-E146))</f>
        <v/>
      </c>
      <c r="T147" s="15">
        <f>MAX(0,S146*(1-INDEX($B$11:$B$63,8))*(1-E146))</f>
        <v/>
      </c>
      <c r="U147" s="15">
        <f>MAX(0,T146*(1-INDEX($B$11:$B$63,9))*(1-E146))</f>
        <v/>
      </c>
      <c r="V147" s="15">
        <f>MAX(0,U146*(1-INDEX($B$11:$B$63,10))*(1-E146))</f>
        <v/>
      </c>
      <c r="W147" s="15">
        <f>MAX(0,V146*(1-INDEX($B$11:$B$63,11))*(1-E146))</f>
        <v/>
      </c>
      <c r="X147" s="15">
        <f>MAX(0,W146*(1-INDEX($B$11:$B$63,12))*(1-E146))</f>
        <v/>
      </c>
      <c r="Y147" s="15">
        <f>MAX(0,X146*(1-INDEX($B$11:$B$63,13))*(1-E146))</f>
        <v/>
      </c>
      <c r="Z147" s="15">
        <f>MAX(0,Y146*(1-INDEX($B$11:$B$63,14))*(1-E146))</f>
        <v/>
      </c>
      <c r="AA147" s="15">
        <f>MAX(0,Z146*(1-INDEX($B$11:$B$63,15))*(1-E146))</f>
        <v/>
      </c>
      <c r="AB147" s="15">
        <f>MAX(0,AA146*(1-INDEX($B$11:$B$63,16))*(1-E146))</f>
        <v/>
      </c>
      <c r="AC147" s="15">
        <f>MAX(0,AB146*(1-INDEX($B$11:$B$63,17))*(1-E146))</f>
        <v/>
      </c>
      <c r="AD147" s="15">
        <f>MAX(0,AC146*(1-INDEX($B$11:$B$63,18))*(1-E146))</f>
        <v/>
      </c>
      <c r="AE147" s="15">
        <f>MAX(0,AD146*(1-INDEX($B$11:$B$63,19))*(1-E146))</f>
        <v/>
      </c>
      <c r="AF147" s="15">
        <f>MAX(0,AE146*(1-INDEX($B$11:$B$63,20))*(1-E146))</f>
        <v/>
      </c>
      <c r="AG147" s="15">
        <f>MAX(0,AF146*(1-INDEX($B$11:$B$63,21))*(1-E146))</f>
        <v/>
      </c>
      <c r="AH147" s="15">
        <f>MAX(0,AG146*(1-INDEX($B$11:$B$63,22))*(1-E146))</f>
        <v/>
      </c>
      <c r="AI147" s="15">
        <f>MAX(0,AH146*(1-INDEX($B$11:$B$63,23))*(1-E146))</f>
        <v/>
      </c>
      <c r="AJ147" s="15">
        <f>MAX(0,AI146*(1-INDEX($B$11:$B$63,24))*(1-E146))</f>
        <v/>
      </c>
      <c r="AK147" s="15">
        <f>MAX(0,AJ146*(1-INDEX($B$11:$B$63,25))*(1-E146))</f>
        <v/>
      </c>
      <c r="AL147" s="15">
        <f>MAX(0,AK146*(1-INDEX($B$11:$B$63,26))*(1-E146))</f>
        <v/>
      </c>
      <c r="AM147" s="15">
        <f>MAX(0,AL146*(1-INDEX($B$11:$B$63,27))*(1-E146))</f>
        <v/>
      </c>
      <c r="AN147" s="15">
        <f>MAX(0,AM146*(1-INDEX($B$11:$B$63,28))*(1-E146))</f>
        <v/>
      </c>
      <c r="AO147" s="15">
        <f>MAX(0,AN146*(1-INDEX($B$11:$B$63,29))*(1-E146))</f>
        <v/>
      </c>
      <c r="AP147" s="15">
        <f>MAX(0,AO146*(1-INDEX($B$11:$B$63,30))*(1-E146))</f>
        <v/>
      </c>
      <c r="AQ147" s="15">
        <f>MAX(0,AP146*(1-INDEX($B$11:$B$63,31))*(1-E146))</f>
        <v/>
      </c>
      <c r="AR147" s="15">
        <f>MAX(0,AQ146*(1-INDEX($B$11:$B$63,32))*(1-E146))</f>
        <v/>
      </c>
      <c r="AS147" s="15">
        <f>MAX(0,AR146*(1-INDEX($B$11:$B$63,33))*(1-E146))</f>
        <v/>
      </c>
      <c r="AT147" s="15">
        <f>MAX(0,AS146*(1-INDEX($B$11:$B$63,34))*(1-E146))</f>
        <v/>
      </c>
      <c r="AU147" s="15">
        <f>MAX(0,AT146*(1-INDEX($B$11:$B$63,35))*(1-E146))</f>
        <v/>
      </c>
      <c r="AV147" s="15">
        <f>MAX(0,AU146*(1-INDEX($B$11:$B$63,36))*(1-E146))</f>
        <v/>
      </c>
      <c r="AW147" s="15">
        <f>MAX(0,AV146*(1-INDEX($B$11:$B$63,37))*(1-E146))</f>
        <v/>
      </c>
      <c r="AX147" s="15">
        <f>MAX(0,AW146*(1-INDEX($B$11:$B$63,38))*(1-E146))</f>
        <v/>
      </c>
      <c r="AY147" s="15">
        <f>MAX(0,AX146*(1-INDEX($B$11:$B$63,39))*(1-E146))</f>
        <v/>
      </c>
      <c r="AZ147" s="15">
        <f>MAX(0,AY146*(1-INDEX($B$11:$B$63,40))*(1-E146))</f>
        <v/>
      </c>
      <c r="BA147" s="15">
        <f>MAX(0,AZ146*(1-INDEX($B$11:$B$63,41))*(1-E146))</f>
        <v/>
      </c>
      <c r="BB147" s="15">
        <f>MAX(0,BA146*(1-INDEX($B$11:$B$63,42))*(1-E146))</f>
        <v/>
      </c>
      <c r="BC147" s="15">
        <f>MAX(0,BB146*(1-INDEX($B$11:$B$63,43))*(1-E146))</f>
        <v/>
      </c>
      <c r="BD147" s="15">
        <f>MAX(0,BC146*(1-INDEX($B$11:$B$63,44))*(1-E146))</f>
        <v/>
      </c>
      <c r="BE147" s="15">
        <f>MAX(0,BD146*(1-INDEX($B$11:$B$63,45))*(1-E146))</f>
        <v/>
      </c>
      <c r="BF147" s="15">
        <f>MAX(0,BE146*(1-INDEX($B$11:$B$63,46))*(1-E146))</f>
        <v/>
      </c>
      <c r="BG147" s="15">
        <f>MAX(0,BF146*(1-INDEX($B$11:$B$63,47))*(1-E146))</f>
        <v/>
      </c>
      <c r="BH147" s="15">
        <f>MAX(0,BG146*(1-INDEX($B$11:$B$63,48))*(1-E146))</f>
        <v/>
      </c>
      <c r="BI147" s="15">
        <f>MAX(0,BH146*(1-INDEX($B$11:$B$63,49))*(1-E146))</f>
        <v/>
      </c>
      <c r="BJ147" s="15">
        <f>MAX(0,BI146*(1-INDEX($B$11:$B$63,50))*(1-E146))</f>
        <v/>
      </c>
      <c r="BK147" s="15">
        <f>MAX(0,BJ146*(1-INDEX($B$11:$B$63,51))*(1-E146))</f>
        <v/>
      </c>
      <c r="BL147" s="15">
        <f>MAX(0,(BL146+BK146)*(1-INDEX($B$11:$B$63,53))*(1-E146))</f>
        <v/>
      </c>
    </row>
    <row r="148">
      <c r="A148" s="55" t="n">
        <v>82</v>
      </c>
      <c r="B148" s="15">
        <f>IF(A148&gt;Inputs!$C$62,"",SUM(M148:BK148))</f>
        <v/>
      </c>
      <c r="C148" s="15">
        <f>IF(A148&gt;Inputs!$C$62,"",INDEX(Trajectory!$C$23:$C$2000,A148))</f>
        <v/>
      </c>
      <c r="D148" s="15">
        <f>IF(A148&gt;Inputs!$C$62,"",SUM(L148:BK148))</f>
        <v/>
      </c>
      <c r="E148" s="12">
        <f>IF(A148&gt;Inputs!$C$62,"",INDEX(Trajectory!$AG$23:$AG$2000,A148))</f>
        <v/>
      </c>
      <c r="F148" s="12">
        <f>IF(D148=0,0,SUMPRODUCT(L148:BK148,$B$11:$B$63)/D148)</f>
        <v/>
      </c>
      <c r="G148" s="12">
        <f>IF(D148=0,0,MIN(0.95,1-(1-F148)*(1-E148)))</f>
        <v/>
      </c>
      <c r="H148" s="15">
        <f>IF(D148=0,0,D148*G148)</f>
        <v/>
      </c>
      <c r="I148" s="15">
        <f>IF(D148=0,0,D148-H148)</f>
        <v/>
      </c>
      <c r="L148" s="15">
        <f>C148</f>
        <v/>
      </c>
      <c r="M148" s="15">
        <f>MAX(0,L147*(1-INDEX($B$11:$B$63,1))*(1-E147))</f>
        <v/>
      </c>
      <c r="N148" s="15">
        <f>MAX(0,M147*(1-INDEX($B$11:$B$63,2))*(1-E147))</f>
        <v/>
      </c>
      <c r="O148" s="15">
        <f>MAX(0,N147*(1-INDEX($B$11:$B$63,3))*(1-E147))</f>
        <v/>
      </c>
      <c r="P148" s="15">
        <f>MAX(0,O147*(1-INDEX($B$11:$B$63,4))*(1-E147))</f>
        <v/>
      </c>
      <c r="Q148" s="15">
        <f>MAX(0,P147*(1-INDEX($B$11:$B$63,5))*(1-E147))</f>
        <v/>
      </c>
      <c r="R148" s="15">
        <f>MAX(0,Q147*(1-INDEX($B$11:$B$63,6))*(1-E147))</f>
        <v/>
      </c>
      <c r="S148" s="15">
        <f>MAX(0,R147*(1-INDEX($B$11:$B$63,7))*(1-E147))</f>
        <v/>
      </c>
      <c r="T148" s="15">
        <f>MAX(0,S147*(1-INDEX($B$11:$B$63,8))*(1-E147))</f>
        <v/>
      </c>
      <c r="U148" s="15">
        <f>MAX(0,T147*(1-INDEX($B$11:$B$63,9))*(1-E147))</f>
        <v/>
      </c>
      <c r="V148" s="15">
        <f>MAX(0,U147*(1-INDEX($B$11:$B$63,10))*(1-E147))</f>
        <v/>
      </c>
      <c r="W148" s="15">
        <f>MAX(0,V147*(1-INDEX($B$11:$B$63,11))*(1-E147))</f>
        <v/>
      </c>
      <c r="X148" s="15">
        <f>MAX(0,W147*(1-INDEX($B$11:$B$63,12))*(1-E147))</f>
        <v/>
      </c>
      <c r="Y148" s="15">
        <f>MAX(0,X147*(1-INDEX($B$11:$B$63,13))*(1-E147))</f>
        <v/>
      </c>
      <c r="Z148" s="15">
        <f>MAX(0,Y147*(1-INDEX($B$11:$B$63,14))*(1-E147))</f>
        <v/>
      </c>
      <c r="AA148" s="15">
        <f>MAX(0,Z147*(1-INDEX($B$11:$B$63,15))*(1-E147))</f>
        <v/>
      </c>
      <c r="AB148" s="15">
        <f>MAX(0,AA147*(1-INDEX($B$11:$B$63,16))*(1-E147))</f>
        <v/>
      </c>
      <c r="AC148" s="15">
        <f>MAX(0,AB147*(1-INDEX($B$11:$B$63,17))*(1-E147))</f>
        <v/>
      </c>
      <c r="AD148" s="15">
        <f>MAX(0,AC147*(1-INDEX($B$11:$B$63,18))*(1-E147))</f>
        <v/>
      </c>
      <c r="AE148" s="15">
        <f>MAX(0,AD147*(1-INDEX($B$11:$B$63,19))*(1-E147))</f>
        <v/>
      </c>
      <c r="AF148" s="15">
        <f>MAX(0,AE147*(1-INDEX($B$11:$B$63,20))*(1-E147))</f>
        <v/>
      </c>
      <c r="AG148" s="15">
        <f>MAX(0,AF147*(1-INDEX($B$11:$B$63,21))*(1-E147))</f>
        <v/>
      </c>
      <c r="AH148" s="15">
        <f>MAX(0,AG147*(1-INDEX($B$11:$B$63,22))*(1-E147))</f>
        <v/>
      </c>
      <c r="AI148" s="15">
        <f>MAX(0,AH147*(1-INDEX($B$11:$B$63,23))*(1-E147))</f>
        <v/>
      </c>
      <c r="AJ148" s="15">
        <f>MAX(0,AI147*(1-INDEX($B$11:$B$63,24))*(1-E147))</f>
        <v/>
      </c>
      <c r="AK148" s="15">
        <f>MAX(0,AJ147*(1-INDEX($B$11:$B$63,25))*(1-E147))</f>
        <v/>
      </c>
      <c r="AL148" s="15">
        <f>MAX(0,AK147*(1-INDEX($B$11:$B$63,26))*(1-E147))</f>
        <v/>
      </c>
      <c r="AM148" s="15">
        <f>MAX(0,AL147*(1-INDEX($B$11:$B$63,27))*(1-E147))</f>
        <v/>
      </c>
      <c r="AN148" s="15">
        <f>MAX(0,AM147*(1-INDEX($B$11:$B$63,28))*(1-E147))</f>
        <v/>
      </c>
      <c r="AO148" s="15">
        <f>MAX(0,AN147*(1-INDEX($B$11:$B$63,29))*(1-E147))</f>
        <v/>
      </c>
      <c r="AP148" s="15">
        <f>MAX(0,AO147*(1-INDEX($B$11:$B$63,30))*(1-E147))</f>
        <v/>
      </c>
      <c r="AQ148" s="15">
        <f>MAX(0,AP147*(1-INDEX($B$11:$B$63,31))*(1-E147))</f>
        <v/>
      </c>
      <c r="AR148" s="15">
        <f>MAX(0,AQ147*(1-INDEX($B$11:$B$63,32))*(1-E147))</f>
        <v/>
      </c>
      <c r="AS148" s="15">
        <f>MAX(0,AR147*(1-INDEX($B$11:$B$63,33))*(1-E147))</f>
        <v/>
      </c>
      <c r="AT148" s="15">
        <f>MAX(0,AS147*(1-INDEX($B$11:$B$63,34))*(1-E147))</f>
        <v/>
      </c>
      <c r="AU148" s="15">
        <f>MAX(0,AT147*(1-INDEX($B$11:$B$63,35))*(1-E147))</f>
        <v/>
      </c>
      <c r="AV148" s="15">
        <f>MAX(0,AU147*(1-INDEX($B$11:$B$63,36))*(1-E147))</f>
        <v/>
      </c>
      <c r="AW148" s="15">
        <f>MAX(0,AV147*(1-INDEX($B$11:$B$63,37))*(1-E147))</f>
        <v/>
      </c>
      <c r="AX148" s="15">
        <f>MAX(0,AW147*(1-INDEX($B$11:$B$63,38))*(1-E147))</f>
        <v/>
      </c>
      <c r="AY148" s="15">
        <f>MAX(0,AX147*(1-INDEX($B$11:$B$63,39))*(1-E147))</f>
        <v/>
      </c>
      <c r="AZ148" s="15">
        <f>MAX(0,AY147*(1-INDEX($B$11:$B$63,40))*(1-E147))</f>
        <v/>
      </c>
      <c r="BA148" s="15">
        <f>MAX(0,AZ147*(1-INDEX($B$11:$B$63,41))*(1-E147))</f>
        <v/>
      </c>
      <c r="BB148" s="15">
        <f>MAX(0,BA147*(1-INDEX($B$11:$B$63,42))*(1-E147))</f>
        <v/>
      </c>
      <c r="BC148" s="15">
        <f>MAX(0,BB147*(1-INDEX($B$11:$B$63,43))*(1-E147))</f>
        <v/>
      </c>
      <c r="BD148" s="15">
        <f>MAX(0,BC147*(1-INDEX($B$11:$B$63,44))*(1-E147))</f>
        <v/>
      </c>
      <c r="BE148" s="15">
        <f>MAX(0,BD147*(1-INDEX($B$11:$B$63,45))*(1-E147))</f>
        <v/>
      </c>
      <c r="BF148" s="15">
        <f>MAX(0,BE147*(1-INDEX($B$11:$B$63,46))*(1-E147))</f>
        <v/>
      </c>
      <c r="BG148" s="15">
        <f>MAX(0,BF147*(1-INDEX($B$11:$B$63,47))*(1-E147))</f>
        <v/>
      </c>
      <c r="BH148" s="15">
        <f>MAX(0,BG147*(1-INDEX($B$11:$B$63,48))*(1-E147))</f>
        <v/>
      </c>
      <c r="BI148" s="15">
        <f>MAX(0,BH147*(1-INDEX($B$11:$B$63,49))*(1-E147))</f>
        <v/>
      </c>
      <c r="BJ148" s="15">
        <f>MAX(0,BI147*(1-INDEX($B$11:$B$63,50))*(1-E147))</f>
        <v/>
      </c>
      <c r="BK148" s="15">
        <f>MAX(0,BJ147*(1-INDEX($B$11:$B$63,51))*(1-E147))</f>
        <v/>
      </c>
      <c r="BL148" s="15">
        <f>MAX(0,(BL147+BK147)*(1-INDEX($B$11:$B$63,53))*(1-E147))</f>
        <v/>
      </c>
    </row>
    <row r="149">
      <c r="A149" s="55" t="n">
        <v>83</v>
      </c>
      <c r="B149" s="15">
        <f>IF(A149&gt;Inputs!$C$62,"",SUM(M149:BK149))</f>
        <v/>
      </c>
      <c r="C149" s="15">
        <f>IF(A149&gt;Inputs!$C$62,"",INDEX(Trajectory!$C$23:$C$2000,A149))</f>
        <v/>
      </c>
      <c r="D149" s="15">
        <f>IF(A149&gt;Inputs!$C$62,"",SUM(L149:BK149))</f>
        <v/>
      </c>
      <c r="E149" s="12">
        <f>IF(A149&gt;Inputs!$C$62,"",INDEX(Trajectory!$AG$23:$AG$2000,A149))</f>
        <v/>
      </c>
      <c r="F149" s="12">
        <f>IF(D149=0,0,SUMPRODUCT(L149:BK149,$B$11:$B$63)/D149)</f>
        <v/>
      </c>
      <c r="G149" s="12">
        <f>IF(D149=0,0,MIN(0.95,1-(1-F149)*(1-E149)))</f>
        <v/>
      </c>
      <c r="H149" s="15">
        <f>IF(D149=0,0,D149*G149)</f>
        <v/>
      </c>
      <c r="I149" s="15">
        <f>IF(D149=0,0,D149-H149)</f>
        <v/>
      </c>
      <c r="L149" s="15">
        <f>C149</f>
        <v/>
      </c>
      <c r="M149" s="15">
        <f>MAX(0,L148*(1-INDEX($B$11:$B$63,1))*(1-E148))</f>
        <v/>
      </c>
      <c r="N149" s="15">
        <f>MAX(0,M148*(1-INDEX($B$11:$B$63,2))*(1-E148))</f>
        <v/>
      </c>
      <c r="O149" s="15">
        <f>MAX(0,N148*(1-INDEX($B$11:$B$63,3))*(1-E148))</f>
        <v/>
      </c>
      <c r="P149" s="15">
        <f>MAX(0,O148*(1-INDEX($B$11:$B$63,4))*(1-E148))</f>
        <v/>
      </c>
      <c r="Q149" s="15">
        <f>MAX(0,P148*(1-INDEX($B$11:$B$63,5))*(1-E148))</f>
        <v/>
      </c>
      <c r="R149" s="15">
        <f>MAX(0,Q148*(1-INDEX($B$11:$B$63,6))*(1-E148))</f>
        <v/>
      </c>
      <c r="S149" s="15">
        <f>MAX(0,R148*(1-INDEX($B$11:$B$63,7))*(1-E148))</f>
        <v/>
      </c>
      <c r="T149" s="15">
        <f>MAX(0,S148*(1-INDEX($B$11:$B$63,8))*(1-E148))</f>
        <v/>
      </c>
      <c r="U149" s="15">
        <f>MAX(0,T148*(1-INDEX($B$11:$B$63,9))*(1-E148))</f>
        <v/>
      </c>
      <c r="V149" s="15">
        <f>MAX(0,U148*(1-INDEX($B$11:$B$63,10))*(1-E148))</f>
        <v/>
      </c>
      <c r="W149" s="15">
        <f>MAX(0,V148*(1-INDEX($B$11:$B$63,11))*(1-E148))</f>
        <v/>
      </c>
      <c r="X149" s="15">
        <f>MAX(0,W148*(1-INDEX($B$11:$B$63,12))*(1-E148))</f>
        <v/>
      </c>
      <c r="Y149" s="15">
        <f>MAX(0,X148*(1-INDEX($B$11:$B$63,13))*(1-E148))</f>
        <v/>
      </c>
      <c r="Z149" s="15">
        <f>MAX(0,Y148*(1-INDEX($B$11:$B$63,14))*(1-E148))</f>
        <v/>
      </c>
      <c r="AA149" s="15">
        <f>MAX(0,Z148*(1-INDEX($B$11:$B$63,15))*(1-E148))</f>
        <v/>
      </c>
      <c r="AB149" s="15">
        <f>MAX(0,AA148*(1-INDEX($B$11:$B$63,16))*(1-E148))</f>
        <v/>
      </c>
      <c r="AC149" s="15">
        <f>MAX(0,AB148*(1-INDEX($B$11:$B$63,17))*(1-E148))</f>
        <v/>
      </c>
      <c r="AD149" s="15">
        <f>MAX(0,AC148*(1-INDEX($B$11:$B$63,18))*(1-E148))</f>
        <v/>
      </c>
      <c r="AE149" s="15">
        <f>MAX(0,AD148*(1-INDEX($B$11:$B$63,19))*(1-E148))</f>
        <v/>
      </c>
      <c r="AF149" s="15">
        <f>MAX(0,AE148*(1-INDEX($B$11:$B$63,20))*(1-E148))</f>
        <v/>
      </c>
      <c r="AG149" s="15">
        <f>MAX(0,AF148*(1-INDEX($B$11:$B$63,21))*(1-E148))</f>
        <v/>
      </c>
      <c r="AH149" s="15">
        <f>MAX(0,AG148*(1-INDEX($B$11:$B$63,22))*(1-E148))</f>
        <v/>
      </c>
      <c r="AI149" s="15">
        <f>MAX(0,AH148*(1-INDEX($B$11:$B$63,23))*(1-E148))</f>
        <v/>
      </c>
      <c r="AJ149" s="15">
        <f>MAX(0,AI148*(1-INDEX($B$11:$B$63,24))*(1-E148))</f>
        <v/>
      </c>
      <c r="AK149" s="15">
        <f>MAX(0,AJ148*(1-INDEX($B$11:$B$63,25))*(1-E148))</f>
        <v/>
      </c>
      <c r="AL149" s="15">
        <f>MAX(0,AK148*(1-INDEX($B$11:$B$63,26))*(1-E148))</f>
        <v/>
      </c>
      <c r="AM149" s="15">
        <f>MAX(0,AL148*(1-INDEX($B$11:$B$63,27))*(1-E148))</f>
        <v/>
      </c>
      <c r="AN149" s="15">
        <f>MAX(0,AM148*(1-INDEX($B$11:$B$63,28))*(1-E148))</f>
        <v/>
      </c>
      <c r="AO149" s="15">
        <f>MAX(0,AN148*(1-INDEX($B$11:$B$63,29))*(1-E148))</f>
        <v/>
      </c>
      <c r="AP149" s="15">
        <f>MAX(0,AO148*(1-INDEX($B$11:$B$63,30))*(1-E148))</f>
        <v/>
      </c>
      <c r="AQ149" s="15">
        <f>MAX(0,AP148*(1-INDEX($B$11:$B$63,31))*(1-E148))</f>
        <v/>
      </c>
      <c r="AR149" s="15">
        <f>MAX(0,AQ148*(1-INDEX($B$11:$B$63,32))*(1-E148))</f>
        <v/>
      </c>
      <c r="AS149" s="15">
        <f>MAX(0,AR148*(1-INDEX($B$11:$B$63,33))*(1-E148))</f>
        <v/>
      </c>
      <c r="AT149" s="15">
        <f>MAX(0,AS148*(1-INDEX($B$11:$B$63,34))*(1-E148))</f>
        <v/>
      </c>
      <c r="AU149" s="15">
        <f>MAX(0,AT148*(1-INDEX($B$11:$B$63,35))*(1-E148))</f>
        <v/>
      </c>
      <c r="AV149" s="15">
        <f>MAX(0,AU148*(1-INDEX($B$11:$B$63,36))*(1-E148))</f>
        <v/>
      </c>
      <c r="AW149" s="15">
        <f>MAX(0,AV148*(1-INDEX($B$11:$B$63,37))*(1-E148))</f>
        <v/>
      </c>
      <c r="AX149" s="15">
        <f>MAX(0,AW148*(1-INDEX($B$11:$B$63,38))*(1-E148))</f>
        <v/>
      </c>
      <c r="AY149" s="15">
        <f>MAX(0,AX148*(1-INDEX($B$11:$B$63,39))*(1-E148))</f>
        <v/>
      </c>
      <c r="AZ149" s="15">
        <f>MAX(0,AY148*(1-INDEX($B$11:$B$63,40))*(1-E148))</f>
        <v/>
      </c>
      <c r="BA149" s="15">
        <f>MAX(0,AZ148*(1-INDEX($B$11:$B$63,41))*(1-E148))</f>
        <v/>
      </c>
      <c r="BB149" s="15">
        <f>MAX(0,BA148*(1-INDEX($B$11:$B$63,42))*(1-E148))</f>
        <v/>
      </c>
      <c r="BC149" s="15">
        <f>MAX(0,BB148*(1-INDEX($B$11:$B$63,43))*(1-E148))</f>
        <v/>
      </c>
      <c r="BD149" s="15">
        <f>MAX(0,BC148*(1-INDEX($B$11:$B$63,44))*(1-E148))</f>
        <v/>
      </c>
      <c r="BE149" s="15">
        <f>MAX(0,BD148*(1-INDEX($B$11:$B$63,45))*(1-E148))</f>
        <v/>
      </c>
      <c r="BF149" s="15">
        <f>MAX(0,BE148*(1-INDEX($B$11:$B$63,46))*(1-E148))</f>
        <v/>
      </c>
      <c r="BG149" s="15">
        <f>MAX(0,BF148*(1-INDEX($B$11:$B$63,47))*(1-E148))</f>
        <v/>
      </c>
      <c r="BH149" s="15">
        <f>MAX(0,BG148*(1-INDEX($B$11:$B$63,48))*(1-E148))</f>
        <v/>
      </c>
      <c r="BI149" s="15">
        <f>MAX(0,BH148*(1-INDEX($B$11:$B$63,49))*(1-E148))</f>
        <v/>
      </c>
      <c r="BJ149" s="15">
        <f>MAX(0,BI148*(1-INDEX($B$11:$B$63,50))*(1-E148))</f>
        <v/>
      </c>
      <c r="BK149" s="15">
        <f>MAX(0,BJ148*(1-INDEX($B$11:$B$63,51))*(1-E148))</f>
        <v/>
      </c>
      <c r="BL149" s="15">
        <f>MAX(0,(BL148+BK148)*(1-INDEX($B$11:$B$63,53))*(1-E148))</f>
        <v/>
      </c>
    </row>
    <row r="150">
      <c r="A150" s="55" t="n">
        <v>84</v>
      </c>
      <c r="B150" s="15">
        <f>IF(A150&gt;Inputs!$C$62,"",SUM(M150:BK150))</f>
        <v/>
      </c>
      <c r="C150" s="15">
        <f>IF(A150&gt;Inputs!$C$62,"",INDEX(Trajectory!$C$23:$C$2000,A150))</f>
        <v/>
      </c>
      <c r="D150" s="15">
        <f>IF(A150&gt;Inputs!$C$62,"",SUM(L150:BK150))</f>
        <v/>
      </c>
      <c r="E150" s="12">
        <f>IF(A150&gt;Inputs!$C$62,"",INDEX(Trajectory!$AG$23:$AG$2000,A150))</f>
        <v/>
      </c>
      <c r="F150" s="12">
        <f>IF(D150=0,0,SUMPRODUCT(L150:BK150,$B$11:$B$63)/D150)</f>
        <v/>
      </c>
      <c r="G150" s="12">
        <f>IF(D150=0,0,MIN(0.95,1-(1-F150)*(1-E150)))</f>
        <v/>
      </c>
      <c r="H150" s="15">
        <f>IF(D150=0,0,D150*G150)</f>
        <v/>
      </c>
      <c r="I150" s="15">
        <f>IF(D150=0,0,D150-H150)</f>
        <v/>
      </c>
      <c r="L150" s="15">
        <f>C150</f>
        <v/>
      </c>
      <c r="M150" s="15">
        <f>MAX(0,L149*(1-INDEX($B$11:$B$63,1))*(1-E149))</f>
        <v/>
      </c>
      <c r="N150" s="15">
        <f>MAX(0,M149*(1-INDEX($B$11:$B$63,2))*(1-E149))</f>
        <v/>
      </c>
      <c r="O150" s="15">
        <f>MAX(0,N149*(1-INDEX($B$11:$B$63,3))*(1-E149))</f>
        <v/>
      </c>
      <c r="P150" s="15">
        <f>MAX(0,O149*(1-INDEX($B$11:$B$63,4))*(1-E149))</f>
        <v/>
      </c>
      <c r="Q150" s="15">
        <f>MAX(0,P149*(1-INDEX($B$11:$B$63,5))*(1-E149))</f>
        <v/>
      </c>
      <c r="R150" s="15">
        <f>MAX(0,Q149*(1-INDEX($B$11:$B$63,6))*(1-E149))</f>
        <v/>
      </c>
      <c r="S150" s="15">
        <f>MAX(0,R149*(1-INDEX($B$11:$B$63,7))*(1-E149))</f>
        <v/>
      </c>
      <c r="T150" s="15">
        <f>MAX(0,S149*(1-INDEX($B$11:$B$63,8))*(1-E149))</f>
        <v/>
      </c>
      <c r="U150" s="15">
        <f>MAX(0,T149*(1-INDEX($B$11:$B$63,9))*(1-E149))</f>
        <v/>
      </c>
      <c r="V150" s="15">
        <f>MAX(0,U149*(1-INDEX($B$11:$B$63,10))*(1-E149))</f>
        <v/>
      </c>
      <c r="W150" s="15">
        <f>MAX(0,V149*(1-INDEX($B$11:$B$63,11))*(1-E149))</f>
        <v/>
      </c>
      <c r="X150" s="15">
        <f>MAX(0,W149*(1-INDEX($B$11:$B$63,12))*(1-E149))</f>
        <v/>
      </c>
      <c r="Y150" s="15">
        <f>MAX(0,X149*(1-INDEX($B$11:$B$63,13))*(1-E149))</f>
        <v/>
      </c>
      <c r="Z150" s="15">
        <f>MAX(0,Y149*(1-INDEX($B$11:$B$63,14))*(1-E149))</f>
        <v/>
      </c>
      <c r="AA150" s="15">
        <f>MAX(0,Z149*(1-INDEX($B$11:$B$63,15))*(1-E149))</f>
        <v/>
      </c>
      <c r="AB150" s="15">
        <f>MAX(0,AA149*(1-INDEX($B$11:$B$63,16))*(1-E149))</f>
        <v/>
      </c>
      <c r="AC150" s="15">
        <f>MAX(0,AB149*(1-INDEX($B$11:$B$63,17))*(1-E149))</f>
        <v/>
      </c>
      <c r="AD150" s="15">
        <f>MAX(0,AC149*(1-INDEX($B$11:$B$63,18))*(1-E149))</f>
        <v/>
      </c>
      <c r="AE150" s="15">
        <f>MAX(0,AD149*(1-INDEX($B$11:$B$63,19))*(1-E149))</f>
        <v/>
      </c>
      <c r="AF150" s="15">
        <f>MAX(0,AE149*(1-INDEX($B$11:$B$63,20))*(1-E149))</f>
        <v/>
      </c>
      <c r="AG150" s="15">
        <f>MAX(0,AF149*(1-INDEX($B$11:$B$63,21))*(1-E149))</f>
        <v/>
      </c>
      <c r="AH150" s="15">
        <f>MAX(0,AG149*(1-INDEX($B$11:$B$63,22))*(1-E149))</f>
        <v/>
      </c>
      <c r="AI150" s="15">
        <f>MAX(0,AH149*(1-INDEX($B$11:$B$63,23))*(1-E149))</f>
        <v/>
      </c>
      <c r="AJ150" s="15">
        <f>MAX(0,AI149*(1-INDEX($B$11:$B$63,24))*(1-E149))</f>
        <v/>
      </c>
      <c r="AK150" s="15">
        <f>MAX(0,AJ149*(1-INDEX($B$11:$B$63,25))*(1-E149))</f>
        <v/>
      </c>
      <c r="AL150" s="15">
        <f>MAX(0,AK149*(1-INDEX($B$11:$B$63,26))*(1-E149))</f>
        <v/>
      </c>
      <c r="AM150" s="15">
        <f>MAX(0,AL149*(1-INDEX($B$11:$B$63,27))*(1-E149))</f>
        <v/>
      </c>
      <c r="AN150" s="15">
        <f>MAX(0,AM149*(1-INDEX($B$11:$B$63,28))*(1-E149))</f>
        <v/>
      </c>
      <c r="AO150" s="15">
        <f>MAX(0,AN149*(1-INDEX($B$11:$B$63,29))*(1-E149))</f>
        <v/>
      </c>
      <c r="AP150" s="15">
        <f>MAX(0,AO149*(1-INDEX($B$11:$B$63,30))*(1-E149))</f>
        <v/>
      </c>
      <c r="AQ150" s="15">
        <f>MAX(0,AP149*(1-INDEX($B$11:$B$63,31))*(1-E149))</f>
        <v/>
      </c>
      <c r="AR150" s="15">
        <f>MAX(0,AQ149*(1-INDEX($B$11:$B$63,32))*(1-E149))</f>
        <v/>
      </c>
      <c r="AS150" s="15">
        <f>MAX(0,AR149*(1-INDEX($B$11:$B$63,33))*(1-E149))</f>
        <v/>
      </c>
      <c r="AT150" s="15">
        <f>MAX(0,AS149*(1-INDEX($B$11:$B$63,34))*(1-E149))</f>
        <v/>
      </c>
      <c r="AU150" s="15">
        <f>MAX(0,AT149*(1-INDEX($B$11:$B$63,35))*(1-E149))</f>
        <v/>
      </c>
      <c r="AV150" s="15">
        <f>MAX(0,AU149*(1-INDEX($B$11:$B$63,36))*(1-E149))</f>
        <v/>
      </c>
      <c r="AW150" s="15">
        <f>MAX(0,AV149*(1-INDEX($B$11:$B$63,37))*(1-E149))</f>
        <v/>
      </c>
      <c r="AX150" s="15">
        <f>MAX(0,AW149*(1-INDEX($B$11:$B$63,38))*(1-E149))</f>
        <v/>
      </c>
      <c r="AY150" s="15">
        <f>MAX(0,AX149*(1-INDEX($B$11:$B$63,39))*(1-E149))</f>
        <v/>
      </c>
      <c r="AZ150" s="15">
        <f>MAX(0,AY149*(1-INDEX($B$11:$B$63,40))*(1-E149))</f>
        <v/>
      </c>
      <c r="BA150" s="15">
        <f>MAX(0,AZ149*(1-INDEX($B$11:$B$63,41))*(1-E149))</f>
        <v/>
      </c>
      <c r="BB150" s="15">
        <f>MAX(0,BA149*(1-INDEX($B$11:$B$63,42))*(1-E149))</f>
        <v/>
      </c>
      <c r="BC150" s="15">
        <f>MAX(0,BB149*(1-INDEX($B$11:$B$63,43))*(1-E149))</f>
        <v/>
      </c>
      <c r="BD150" s="15">
        <f>MAX(0,BC149*(1-INDEX($B$11:$B$63,44))*(1-E149))</f>
        <v/>
      </c>
      <c r="BE150" s="15">
        <f>MAX(0,BD149*(1-INDEX($B$11:$B$63,45))*(1-E149))</f>
        <v/>
      </c>
      <c r="BF150" s="15">
        <f>MAX(0,BE149*(1-INDEX($B$11:$B$63,46))*(1-E149))</f>
        <v/>
      </c>
      <c r="BG150" s="15">
        <f>MAX(0,BF149*(1-INDEX($B$11:$B$63,47))*(1-E149))</f>
        <v/>
      </c>
      <c r="BH150" s="15">
        <f>MAX(0,BG149*(1-INDEX($B$11:$B$63,48))*(1-E149))</f>
        <v/>
      </c>
      <c r="BI150" s="15">
        <f>MAX(0,BH149*(1-INDEX($B$11:$B$63,49))*(1-E149))</f>
        <v/>
      </c>
      <c r="BJ150" s="15">
        <f>MAX(0,BI149*(1-INDEX($B$11:$B$63,50))*(1-E149))</f>
        <v/>
      </c>
      <c r="BK150" s="15">
        <f>MAX(0,BJ149*(1-INDEX($B$11:$B$63,51))*(1-E149))</f>
        <v/>
      </c>
      <c r="BL150" s="15">
        <f>MAX(0,(BL149+BK149)*(1-INDEX($B$11:$B$63,53))*(1-E149))</f>
        <v/>
      </c>
    </row>
    <row r="151">
      <c r="A151" s="55" t="n">
        <v>85</v>
      </c>
      <c r="B151" s="15">
        <f>IF(A151&gt;Inputs!$C$62,"",SUM(M151:BK151))</f>
        <v/>
      </c>
      <c r="C151" s="15">
        <f>IF(A151&gt;Inputs!$C$62,"",INDEX(Trajectory!$C$23:$C$2000,A151))</f>
        <v/>
      </c>
      <c r="D151" s="15">
        <f>IF(A151&gt;Inputs!$C$62,"",SUM(L151:BK151))</f>
        <v/>
      </c>
      <c r="E151" s="12">
        <f>IF(A151&gt;Inputs!$C$62,"",INDEX(Trajectory!$AG$23:$AG$2000,A151))</f>
        <v/>
      </c>
      <c r="F151" s="12">
        <f>IF(D151=0,0,SUMPRODUCT(L151:BK151,$B$11:$B$63)/D151)</f>
        <v/>
      </c>
      <c r="G151" s="12">
        <f>IF(D151=0,0,MIN(0.95,1-(1-F151)*(1-E151)))</f>
        <v/>
      </c>
      <c r="H151" s="15">
        <f>IF(D151=0,0,D151*G151)</f>
        <v/>
      </c>
      <c r="I151" s="15">
        <f>IF(D151=0,0,D151-H151)</f>
        <v/>
      </c>
      <c r="L151" s="15">
        <f>C151</f>
        <v/>
      </c>
      <c r="M151" s="15">
        <f>MAX(0,L150*(1-INDEX($B$11:$B$63,1))*(1-E150))</f>
        <v/>
      </c>
      <c r="N151" s="15">
        <f>MAX(0,M150*(1-INDEX($B$11:$B$63,2))*(1-E150))</f>
        <v/>
      </c>
      <c r="O151" s="15">
        <f>MAX(0,N150*(1-INDEX($B$11:$B$63,3))*(1-E150))</f>
        <v/>
      </c>
      <c r="P151" s="15">
        <f>MAX(0,O150*(1-INDEX($B$11:$B$63,4))*(1-E150))</f>
        <v/>
      </c>
      <c r="Q151" s="15">
        <f>MAX(0,P150*(1-INDEX($B$11:$B$63,5))*(1-E150))</f>
        <v/>
      </c>
      <c r="R151" s="15">
        <f>MAX(0,Q150*(1-INDEX($B$11:$B$63,6))*(1-E150))</f>
        <v/>
      </c>
      <c r="S151" s="15">
        <f>MAX(0,R150*(1-INDEX($B$11:$B$63,7))*(1-E150))</f>
        <v/>
      </c>
      <c r="T151" s="15">
        <f>MAX(0,S150*(1-INDEX($B$11:$B$63,8))*(1-E150))</f>
        <v/>
      </c>
      <c r="U151" s="15">
        <f>MAX(0,T150*(1-INDEX($B$11:$B$63,9))*(1-E150))</f>
        <v/>
      </c>
      <c r="V151" s="15">
        <f>MAX(0,U150*(1-INDEX($B$11:$B$63,10))*(1-E150))</f>
        <v/>
      </c>
      <c r="W151" s="15">
        <f>MAX(0,V150*(1-INDEX($B$11:$B$63,11))*(1-E150))</f>
        <v/>
      </c>
      <c r="X151" s="15">
        <f>MAX(0,W150*(1-INDEX($B$11:$B$63,12))*(1-E150))</f>
        <v/>
      </c>
      <c r="Y151" s="15">
        <f>MAX(0,X150*(1-INDEX($B$11:$B$63,13))*(1-E150))</f>
        <v/>
      </c>
      <c r="Z151" s="15">
        <f>MAX(0,Y150*(1-INDEX($B$11:$B$63,14))*(1-E150))</f>
        <v/>
      </c>
      <c r="AA151" s="15">
        <f>MAX(0,Z150*(1-INDEX($B$11:$B$63,15))*(1-E150))</f>
        <v/>
      </c>
      <c r="AB151" s="15">
        <f>MAX(0,AA150*(1-INDEX($B$11:$B$63,16))*(1-E150))</f>
        <v/>
      </c>
      <c r="AC151" s="15">
        <f>MAX(0,AB150*(1-INDEX($B$11:$B$63,17))*(1-E150))</f>
        <v/>
      </c>
      <c r="AD151" s="15">
        <f>MAX(0,AC150*(1-INDEX($B$11:$B$63,18))*(1-E150))</f>
        <v/>
      </c>
      <c r="AE151" s="15">
        <f>MAX(0,AD150*(1-INDEX($B$11:$B$63,19))*(1-E150))</f>
        <v/>
      </c>
      <c r="AF151" s="15">
        <f>MAX(0,AE150*(1-INDEX($B$11:$B$63,20))*(1-E150))</f>
        <v/>
      </c>
      <c r="AG151" s="15">
        <f>MAX(0,AF150*(1-INDEX($B$11:$B$63,21))*(1-E150))</f>
        <v/>
      </c>
      <c r="AH151" s="15">
        <f>MAX(0,AG150*(1-INDEX($B$11:$B$63,22))*(1-E150))</f>
        <v/>
      </c>
      <c r="AI151" s="15">
        <f>MAX(0,AH150*(1-INDEX($B$11:$B$63,23))*(1-E150))</f>
        <v/>
      </c>
      <c r="AJ151" s="15">
        <f>MAX(0,AI150*(1-INDEX($B$11:$B$63,24))*(1-E150))</f>
        <v/>
      </c>
      <c r="AK151" s="15">
        <f>MAX(0,AJ150*(1-INDEX($B$11:$B$63,25))*(1-E150))</f>
        <v/>
      </c>
      <c r="AL151" s="15">
        <f>MAX(0,AK150*(1-INDEX($B$11:$B$63,26))*(1-E150))</f>
        <v/>
      </c>
      <c r="AM151" s="15">
        <f>MAX(0,AL150*(1-INDEX($B$11:$B$63,27))*(1-E150))</f>
        <v/>
      </c>
      <c r="AN151" s="15">
        <f>MAX(0,AM150*(1-INDEX($B$11:$B$63,28))*(1-E150))</f>
        <v/>
      </c>
      <c r="AO151" s="15">
        <f>MAX(0,AN150*(1-INDEX($B$11:$B$63,29))*(1-E150))</f>
        <v/>
      </c>
      <c r="AP151" s="15">
        <f>MAX(0,AO150*(1-INDEX($B$11:$B$63,30))*(1-E150))</f>
        <v/>
      </c>
      <c r="AQ151" s="15">
        <f>MAX(0,AP150*(1-INDEX($B$11:$B$63,31))*(1-E150))</f>
        <v/>
      </c>
      <c r="AR151" s="15">
        <f>MAX(0,AQ150*(1-INDEX($B$11:$B$63,32))*(1-E150))</f>
        <v/>
      </c>
      <c r="AS151" s="15">
        <f>MAX(0,AR150*(1-INDEX($B$11:$B$63,33))*(1-E150))</f>
        <v/>
      </c>
      <c r="AT151" s="15">
        <f>MAX(0,AS150*(1-INDEX($B$11:$B$63,34))*(1-E150))</f>
        <v/>
      </c>
      <c r="AU151" s="15">
        <f>MAX(0,AT150*(1-INDEX($B$11:$B$63,35))*(1-E150))</f>
        <v/>
      </c>
      <c r="AV151" s="15">
        <f>MAX(0,AU150*(1-INDEX($B$11:$B$63,36))*(1-E150))</f>
        <v/>
      </c>
      <c r="AW151" s="15">
        <f>MAX(0,AV150*(1-INDEX($B$11:$B$63,37))*(1-E150))</f>
        <v/>
      </c>
      <c r="AX151" s="15">
        <f>MAX(0,AW150*(1-INDEX($B$11:$B$63,38))*(1-E150))</f>
        <v/>
      </c>
      <c r="AY151" s="15">
        <f>MAX(0,AX150*(1-INDEX($B$11:$B$63,39))*(1-E150))</f>
        <v/>
      </c>
      <c r="AZ151" s="15">
        <f>MAX(0,AY150*(1-INDEX($B$11:$B$63,40))*(1-E150))</f>
        <v/>
      </c>
      <c r="BA151" s="15">
        <f>MAX(0,AZ150*(1-INDEX($B$11:$B$63,41))*(1-E150))</f>
        <v/>
      </c>
      <c r="BB151" s="15">
        <f>MAX(0,BA150*(1-INDEX($B$11:$B$63,42))*(1-E150))</f>
        <v/>
      </c>
      <c r="BC151" s="15">
        <f>MAX(0,BB150*(1-INDEX($B$11:$B$63,43))*(1-E150))</f>
        <v/>
      </c>
      <c r="BD151" s="15">
        <f>MAX(0,BC150*(1-INDEX($B$11:$B$63,44))*(1-E150))</f>
        <v/>
      </c>
      <c r="BE151" s="15">
        <f>MAX(0,BD150*(1-INDEX($B$11:$B$63,45))*(1-E150))</f>
        <v/>
      </c>
      <c r="BF151" s="15">
        <f>MAX(0,BE150*(1-INDEX($B$11:$B$63,46))*(1-E150))</f>
        <v/>
      </c>
      <c r="BG151" s="15">
        <f>MAX(0,BF150*(1-INDEX($B$11:$B$63,47))*(1-E150))</f>
        <v/>
      </c>
      <c r="BH151" s="15">
        <f>MAX(0,BG150*(1-INDEX($B$11:$B$63,48))*(1-E150))</f>
        <v/>
      </c>
      <c r="BI151" s="15">
        <f>MAX(0,BH150*(1-INDEX($B$11:$B$63,49))*(1-E150))</f>
        <v/>
      </c>
      <c r="BJ151" s="15">
        <f>MAX(0,BI150*(1-INDEX($B$11:$B$63,50))*(1-E150))</f>
        <v/>
      </c>
      <c r="BK151" s="15">
        <f>MAX(0,BJ150*(1-INDEX($B$11:$B$63,51))*(1-E150))</f>
        <v/>
      </c>
      <c r="BL151" s="15">
        <f>MAX(0,(BL150+BK150)*(1-INDEX($B$11:$B$63,53))*(1-E150))</f>
        <v/>
      </c>
    </row>
    <row r="152">
      <c r="A152" s="55" t="n">
        <v>86</v>
      </c>
      <c r="B152" s="15">
        <f>IF(A152&gt;Inputs!$C$62,"",SUM(M152:BK152))</f>
        <v/>
      </c>
      <c r="C152" s="15">
        <f>IF(A152&gt;Inputs!$C$62,"",INDEX(Trajectory!$C$23:$C$2000,A152))</f>
        <v/>
      </c>
      <c r="D152" s="15">
        <f>IF(A152&gt;Inputs!$C$62,"",SUM(L152:BK152))</f>
        <v/>
      </c>
      <c r="E152" s="12">
        <f>IF(A152&gt;Inputs!$C$62,"",INDEX(Trajectory!$AG$23:$AG$2000,A152))</f>
        <v/>
      </c>
      <c r="F152" s="12">
        <f>IF(D152=0,0,SUMPRODUCT(L152:BK152,$B$11:$B$63)/D152)</f>
        <v/>
      </c>
      <c r="G152" s="12">
        <f>IF(D152=0,0,MIN(0.95,1-(1-F152)*(1-E152)))</f>
        <v/>
      </c>
      <c r="H152" s="15">
        <f>IF(D152=0,0,D152*G152)</f>
        <v/>
      </c>
      <c r="I152" s="15">
        <f>IF(D152=0,0,D152-H152)</f>
        <v/>
      </c>
      <c r="L152" s="15">
        <f>C152</f>
        <v/>
      </c>
      <c r="M152" s="15">
        <f>MAX(0,L151*(1-INDEX($B$11:$B$63,1))*(1-E151))</f>
        <v/>
      </c>
      <c r="N152" s="15">
        <f>MAX(0,M151*(1-INDEX($B$11:$B$63,2))*(1-E151))</f>
        <v/>
      </c>
      <c r="O152" s="15">
        <f>MAX(0,N151*(1-INDEX($B$11:$B$63,3))*(1-E151))</f>
        <v/>
      </c>
      <c r="P152" s="15">
        <f>MAX(0,O151*(1-INDEX($B$11:$B$63,4))*(1-E151))</f>
        <v/>
      </c>
      <c r="Q152" s="15">
        <f>MAX(0,P151*(1-INDEX($B$11:$B$63,5))*(1-E151))</f>
        <v/>
      </c>
      <c r="R152" s="15">
        <f>MAX(0,Q151*(1-INDEX($B$11:$B$63,6))*(1-E151))</f>
        <v/>
      </c>
      <c r="S152" s="15">
        <f>MAX(0,R151*(1-INDEX($B$11:$B$63,7))*(1-E151))</f>
        <v/>
      </c>
      <c r="T152" s="15">
        <f>MAX(0,S151*(1-INDEX($B$11:$B$63,8))*(1-E151))</f>
        <v/>
      </c>
      <c r="U152" s="15">
        <f>MAX(0,T151*(1-INDEX($B$11:$B$63,9))*(1-E151))</f>
        <v/>
      </c>
      <c r="V152" s="15">
        <f>MAX(0,U151*(1-INDEX($B$11:$B$63,10))*(1-E151))</f>
        <v/>
      </c>
      <c r="W152" s="15">
        <f>MAX(0,V151*(1-INDEX($B$11:$B$63,11))*(1-E151))</f>
        <v/>
      </c>
      <c r="X152" s="15">
        <f>MAX(0,W151*(1-INDEX($B$11:$B$63,12))*(1-E151))</f>
        <v/>
      </c>
      <c r="Y152" s="15">
        <f>MAX(0,X151*(1-INDEX($B$11:$B$63,13))*(1-E151))</f>
        <v/>
      </c>
      <c r="Z152" s="15">
        <f>MAX(0,Y151*(1-INDEX($B$11:$B$63,14))*(1-E151))</f>
        <v/>
      </c>
      <c r="AA152" s="15">
        <f>MAX(0,Z151*(1-INDEX($B$11:$B$63,15))*(1-E151))</f>
        <v/>
      </c>
      <c r="AB152" s="15">
        <f>MAX(0,AA151*(1-INDEX($B$11:$B$63,16))*(1-E151))</f>
        <v/>
      </c>
      <c r="AC152" s="15">
        <f>MAX(0,AB151*(1-INDEX($B$11:$B$63,17))*(1-E151))</f>
        <v/>
      </c>
      <c r="AD152" s="15">
        <f>MAX(0,AC151*(1-INDEX($B$11:$B$63,18))*(1-E151))</f>
        <v/>
      </c>
      <c r="AE152" s="15">
        <f>MAX(0,AD151*(1-INDEX($B$11:$B$63,19))*(1-E151))</f>
        <v/>
      </c>
      <c r="AF152" s="15">
        <f>MAX(0,AE151*(1-INDEX($B$11:$B$63,20))*(1-E151))</f>
        <v/>
      </c>
      <c r="AG152" s="15">
        <f>MAX(0,AF151*(1-INDEX($B$11:$B$63,21))*(1-E151))</f>
        <v/>
      </c>
      <c r="AH152" s="15">
        <f>MAX(0,AG151*(1-INDEX($B$11:$B$63,22))*(1-E151))</f>
        <v/>
      </c>
      <c r="AI152" s="15">
        <f>MAX(0,AH151*(1-INDEX($B$11:$B$63,23))*(1-E151))</f>
        <v/>
      </c>
      <c r="AJ152" s="15">
        <f>MAX(0,AI151*(1-INDEX($B$11:$B$63,24))*(1-E151))</f>
        <v/>
      </c>
      <c r="AK152" s="15">
        <f>MAX(0,AJ151*(1-INDEX($B$11:$B$63,25))*(1-E151))</f>
        <v/>
      </c>
      <c r="AL152" s="15">
        <f>MAX(0,AK151*(1-INDEX($B$11:$B$63,26))*(1-E151))</f>
        <v/>
      </c>
      <c r="AM152" s="15">
        <f>MAX(0,AL151*(1-INDEX($B$11:$B$63,27))*(1-E151))</f>
        <v/>
      </c>
      <c r="AN152" s="15">
        <f>MAX(0,AM151*(1-INDEX($B$11:$B$63,28))*(1-E151))</f>
        <v/>
      </c>
      <c r="AO152" s="15">
        <f>MAX(0,AN151*(1-INDEX($B$11:$B$63,29))*(1-E151))</f>
        <v/>
      </c>
      <c r="AP152" s="15">
        <f>MAX(0,AO151*(1-INDEX($B$11:$B$63,30))*(1-E151))</f>
        <v/>
      </c>
      <c r="AQ152" s="15">
        <f>MAX(0,AP151*(1-INDEX($B$11:$B$63,31))*(1-E151))</f>
        <v/>
      </c>
      <c r="AR152" s="15">
        <f>MAX(0,AQ151*(1-INDEX($B$11:$B$63,32))*(1-E151))</f>
        <v/>
      </c>
      <c r="AS152" s="15">
        <f>MAX(0,AR151*(1-INDEX($B$11:$B$63,33))*(1-E151))</f>
        <v/>
      </c>
      <c r="AT152" s="15">
        <f>MAX(0,AS151*(1-INDEX($B$11:$B$63,34))*(1-E151))</f>
        <v/>
      </c>
      <c r="AU152" s="15">
        <f>MAX(0,AT151*(1-INDEX($B$11:$B$63,35))*(1-E151))</f>
        <v/>
      </c>
      <c r="AV152" s="15">
        <f>MAX(0,AU151*(1-INDEX($B$11:$B$63,36))*(1-E151))</f>
        <v/>
      </c>
      <c r="AW152" s="15">
        <f>MAX(0,AV151*(1-INDEX($B$11:$B$63,37))*(1-E151))</f>
        <v/>
      </c>
      <c r="AX152" s="15">
        <f>MAX(0,AW151*(1-INDEX($B$11:$B$63,38))*(1-E151))</f>
        <v/>
      </c>
      <c r="AY152" s="15">
        <f>MAX(0,AX151*(1-INDEX($B$11:$B$63,39))*(1-E151))</f>
        <v/>
      </c>
      <c r="AZ152" s="15">
        <f>MAX(0,AY151*(1-INDEX($B$11:$B$63,40))*(1-E151))</f>
        <v/>
      </c>
      <c r="BA152" s="15">
        <f>MAX(0,AZ151*(1-INDEX($B$11:$B$63,41))*(1-E151))</f>
        <v/>
      </c>
      <c r="BB152" s="15">
        <f>MAX(0,BA151*(1-INDEX($B$11:$B$63,42))*(1-E151))</f>
        <v/>
      </c>
      <c r="BC152" s="15">
        <f>MAX(0,BB151*(1-INDEX($B$11:$B$63,43))*(1-E151))</f>
        <v/>
      </c>
      <c r="BD152" s="15">
        <f>MAX(0,BC151*(1-INDEX($B$11:$B$63,44))*(1-E151))</f>
        <v/>
      </c>
      <c r="BE152" s="15">
        <f>MAX(0,BD151*(1-INDEX($B$11:$B$63,45))*(1-E151))</f>
        <v/>
      </c>
      <c r="BF152" s="15">
        <f>MAX(0,BE151*(1-INDEX($B$11:$B$63,46))*(1-E151))</f>
        <v/>
      </c>
      <c r="BG152" s="15">
        <f>MAX(0,BF151*(1-INDEX($B$11:$B$63,47))*(1-E151))</f>
        <v/>
      </c>
      <c r="BH152" s="15">
        <f>MAX(0,BG151*(1-INDEX($B$11:$B$63,48))*(1-E151))</f>
        <v/>
      </c>
      <c r="BI152" s="15">
        <f>MAX(0,BH151*(1-INDEX($B$11:$B$63,49))*(1-E151))</f>
        <v/>
      </c>
      <c r="BJ152" s="15">
        <f>MAX(0,BI151*(1-INDEX($B$11:$B$63,50))*(1-E151))</f>
        <v/>
      </c>
      <c r="BK152" s="15">
        <f>MAX(0,BJ151*(1-INDEX($B$11:$B$63,51))*(1-E151))</f>
        <v/>
      </c>
      <c r="BL152" s="15">
        <f>MAX(0,(BL151+BK151)*(1-INDEX($B$11:$B$63,53))*(1-E151))</f>
        <v/>
      </c>
    </row>
    <row r="153">
      <c r="A153" s="55" t="n">
        <v>87</v>
      </c>
      <c r="B153" s="15">
        <f>IF(A153&gt;Inputs!$C$62,"",SUM(M153:BK153))</f>
        <v/>
      </c>
      <c r="C153" s="15">
        <f>IF(A153&gt;Inputs!$C$62,"",INDEX(Trajectory!$C$23:$C$2000,A153))</f>
        <v/>
      </c>
      <c r="D153" s="15">
        <f>IF(A153&gt;Inputs!$C$62,"",SUM(L153:BK153))</f>
        <v/>
      </c>
      <c r="E153" s="12">
        <f>IF(A153&gt;Inputs!$C$62,"",INDEX(Trajectory!$AG$23:$AG$2000,A153))</f>
        <v/>
      </c>
      <c r="F153" s="12">
        <f>IF(D153=0,0,SUMPRODUCT(L153:BK153,$B$11:$B$63)/D153)</f>
        <v/>
      </c>
      <c r="G153" s="12">
        <f>IF(D153=0,0,MIN(0.95,1-(1-F153)*(1-E153)))</f>
        <v/>
      </c>
      <c r="H153" s="15">
        <f>IF(D153=0,0,D153*G153)</f>
        <v/>
      </c>
      <c r="I153" s="15">
        <f>IF(D153=0,0,D153-H153)</f>
        <v/>
      </c>
      <c r="L153" s="15">
        <f>C153</f>
        <v/>
      </c>
      <c r="M153" s="15">
        <f>MAX(0,L152*(1-INDEX($B$11:$B$63,1))*(1-E152))</f>
        <v/>
      </c>
      <c r="N153" s="15">
        <f>MAX(0,M152*(1-INDEX($B$11:$B$63,2))*(1-E152))</f>
        <v/>
      </c>
      <c r="O153" s="15">
        <f>MAX(0,N152*(1-INDEX($B$11:$B$63,3))*(1-E152))</f>
        <v/>
      </c>
      <c r="P153" s="15">
        <f>MAX(0,O152*(1-INDEX($B$11:$B$63,4))*(1-E152))</f>
        <v/>
      </c>
      <c r="Q153" s="15">
        <f>MAX(0,P152*(1-INDEX($B$11:$B$63,5))*(1-E152))</f>
        <v/>
      </c>
      <c r="R153" s="15">
        <f>MAX(0,Q152*(1-INDEX($B$11:$B$63,6))*(1-E152))</f>
        <v/>
      </c>
      <c r="S153" s="15">
        <f>MAX(0,R152*(1-INDEX($B$11:$B$63,7))*(1-E152))</f>
        <v/>
      </c>
      <c r="T153" s="15">
        <f>MAX(0,S152*(1-INDEX($B$11:$B$63,8))*(1-E152))</f>
        <v/>
      </c>
      <c r="U153" s="15">
        <f>MAX(0,T152*(1-INDEX($B$11:$B$63,9))*(1-E152))</f>
        <v/>
      </c>
      <c r="V153" s="15">
        <f>MAX(0,U152*(1-INDEX($B$11:$B$63,10))*(1-E152))</f>
        <v/>
      </c>
      <c r="W153" s="15">
        <f>MAX(0,V152*(1-INDEX($B$11:$B$63,11))*(1-E152))</f>
        <v/>
      </c>
      <c r="X153" s="15">
        <f>MAX(0,W152*(1-INDEX($B$11:$B$63,12))*(1-E152))</f>
        <v/>
      </c>
      <c r="Y153" s="15">
        <f>MAX(0,X152*(1-INDEX($B$11:$B$63,13))*(1-E152))</f>
        <v/>
      </c>
      <c r="Z153" s="15">
        <f>MAX(0,Y152*(1-INDEX($B$11:$B$63,14))*(1-E152))</f>
        <v/>
      </c>
      <c r="AA153" s="15">
        <f>MAX(0,Z152*(1-INDEX($B$11:$B$63,15))*(1-E152))</f>
        <v/>
      </c>
      <c r="AB153" s="15">
        <f>MAX(0,AA152*(1-INDEX($B$11:$B$63,16))*(1-E152))</f>
        <v/>
      </c>
      <c r="AC153" s="15">
        <f>MAX(0,AB152*(1-INDEX($B$11:$B$63,17))*(1-E152))</f>
        <v/>
      </c>
      <c r="AD153" s="15">
        <f>MAX(0,AC152*(1-INDEX($B$11:$B$63,18))*(1-E152))</f>
        <v/>
      </c>
      <c r="AE153" s="15">
        <f>MAX(0,AD152*(1-INDEX($B$11:$B$63,19))*(1-E152))</f>
        <v/>
      </c>
      <c r="AF153" s="15">
        <f>MAX(0,AE152*(1-INDEX($B$11:$B$63,20))*(1-E152))</f>
        <v/>
      </c>
      <c r="AG153" s="15">
        <f>MAX(0,AF152*(1-INDEX($B$11:$B$63,21))*(1-E152))</f>
        <v/>
      </c>
      <c r="AH153" s="15">
        <f>MAX(0,AG152*(1-INDEX($B$11:$B$63,22))*(1-E152))</f>
        <v/>
      </c>
      <c r="AI153" s="15">
        <f>MAX(0,AH152*(1-INDEX($B$11:$B$63,23))*(1-E152))</f>
        <v/>
      </c>
      <c r="AJ153" s="15">
        <f>MAX(0,AI152*(1-INDEX($B$11:$B$63,24))*(1-E152))</f>
        <v/>
      </c>
      <c r="AK153" s="15">
        <f>MAX(0,AJ152*(1-INDEX($B$11:$B$63,25))*(1-E152))</f>
        <v/>
      </c>
      <c r="AL153" s="15">
        <f>MAX(0,AK152*(1-INDEX($B$11:$B$63,26))*(1-E152))</f>
        <v/>
      </c>
      <c r="AM153" s="15">
        <f>MAX(0,AL152*(1-INDEX($B$11:$B$63,27))*(1-E152))</f>
        <v/>
      </c>
      <c r="AN153" s="15">
        <f>MAX(0,AM152*(1-INDEX($B$11:$B$63,28))*(1-E152))</f>
        <v/>
      </c>
      <c r="AO153" s="15">
        <f>MAX(0,AN152*(1-INDEX($B$11:$B$63,29))*(1-E152))</f>
        <v/>
      </c>
      <c r="AP153" s="15">
        <f>MAX(0,AO152*(1-INDEX($B$11:$B$63,30))*(1-E152))</f>
        <v/>
      </c>
      <c r="AQ153" s="15">
        <f>MAX(0,AP152*(1-INDEX($B$11:$B$63,31))*(1-E152))</f>
        <v/>
      </c>
      <c r="AR153" s="15">
        <f>MAX(0,AQ152*(1-INDEX($B$11:$B$63,32))*(1-E152))</f>
        <v/>
      </c>
      <c r="AS153" s="15">
        <f>MAX(0,AR152*(1-INDEX($B$11:$B$63,33))*(1-E152))</f>
        <v/>
      </c>
      <c r="AT153" s="15">
        <f>MAX(0,AS152*(1-INDEX($B$11:$B$63,34))*(1-E152))</f>
        <v/>
      </c>
      <c r="AU153" s="15">
        <f>MAX(0,AT152*(1-INDEX($B$11:$B$63,35))*(1-E152))</f>
        <v/>
      </c>
      <c r="AV153" s="15">
        <f>MAX(0,AU152*(1-INDEX($B$11:$B$63,36))*(1-E152))</f>
        <v/>
      </c>
      <c r="AW153" s="15">
        <f>MAX(0,AV152*(1-INDEX($B$11:$B$63,37))*(1-E152))</f>
        <v/>
      </c>
      <c r="AX153" s="15">
        <f>MAX(0,AW152*(1-INDEX($B$11:$B$63,38))*(1-E152))</f>
        <v/>
      </c>
      <c r="AY153" s="15">
        <f>MAX(0,AX152*(1-INDEX($B$11:$B$63,39))*(1-E152))</f>
        <v/>
      </c>
      <c r="AZ153" s="15">
        <f>MAX(0,AY152*(1-INDEX($B$11:$B$63,40))*(1-E152))</f>
        <v/>
      </c>
      <c r="BA153" s="15">
        <f>MAX(0,AZ152*(1-INDEX($B$11:$B$63,41))*(1-E152))</f>
        <v/>
      </c>
      <c r="BB153" s="15">
        <f>MAX(0,BA152*(1-INDEX($B$11:$B$63,42))*(1-E152))</f>
        <v/>
      </c>
      <c r="BC153" s="15">
        <f>MAX(0,BB152*(1-INDEX($B$11:$B$63,43))*(1-E152))</f>
        <v/>
      </c>
      <c r="BD153" s="15">
        <f>MAX(0,BC152*(1-INDEX($B$11:$B$63,44))*(1-E152))</f>
        <v/>
      </c>
      <c r="BE153" s="15">
        <f>MAX(0,BD152*(1-INDEX($B$11:$B$63,45))*(1-E152))</f>
        <v/>
      </c>
      <c r="BF153" s="15">
        <f>MAX(0,BE152*(1-INDEX($B$11:$B$63,46))*(1-E152))</f>
        <v/>
      </c>
      <c r="BG153" s="15">
        <f>MAX(0,BF152*(1-INDEX($B$11:$B$63,47))*(1-E152))</f>
        <v/>
      </c>
      <c r="BH153" s="15">
        <f>MAX(0,BG152*(1-INDEX($B$11:$B$63,48))*(1-E152))</f>
        <v/>
      </c>
      <c r="BI153" s="15">
        <f>MAX(0,BH152*(1-INDEX($B$11:$B$63,49))*(1-E152))</f>
        <v/>
      </c>
      <c r="BJ153" s="15">
        <f>MAX(0,BI152*(1-INDEX($B$11:$B$63,50))*(1-E152))</f>
        <v/>
      </c>
      <c r="BK153" s="15">
        <f>MAX(0,BJ152*(1-INDEX($B$11:$B$63,51))*(1-E152))</f>
        <v/>
      </c>
      <c r="BL153" s="15">
        <f>MAX(0,(BL152+BK152)*(1-INDEX($B$11:$B$63,53))*(1-E152))</f>
        <v/>
      </c>
    </row>
    <row r="154">
      <c r="A154" s="55" t="n">
        <v>88</v>
      </c>
      <c r="B154" s="15">
        <f>IF(A154&gt;Inputs!$C$62,"",SUM(M154:BK154))</f>
        <v/>
      </c>
      <c r="C154" s="15">
        <f>IF(A154&gt;Inputs!$C$62,"",INDEX(Trajectory!$C$23:$C$2000,A154))</f>
        <v/>
      </c>
      <c r="D154" s="15">
        <f>IF(A154&gt;Inputs!$C$62,"",SUM(L154:BK154))</f>
        <v/>
      </c>
      <c r="E154" s="12">
        <f>IF(A154&gt;Inputs!$C$62,"",INDEX(Trajectory!$AG$23:$AG$2000,A154))</f>
        <v/>
      </c>
      <c r="F154" s="12">
        <f>IF(D154=0,0,SUMPRODUCT(L154:BK154,$B$11:$B$63)/D154)</f>
        <v/>
      </c>
      <c r="G154" s="12">
        <f>IF(D154=0,0,MIN(0.95,1-(1-F154)*(1-E154)))</f>
        <v/>
      </c>
      <c r="H154" s="15">
        <f>IF(D154=0,0,D154*G154)</f>
        <v/>
      </c>
      <c r="I154" s="15">
        <f>IF(D154=0,0,D154-H154)</f>
        <v/>
      </c>
      <c r="L154" s="15">
        <f>C154</f>
        <v/>
      </c>
      <c r="M154" s="15">
        <f>MAX(0,L153*(1-INDEX($B$11:$B$63,1))*(1-E153))</f>
        <v/>
      </c>
      <c r="N154" s="15">
        <f>MAX(0,M153*(1-INDEX($B$11:$B$63,2))*(1-E153))</f>
        <v/>
      </c>
      <c r="O154" s="15">
        <f>MAX(0,N153*(1-INDEX($B$11:$B$63,3))*(1-E153))</f>
        <v/>
      </c>
      <c r="P154" s="15">
        <f>MAX(0,O153*(1-INDEX($B$11:$B$63,4))*(1-E153))</f>
        <v/>
      </c>
      <c r="Q154" s="15">
        <f>MAX(0,P153*(1-INDEX($B$11:$B$63,5))*(1-E153))</f>
        <v/>
      </c>
      <c r="R154" s="15">
        <f>MAX(0,Q153*(1-INDEX($B$11:$B$63,6))*(1-E153))</f>
        <v/>
      </c>
      <c r="S154" s="15">
        <f>MAX(0,R153*(1-INDEX($B$11:$B$63,7))*(1-E153))</f>
        <v/>
      </c>
      <c r="T154" s="15">
        <f>MAX(0,S153*(1-INDEX($B$11:$B$63,8))*(1-E153))</f>
        <v/>
      </c>
      <c r="U154" s="15">
        <f>MAX(0,T153*(1-INDEX($B$11:$B$63,9))*(1-E153))</f>
        <v/>
      </c>
      <c r="V154" s="15">
        <f>MAX(0,U153*(1-INDEX($B$11:$B$63,10))*(1-E153))</f>
        <v/>
      </c>
      <c r="W154" s="15">
        <f>MAX(0,V153*(1-INDEX($B$11:$B$63,11))*(1-E153))</f>
        <v/>
      </c>
      <c r="X154" s="15">
        <f>MAX(0,W153*(1-INDEX($B$11:$B$63,12))*(1-E153))</f>
        <v/>
      </c>
      <c r="Y154" s="15">
        <f>MAX(0,X153*(1-INDEX($B$11:$B$63,13))*(1-E153))</f>
        <v/>
      </c>
      <c r="Z154" s="15">
        <f>MAX(0,Y153*(1-INDEX($B$11:$B$63,14))*(1-E153))</f>
        <v/>
      </c>
      <c r="AA154" s="15">
        <f>MAX(0,Z153*(1-INDEX($B$11:$B$63,15))*(1-E153))</f>
        <v/>
      </c>
      <c r="AB154" s="15">
        <f>MAX(0,AA153*(1-INDEX($B$11:$B$63,16))*(1-E153))</f>
        <v/>
      </c>
      <c r="AC154" s="15">
        <f>MAX(0,AB153*(1-INDEX($B$11:$B$63,17))*(1-E153))</f>
        <v/>
      </c>
      <c r="AD154" s="15">
        <f>MAX(0,AC153*(1-INDEX($B$11:$B$63,18))*(1-E153))</f>
        <v/>
      </c>
      <c r="AE154" s="15">
        <f>MAX(0,AD153*(1-INDEX($B$11:$B$63,19))*(1-E153))</f>
        <v/>
      </c>
      <c r="AF154" s="15">
        <f>MAX(0,AE153*(1-INDEX($B$11:$B$63,20))*(1-E153))</f>
        <v/>
      </c>
      <c r="AG154" s="15">
        <f>MAX(0,AF153*(1-INDEX($B$11:$B$63,21))*(1-E153))</f>
        <v/>
      </c>
      <c r="AH154" s="15">
        <f>MAX(0,AG153*(1-INDEX($B$11:$B$63,22))*(1-E153))</f>
        <v/>
      </c>
      <c r="AI154" s="15">
        <f>MAX(0,AH153*(1-INDEX($B$11:$B$63,23))*(1-E153))</f>
        <v/>
      </c>
      <c r="AJ154" s="15">
        <f>MAX(0,AI153*(1-INDEX($B$11:$B$63,24))*(1-E153))</f>
        <v/>
      </c>
      <c r="AK154" s="15">
        <f>MAX(0,AJ153*(1-INDEX($B$11:$B$63,25))*(1-E153))</f>
        <v/>
      </c>
      <c r="AL154" s="15">
        <f>MAX(0,AK153*(1-INDEX($B$11:$B$63,26))*(1-E153))</f>
        <v/>
      </c>
      <c r="AM154" s="15">
        <f>MAX(0,AL153*(1-INDEX($B$11:$B$63,27))*(1-E153))</f>
        <v/>
      </c>
      <c r="AN154" s="15">
        <f>MAX(0,AM153*(1-INDEX($B$11:$B$63,28))*(1-E153))</f>
        <v/>
      </c>
      <c r="AO154" s="15">
        <f>MAX(0,AN153*(1-INDEX($B$11:$B$63,29))*(1-E153))</f>
        <v/>
      </c>
      <c r="AP154" s="15">
        <f>MAX(0,AO153*(1-INDEX($B$11:$B$63,30))*(1-E153))</f>
        <v/>
      </c>
      <c r="AQ154" s="15">
        <f>MAX(0,AP153*(1-INDEX($B$11:$B$63,31))*(1-E153))</f>
        <v/>
      </c>
      <c r="AR154" s="15">
        <f>MAX(0,AQ153*(1-INDEX($B$11:$B$63,32))*(1-E153))</f>
        <v/>
      </c>
      <c r="AS154" s="15">
        <f>MAX(0,AR153*(1-INDEX($B$11:$B$63,33))*(1-E153))</f>
        <v/>
      </c>
      <c r="AT154" s="15">
        <f>MAX(0,AS153*(1-INDEX($B$11:$B$63,34))*(1-E153))</f>
        <v/>
      </c>
      <c r="AU154" s="15">
        <f>MAX(0,AT153*(1-INDEX($B$11:$B$63,35))*(1-E153))</f>
        <v/>
      </c>
      <c r="AV154" s="15">
        <f>MAX(0,AU153*(1-INDEX($B$11:$B$63,36))*(1-E153))</f>
        <v/>
      </c>
      <c r="AW154" s="15">
        <f>MAX(0,AV153*(1-INDEX($B$11:$B$63,37))*(1-E153))</f>
        <v/>
      </c>
      <c r="AX154" s="15">
        <f>MAX(0,AW153*(1-INDEX($B$11:$B$63,38))*(1-E153))</f>
        <v/>
      </c>
      <c r="AY154" s="15">
        <f>MAX(0,AX153*(1-INDEX($B$11:$B$63,39))*(1-E153))</f>
        <v/>
      </c>
      <c r="AZ154" s="15">
        <f>MAX(0,AY153*(1-INDEX($B$11:$B$63,40))*(1-E153))</f>
        <v/>
      </c>
      <c r="BA154" s="15">
        <f>MAX(0,AZ153*(1-INDEX($B$11:$B$63,41))*(1-E153))</f>
        <v/>
      </c>
      <c r="BB154" s="15">
        <f>MAX(0,BA153*(1-INDEX($B$11:$B$63,42))*(1-E153))</f>
        <v/>
      </c>
      <c r="BC154" s="15">
        <f>MAX(0,BB153*(1-INDEX($B$11:$B$63,43))*(1-E153))</f>
        <v/>
      </c>
      <c r="BD154" s="15">
        <f>MAX(0,BC153*(1-INDEX($B$11:$B$63,44))*(1-E153))</f>
        <v/>
      </c>
      <c r="BE154" s="15">
        <f>MAX(0,BD153*(1-INDEX($B$11:$B$63,45))*(1-E153))</f>
        <v/>
      </c>
      <c r="BF154" s="15">
        <f>MAX(0,BE153*(1-INDEX($B$11:$B$63,46))*(1-E153))</f>
        <v/>
      </c>
      <c r="BG154" s="15">
        <f>MAX(0,BF153*(1-INDEX($B$11:$B$63,47))*(1-E153))</f>
        <v/>
      </c>
      <c r="BH154" s="15">
        <f>MAX(0,BG153*(1-INDEX($B$11:$B$63,48))*(1-E153))</f>
        <v/>
      </c>
      <c r="BI154" s="15">
        <f>MAX(0,BH153*(1-INDEX($B$11:$B$63,49))*(1-E153))</f>
        <v/>
      </c>
      <c r="BJ154" s="15">
        <f>MAX(0,BI153*(1-INDEX($B$11:$B$63,50))*(1-E153))</f>
        <v/>
      </c>
      <c r="BK154" s="15">
        <f>MAX(0,BJ153*(1-INDEX($B$11:$B$63,51))*(1-E153))</f>
        <v/>
      </c>
      <c r="BL154" s="15">
        <f>MAX(0,(BL153+BK153)*(1-INDEX($B$11:$B$63,53))*(1-E153))</f>
        <v/>
      </c>
    </row>
    <row r="155">
      <c r="A155" s="55" t="n">
        <v>89</v>
      </c>
      <c r="B155" s="15">
        <f>IF(A155&gt;Inputs!$C$62,"",SUM(M155:BK155))</f>
        <v/>
      </c>
      <c r="C155" s="15">
        <f>IF(A155&gt;Inputs!$C$62,"",INDEX(Trajectory!$C$23:$C$2000,A155))</f>
        <v/>
      </c>
      <c r="D155" s="15">
        <f>IF(A155&gt;Inputs!$C$62,"",SUM(L155:BK155))</f>
        <v/>
      </c>
      <c r="E155" s="12">
        <f>IF(A155&gt;Inputs!$C$62,"",INDEX(Trajectory!$AG$23:$AG$2000,A155))</f>
        <v/>
      </c>
      <c r="F155" s="12">
        <f>IF(D155=0,0,SUMPRODUCT(L155:BK155,$B$11:$B$63)/D155)</f>
        <v/>
      </c>
      <c r="G155" s="12">
        <f>IF(D155=0,0,MIN(0.95,1-(1-F155)*(1-E155)))</f>
        <v/>
      </c>
      <c r="H155" s="15">
        <f>IF(D155=0,0,D155*G155)</f>
        <v/>
      </c>
      <c r="I155" s="15">
        <f>IF(D155=0,0,D155-H155)</f>
        <v/>
      </c>
      <c r="L155" s="15">
        <f>C155</f>
        <v/>
      </c>
      <c r="M155" s="15">
        <f>MAX(0,L154*(1-INDEX($B$11:$B$63,1))*(1-E154))</f>
        <v/>
      </c>
      <c r="N155" s="15">
        <f>MAX(0,M154*(1-INDEX($B$11:$B$63,2))*(1-E154))</f>
        <v/>
      </c>
      <c r="O155" s="15">
        <f>MAX(0,N154*(1-INDEX($B$11:$B$63,3))*(1-E154))</f>
        <v/>
      </c>
      <c r="P155" s="15">
        <f>MAX(0,O154*(1-INDEX($B$11:$B$63,4))*(1-E154))</f>
        <v/>
      </c>
      <c r="Q155" s="15">
        <f>MAX(0,P154*(1-INDEX($B$11:$B$63,5))*(1-E154))</f>
        <v/>
      </c>
      <c r="R155" s="15">
        <f>MAX(0,Q154*(1-INDEX($B$11:$B$63,6))*(1-E154))</f>
        <v/>
      </c>
      <c r="S155" s="15">
        <f>MAX(0,R154*(1-INDEX($B$11:$B$63,7))*(1-E154))</f>
        <v/>
      </c>
      <c r="T155" s="15">
        <f>MAX(0,S154*(1-INDEX($B$11:$B$63,8))*(1-E154))</f>
        <v/>
      </c>
      <c r="U155" s="15">
        <f>MAX(0,T154*(1-INDEX($B$11:$B$63,9))*(1-E154))</f>
        <v/>
      </c>
      <c r="V155" s="15">
        <f>MAX(0,U154*(1-INDEX($B$11:$B$63,10))*(1-E154))</f>
        <v/>
      </c>
      <c r="W155" s="15">
        <f>MAX(0,V154*(1-INDEX($B$11:$B$63,11))*(1-E154))</f>
        <v/>
      </c>
      <c r="X155" s="15">
        <f>MAX(0,W154*(1-INDEX($B$11:$B$63,12))*(1-E154))</f>
        <v/>
      </c>
      <c r="Y155" s="15">
        <f>MAX(0,X154*(1-INDEX($B$11:$B$63,13))*(1-E154))</f>
        <v/>
      </c>
      <c r="Z155" s="15">
        <f>MAX(0,Y154*(1-INDEX($B$11:$B$63,14))*(1-E154))</f>
        <v/>
      </c>
      <c r="AA155" s="15">
        <f>MAX(0,Z154*(1-INDEX($B$11:$B$63,15))*(1-E154))</f>
        <v/>
      </c>
      <c r="AB155" s="15">
        <f>MAX(0,AA154*(1-INDEX($B$11:$B$63,16))*(1-E154))</f>
        <v/>
      </c>
      <c r="AC155" s="15">
        <f>MAX(0,AB154*(1-INDEX($B$11:$B$63,17))*(1-E154))</f>
        <v/>
      </c>
      <c r="AD155" s="15">
        <f>MAX(0,AC154*(1-INDEX($B$11:$B$63,18))*(1-E154))</f>
        <v/>
      </c>
      <c r="AE155" s="15">
        <f>MAX(0,AD154*(1-INDEX($B$11:$B$63,19))*(1-E154))</f>
        <v/>
      </c>
      <c r="AF155" s="15">
        <f>MAX(0,AE154*(1-INDEX($B$11:$B$63,20))*(1-E154))</f>
        <v/>
      </c>
      <c r="AG155" s="15">
        <f>MAX(0,AF154*(1-INDEX($B$11:$B$63,21))*(1-E154))</f>
        <v/>
      </c>
      <c r="AH155" s="15">
        <f>MAX(0,AG154*(1-INDEX($B$11:$B$63,22))*(1-E154))</f>
        <v/>
      </c>
      <c r="AI155" s="15">
        <f>MAX(0,AH154*(1-INDEX($B$11:$B$63,23))*(1-E154))</f>
        <v/>
      </c>
      <c r="AJ155" s="15">
        <f>MAX(0,AI154*(1-INDEX($B$11:$B$63,24))*(1-E154))</f>
        <v/>
      </c>
      <c r="AK155" s="15">
        <f>MAX(0,AJ154*(1-INDEX($B$11:$B$63,25))*(1-E154))</f>
        <v/>
      </c>
      <c r="AL155" s="15">
        <f>MAX(0,AK154*(1-INDEX($B$11:$B$63,26))*(1-E154))</f>
        <v/>
      </c>
      <c r="AM155" s="15">
        <f>MAX(0,AL154*(1-INDEX($B$11:$B$63,27))*(1-E154))</f>
        <v/>
      </c>
      <c r="AN155" s="15">
        <f>MAX(0,AM154*(1-INDEX($B$11:$B$63,28))*(1-E154))</f>
        <v/>
      </c>
      <c r="AO155" s="15">
        <f>MAX(0,AN154*(1-INDEX($B$11:$B$63,29))*(1-E154))</f>
        <v/>
      </c>
      <c r="AP155" s="15">
        <f>MAX(0,AO154*(1-INDEX($B$11:$B$63,30))*(1-E154))</f>
        <v/>
      </c>
      <c r="AQ155" s="15">
        <f>MAX(0,AP154*(1-INDEX($B$11:$B$63,31))*(1-E154))</f>
        <v/>
      </c>
      <c r="AR155" s="15">
        <f>MAX(0,AQ154*(1-INDEX($B$11:$B$63,32))*(1-E154))</f>
        <v/>
      </c>
      <c r="AS155" s="15">
        <f>MAX(0,AR154*(1-INDEX($B$11:$B$63,33))*(1-E154))</f>
        <v/>
      </c>
      <c r="AT155" s="15">
        <f>MAX(0,AS154*(1-INDEX($B$11:$B$63,34))*(1-E154))</f>
        <v/>
      </c>
      <c r="AU155" s="15">
        <f>MAX(0,AT154*(1-INDEX($B$11:$B$63,35))*(1-E154))</f>
        <v/>
      </c>
      <c r="AV155" s="15">
        <f>MAX(0,AU154*(1-INDEX($B$11:$B$63,36))*(1-E154))</f>
        <v/>
      </c>
      <c r="AW155" s="15">
        <f>MAX(0,AV154*(1-INDEX($B$11:$B$63,37))*(1-E154))</f>
        <v/>
      </c>
      <c r="AX155" s="15">
        <f>MAX(0,AW154*(1-INDEX($B$11:$B$63,38))*(1-E154))</f>
        <v/>
      </c>
      <c r="AY155" s="15">
        <f>MAX(0,AX154*(1-INDEX($B$11:$B$63,39))*(1-E154))</f>
        <v/>
      </c>
      <c r="AZ155" s="15">
        <f>MAX(0,AY154*(1-INDEX($B$11:$B$63,40))*(1-E154))</f>
        <v/>
      </c>
      <c r="BA155" s="15">
        <f>MAX(0,AZ154*(1-INDEX($B$11:$B$63,41))*(1-E154))</f>
        <v/>
      </c>
      <c r="BB155" s="15">
        <f>MAX(0,BA154*(1-INDEX($B$11:$B$63,42))*(1-E154))</f>
        <v/>
      </c>
      <c r="BC155" s="15">
        <f>MAX(0,BB154*(1-INDEX($B$11:$B$63,43))*(1-E154))</f>
        <v/>
      </c>
      <c r="BD155" s="15">
        <f>MAX(0,BC154*(1-INDEX($B$11:$B$63,44))*(1-E154))</f>
        <v/>
      </c>
      <c r="BE155" s="15">
        <f>MAX(0,BD154*(1-INDEX($B$11:$B$63,45))*(1-E154))</f>
        <v/>
      </c>
      <c r="BF155" s="15">
        <f>MAX(0,BE154*(1-INDEX($B$11:$B$63,46))*(1-E154))</f>
        <v/>
      </c>
      <c r="BG155" s="15">
        <f>MAX(0,BF154*(1-INDEX($B$11:$B$63,47))*(1-E154))</f>
        <v/>
      </c>
      <c r="BH155" s="15">
        <f>MAX(0,BG154*(1-INDEX($B$11:$B$63,48))*(1-E154))</f>
        <v/>
      </c>
      <c r="BI155" s="15">
        <f>MAX(0,BH154*(1-INDEX($B$11:$B$63,49))*(1-E154))</f>
        <v/>
      </c>
      <c r="BJ155" s="15">
        <f>MAX(0,BI154*(1-INDEX($B$11:$B$63,50))*(1-E154))</f>
        <v/>
      </c>
      <c r="BK155" s="15">
        <f>MAX(0,BJ154*(1-INDEX($B$11:$B$63,51))*(1-E154))</f>
        <v/>
      </c>
      <c r="BL155" s="15">
        <f>MAX(0,(BL154+BK154)*(1-INDEX($B$11:$B$63,53))*(1-E154))</f>
        <v/>
      </c>
    </row>
    <row r="156">
      <c r="A156" s="55" t="n">
        <v>90</v>
      </c>
      <c r="B156" s="15">
        <f>IF(A156&gt;Inputs!$C$62,"",SUM(M156:BK156))</f>
        <v/>
      </c>
      <c r="C156" s="15">
        <f>IF(A156&gt;Inputs!$C$62,"",INDEX(Trajectory!$C$23:$C$2000,A156))</f>
        <v/>
      </c>
      <c r="D156" s="15">
        <f>IF(A156&gt;Inputs!$C$62,"",SUM(L156:BK156))</f>
        <v/>
      </c>
      <c r="E156" s="12">
        <f>IF(A156&gt;Inputs!$C$62,"",INDEX(Trajectory!$AG$23:$AG$2000,A156))</f>
        <v/>
      </c>
      <c r="F156" s="12">
        <f>IF(D156=0,0,SUMPRODUCT(L156:BK156,$B$11:$B$63)/D156)</f>
        <v/>
      </c>
      <c r="G156" s="12">
        <f>IF(D156=0,0,MIN(0.95,1-(1-F156)*(1-E156)))</f>
        <v/>
      </c>
      <c r="H156" s="15">
        <f>IF(D156=0,0,D156*G156)</f>
        <v/>
      </c>
      <c r="I156" s="15">
        <f>IF(D156=0,0,D156-H156)</f>
        <v/>
      </c>
      <c r="L156" s="15">
        <f>C156</f>
        <v/>
      </c>
      <c r="M156" s="15">
        <f>MAX(0,L155*(1-INDEX($B$11:$B$63,1))*(1-E155))</f>
        <v/>
      </c>
      <c r="N156" s="15">
        <f>MAX(0,M155*(1-INDEX($B$11:$B$63,2))*(1-E155))</f>
        <v/>
      </c>
      <c r="O156" s="15">
        <f>MAX(0,N155*(1-INDEX($B$11:$B$63,3))*(1-E155))</f>
        <v/>
      </c>
      <c r="P156" s="15">
        <f>MAX(0,O155*(1-INDEX($B$11:$B$63,4))*(1-E155))</f>
        <v/>
      </c>
      <c r="Q156" s="15">
        <f>MAX(0,P155*(1-INDEX($B$11:$B$63,5))*(1-E155))</f>
        <v/>
      </c>
      <c r="R156" s="15">
        <f>MAX(0,Q155*(1-INDEX($B$11:$B$63,6))*(1-E155))</f>
        <v/>
      </c>
      <c r="S156" s="15">
        <f>MAX(0,R155*(1-INDEX($B$11:$B$63,7))*(1-E155))</f>
        <v/>
      </c>
      <c r="T156" s="15">
        <f>MAX(0,S155*(1-INDEX($B$11:$B$63,8))*(1-E155))</f>
        <v/>
      </c>
      <c r="U156" s="15">
        <f>MAX(0,T155*(1-INDEX($B$11:$B$63,9))*(1-E155))</f>
        <v/>
      </c>
      <c r="V156" s="15">
        <f>MAX(0,U155*(1-INDEX($B$11:$B$63,10))*(1-E155))</f>
        <v/>
      </c>
      <c r="W156" s="15">
        <f>MAX(0,V155*(1-INDEX($B$11:$B$63,11))*(1-E155))</f>
        <v/>
      </c>
      <c r="X156" s="15">
        <f>MAX(0,W155*(1-INDEX($B$11:$B$63,12))*(1-E155))</f>
        <v/>
      </c>
      <c r="Y156" s="15">
        <f>MAX(0,X155*(1-INDEX($B$11:$B$63,13))*(1-E155))</f>
        <v/>
      </c>
      <c r="Z156" s="15">
        <f>MAX(0,Y155*(1-INDEX($B$11:$B$63,14))*(1-E155))</f>
        <v/>
      </c>
      <c r="AA156" s="15">
        <f>MAX(0,Z155*(1-INDEX($B$11:$B$63,15))*(1-E155))</f>
        <v/>
      </c>
      <c r="AB156" s="15">
        <f>MAX(0,AA155*(1-INDEX($B$11:$B$63,16))*(1-E155))</f>
        <v/>
      </c>
      <c r="AC156" s="15">
        <f>MAX(0,AB155*(1-INDEX($B$11:$B$63,17))*(1-E155))</f>
        <v/>
      </c>
      <c r="AD156" s="15">
        <f>MAX(0,AC155*(1-INDEX($B$11:$B$63,18))*(1-E155))</f>
        <v/>
      </c>
      <c r="AE156" s="15">
        <f>MAX(0,AD155*(1-INDEX($B$11:$B$63,19))*(1-E155))</f>
        <v/>
      </c>
      <c r="AF156" s="15">
        <f>MAX(0,AE155*(1-INDEX($B$11:$B$63,20))*(1-E155))</f>
        <v/>
      </c>
      <c r="AG156" s="15">
        <f>MAX(0,AF155*(1-INDEX($B$11:$B$63,21))*(1-E155))</f>
        <v/>
      </c>
      <c r="AH156" s="15">
        <f>MAX(0,AG155*(1-INDEX($B$11:$B$63,22))*(1-E155))</f>
        <v/>
      </c>
      <c r="AI156" s="15">
        <f>MAX(0,AH155*(1-INDEX($B$11:$B$63,23))*(1-E155))</f>
        <v/>
      </c>
      <c r="AJ156" s="15">
        <f>MAX(0,AI155*(1-INDEX($B$11:$B$63,24))*(1-E155))</f>
        <v/>
      </c>
      <c r="AK156" s="15">
        <f>MAX(0,AJ155*(1-INDEX($B$11:$B$63,25))*(1-E155))</f>
        <v/>
      </c>
      <c r="AL156" s="15">
        <f>MAX(0,AK155*(1-INDEX($B$11:$B$63,26))*(1-E155))</f>
        <v/>
      </c>
      <c r="AM156" s="15">
        <f>MAX(0,AL155*(1-INDEX($B$11:$B$63,27))*(1-E155))</f>
        <v/>
      </c>
      <c r="AN156" s="15">
        <f>MAX(0,AM155*(1-INDEX($B$11:$B$63,28))*(1-E155))</f>
        <v/>
      </c>
      <c r="AO156" s="15">
        <f>MAX(0,AN155*(1-INDEX($B$11:$B$63,29))*(1-E155))</f>
        <v/>
      </c>
      <c r="AP156" s="15">
        <f>MAX(0,AO155*(1-INDEX($B$11:$B$63,30))*(1-E155))</f>
        <v/>
      </c>
      <c r="AQ156" s="15">
        <f>MAX(0,AP155*(1-INDEX($B$11:$B$63,31))*(1-E155))</f>
        <v/>
      </c>
      <c r="AR156" s="15">
        <f>MAX(0,AQ155*(1-INDEX($B$11:$B$63,32))*(1-E155))</f>
        <v/>
      </c>
      <c r="AS156" s="15">
        <f>MAX(0,AR155*(1-INDEX($B$11:$B$63,33))*(1-E155))</f>
        <v/>
      </c>
      <c r="AT156" s="15">
        <f>MAX(0,AS155*(1-INDEX($B$11:$B$63,34))*(1-E155))</f>
        <v/>
      </c>
      <c r="AU156" s="15">
        <f>MAX(0,AT155*(1-INDEX($B$11:$B$63,35))*(1-E155))</f>
        <v/>
      </c>
      <c r="AV156" s="15">
        <f>MAX(0,AU155*(1-INDEX($B$11:$B$63,36))*(1-E155))</f>
        <v/>
      </c>
      <c r="AW156" s="15">
        <f>MAX(0,AV155*(1-INDEX($B$11:$B$63,37))*(1-E155))</f>
        <v/>
      </c>
      <c r="AX156" s="15">
        <f>MAX(0,AW155*(1-INDEX($B$11:$B$63,38))*(1-E155))</f>
        <v/>
      </c>
      <c r="AY156" s="15">
        <f>MAX(0,AX155*(1-INDEX($B$11:$B$63,39))*(1-E155))</f>
        <v/>
      </c>
      <c r="AZ156" s="15">
        <f>MAX(0,AY155*(1-INDEX($B$11:$B$63,40))*(1-E155))</f>
        <v/>
      </c>
      <c r="BA156" s="15">
        <f>MAX(0,AZ155*(1-INDEX($B$11:$B$63,41))*(1-E155))</f>
        <v/>
      </c>
      <c r="BB156" s="15">
        <f>MAX(0,BA155*(1-INDEX($B$11:$B$63,42))*(1-E155))</f>
        <v/>
      </c>
      <c r="BC156" s="15">
        <f>MAX(0,BB155*(1-INDEX($B$11:$B$63,43))*(1-E155))</f>
        <v/>
      </c>
      <c r="BD156" s="15">
        <f>MAX(0,BC155*(1-INDEX($B$11:$B$63,44))*(1-E155))</f>
        <v/>
      </c>
      <c r="BE156" s="15">
        <f>MAX(0,BD155*(1-INDEX($B$11:$B$63,45))*(1-E155))</f>
        <v/>
      </c>
      <c r="BF156" s="15">
        <f>MAX(0,BE155*(1-INDEX($B$11:$B$63,46))*(1-E155))</f>
        <v/>
      </c>
      <c r="BG156" s="15">
        <f>MAX(0,BF155*(1-INDEX($B$11:$B$63,47))*(1-E155))</f>
        <v/>
      </c>
      <c r="BH156" s="15">
        <f>MAX(0,BG155*(1-INDEX($B$11:$B$63,48))*(1-E155))</f>
        <v/>
      </c>
      <c r="BI156" s="15">
        <f>MAX(0,BH155*(1-INDEX($B$11:$B$63,49))*(1-E155))</f>
        <v/>
      </c>
      <c r="BJ156" s="15">
        <f>MAX(0,BI155*(1-INDEX($B$11:$B$63,50))*(1-E155))</f>
        <v/>
      </c>
      <c r="BK156" s="15">
        <f>MAX(0,BJ155*(1-INDEX($B$11:$B$63,51))*(1-E155))</f>
        <v/>
      </c>
      <c r="BL156" s="15">
        <f>MAX(0,(BL155+BK155)*(1-INDEX($B$11:$B$63,53))*(1-E155))</f>
        <v/>
      </c>
    </row>
    <row r="157">
      <c r="A157" s="55" t="n">
        <v>91</v>
      </c>
      <c r="B157" s="15">
        <f>IF(A157&gt;Inputs!$C$62,"",SUM(M157:BK157))</f>
        <v/>
      </c>
      <c r="C157" s="15">
        <f>IF(A157&gt;Inputs!$C$62,"",INDEX(Trajectory!$C$23:$C$2000,A157))</f>
        <v/>
      </c>
      <c r="D157" s="15">
        <f>IF(A157&gt;Inputs!$C$62,"",SUM(L157:BK157))</f>
        <v/>
      </c>
      <c r="E157" s="12">
        <f>IF(A157&gt;Inputs!$C$62,"",INDEX(Trajectory!$AG$23:$AG$2000,A157))</f>
        <v/>
      </c>
      <c r="F157" s="12">
        <f>IF(D157=0,0,SUMPRODUCT(L157:BK157,$B$11:$B$63)/D157)</f>
        <v/>
      </c>
      <c r="G157" s="12">
        <f>IF(D157=0,0,MIN(0.95,1-(1-F157)*(1-E157)))</f>
        <v/>
      </c>
      <c r="H157" s="15">
        <f>IF(D157=0,0,D157*G157)</f>
        <v/>
      </c>
      <c r="I157" s="15">
        <f>IF(D157=0,0,D157-H157)</f>
        <v/>
      </c>
      <c r="L157" s="15">
        <f>C157</f>
        <v/>
      </c>
      <c r="M157" s="15">
        <f>MAX(0,L156*(1-INDEX($B$11:$B$63,1))*(1-E156))</f>
        <v/>
      </c>
      <c r="N157" s="15">
        <f>MAX(0,M156*(1-INDEX($B$11:$B$63,2))*(1-E156))</f>
        <v/>
      </c>
      <c r="O157" s="15">
        <f>MAX(0,N156*(1-INDEX($B$11:$B$63,3))*(1-E156))</f>
        <v/>
      </c>
      <c r="P157" s="15">
        <f>MAX(0,O156*(1-INDEX($B$11:$B$63,4))*(1-E156))</f>
        <v/>
      </c>
      <c r="Q157" s="15">
        <f>MAX(0,P156*(1-INDEX($B$11:$B$63,5))*(1-E156))</f>
        <v/>
      </c>
      <c r="R157" s="15">
        <f>MAX(0,Q156*(1-INDEX($B$11:$B$63,6))*(1-E156))</f>
        <v/>
      </c>
      <c r="S157" s="15">
        <f>MAX(0,R156*(1-INDEX($B$11:$B$63,7))*(1-E156))</f>
        <v/>
      </c>
      <c r="T157" s="15">
        <f>MAX(0,S156*(1-INDEX($B$11:$B$63,8))*(1-E156))</f>
        <v/>
      </c>
      <c r="U157" s="15">
        <f>MAX(0,T156*(1-INDEX($B$11:$B$63,9))*(1-E156))</f>
        <v/>
      </c>
      <c r="V157" s="15">
        <f>MAX(0,U156*(1-INDEX($B$11:$B$63,10))*(1-E156))</f>
        <v/>
      </c>
      <c r="W157" s="15">
        <f>MAX(0,V156*(1-INDEX($B$11:$B$63,11))*(1-E156))</f>
        <v/>
      </c>
      <c r="X157" s="15">
        <f>MAX(0,W156*(1-INDEX($B$11:$B$63,12))*(1-E156))</f>
        <v/>
      </c>
      <c r="Y157" s="15">
        <f>MAX(0,X156*(1-INDEX($B$11:$B$63,13))*(1-E156))</f>
        <v/>
      </c>
      <c r="Z157" s="15">
        <f>MAX(0,Y156*(1-INDEX($B$11:$B$63,14))*(1-E156))</f>
        <v/>
      </c>
      <c r="AA157" s="15">
        <f>MAX(0,Z156*(1-INDEX($B$11:$B$63,15))*(1-E156))</f>
        <v/>
      </c>
      <c r="AB157" s="15">
        <f>MAX(0,AA156*(1-INDEX($B$11:$B$63,16))*(1-E156))</f>
        <v/>
      </c>
      <c r="AC157" s="15">
        <f>MAX(0,AB156*(1-INDEX($B$11:$B$63,17))*(1-E156))</f>
        <v/>
      </c>
      <c r="AD157" s="15">
        <f>MAX(0,AC156*(1-INDEX($B$11:$B$63,18))*(1-E156))</f>
        <v/>
      </c>
      <c r="AE157" s="15">
        <f>MAX(0,AD156*(1-INDEX($B$11:$B$63,19))*(1-E156))</f>
        <v/>
      </c>
      <c r="AF157" s="15">
        <f>MAX(0,AE156*(1-INDEX($B$11:$B$63,20))*(1-E156))</f>
        <v/>
      </c>
      <c r="AG157" s="15">
        <f>MAX(0,AF156*(1-INDEX($B$11:$B$63,21))*(1-E156))</f>
        <v/>
      </c>
      <c r="AH157" s="15">
        <f>MAX(0,AG156*(1-INDEX($B$11:$B$63,22))*(1-E156))</f>
        <v/>
      </c>
      <c r="AI157" s="15">
        <f>MAX(0,AH156*(1-INDEX($B$11:$B$63,23))*(1-E156))</f>
        <v/>
      </c>
      <c r="AJ157" s="15">
        <f>MAX(0,AI156*(1-INDEX($B$11:$B$63,24))*(1-E156))</f>
        <v/>
      </c>
      <c r="AK157" s="15">
        <f>MAX(0,AJ156*(1-INDEX($B$11:$B$63,25))*(1-E156))</f>
        <v/>
      </c>
      <c r="AL157" s="15">
        <f>MAX(0,AK156*(1-INDEX($B$11:$B$63,26))*(1-E156))</f>
        <v/>
      </c>
      <c r="AM157" s="15">
        <f>MAX(0,AL156*(1-INDEX($B$11:$B$63,27))*(1-E156))</f>
        <v/>
      </c>
      <c r="AN157" s="15">
        <f>MAX(0,AM156*(1-INDEX($B$11:$B$63,28))*(1-E156))</f>
        <v/>
      </c>
      <c r="AO157" s="15">
        <f>MAX(0,AN156*(1-INDEX($B$11:$B$63,29))*(1-E156))</f>
        <v/>
      </c>
      <c r="AP157" s="15">
        <f>MAX(0,AO156*(1-INDEX($B$11:$B$63,30))*(1-E156))</f>
        <v/>
      </c>
      <c r="AQ157" s="15">
        <f>MAX(0,AP156*(1-INDEX($B$11:$B$63,31))*(1-E156))</f>
        <v/>
      </c>
      <c r="AR157" s="15">
        <f>MAX(0,AQ156*(1-INDEX($B$11:$B$63,32))*(1-E156))</f>
        <v/>
      </c>
      <c r="AS157" s="15">
        <f>MAX(0,AR156*(1-INDEX($B$11:$B$63,33))*(1-E156))</f>
        <v/>
      </c>
      <c r="AT157" s="15">
        <f>MAX(0,AS156*(1-INDEX($B$11:$B$63,34))*(1-E156))</f>
        <v/>
      </c>
      <c r="AU157" s="15">
        <f>MAX(0,AT156*(1-INDEX($B$11:$B$63,35))*(1-E156))</f>
        <v/>
      </c>
      <c r="AV157" s="15">
        <f>MAX(0,AU156*(1-INDEX($B$11:$B$63,36))*(1-E156))</f>
        <v/>
      </c>
      <c r="AW157" s="15">
        <f>MAX(0,AV156*(1-INDEX($B$11:$B$63,37))*(1-E156))</f>
        <v/>
      </c>
      <c r="AX157" s="15">
        <f>MAX(0,AW156*(1-INDEX($B$11:$B$63,38))*(1-E156))</f>
        <v/>
      </c>
      <c r="AY157" s="15">
        <f>MAX(0,AX156*(1-INDEX($B$11:$B$63,39))*(1-E156))</f>
        <v/>
      </c>
      <c r="AZ157" s="15">
        <f>MAX(0,AY156*(1-INDEX($B$11:$B$63,40))*(1-E156))</f>
        <v/>
      </c>
      <c r="BA157" s="15">
        <f>MAX(0,AZ156*(1-INDEX($B$11:$B$63,41))*(1-E156))</f>
        <v/>
      </c>
      <c r="BB157" s="15">
        <f>MAX(0,BA156*(1-INDEX($B$11:$B$63,42))*(1-E156))</f>
        <v/>
      </c>
      <c r="BC157" s="15">
        <f>MAX(0,BB156*(1-INDEX($B$11:$B$63,43))*(1-E156))</f>
        <v/>
      </c>
      <c r="BD157" s="15">
        <f>MAX(0,BC156*(1-INDEX($B$11:$B$63,44))*(1-E156))</f>
        <v/>
      </c>
      <c r="BE157" s="15">
        <f>MAX(0,BD156*(1-INDEX($B$11:$B$63,45))*(1-E156))</f>
        <v/>
      </c>
      <c r="BF157" s="15">
        <f>MAX(0,BE156*(1-INDEX($B$11:$B$63,46))*(1-E156))</f>
        <v/>
      </c>
      <c r="BG157" s="15">
        <f>MAX(0,BF156*(1-INDEX($B$11:$B$63,47))*(1-E156))</f>
        <v/>
      </c>
      <c r="BH157" s="15">
        <f>MAX(0,BG156*(1-INDEX($B$11:$B$63,48))*(1-E156))</f>
        <v/>
      </c>
      <c r="BI157" s="15">
        <f>MAX(0,BH156*(1-INDEX($B$11:$B$63,49))*(1-E156))</f>
        <v/>
      </c>
      <c r="BJ157" s="15">
        <f>MAX(0,BI156*(1-INDEX($B$11:$B$63,50))*(1-E156))</f>
        <v/>
      </c>
      <c r="BK157" s="15">
        <f>MAX(0,BJ156*(1-INDEX($B$11:$B$63,51))*(1-E156))</f>
        <v/>
      </c>
      <c r="BL157" s="15">
        <f>MAX(0,(BL156+BK156)*(1-INDEX($B$11:$B$63,53))*(1-E156))</f>
        <v/>
      </c>
    </row>
    <row r="158">
      <c r="A158" s="55" t="n">
        <v>92</v>
      </c>
      <c r="B158" s="15">
        <f>IF(A158&gt;Inputs!$C$62,"",SUM(M158:BK158))</f>
        <v/>
      </c>
      <c r="C158" s="15">
        <f>IF(A158&gt;Inputs!$C$62,"",INDEX(Trajectory!$C$23:$C$2000,A158))</f>
        <v/>
      </c>
      <c r="D158" s="15">
        <f>IF(A158&gt;Inputs!$C$62,"",SUM(L158:BK158))</f>
        <v/>
      </c>
      <c r="E158" s="12">
        <f>IF(A158&gt;Inputs!$C$62,"",INDEX(Trajectory!$AG$23:$AG$2000,A158))</f>
        <v/>
      </c>
      <c r="F158" s="12">
        <f>IF(D158=0,0,SUMPRODUCT(L158:BK158,$B$11:$B$63)/D158)</f>
        <v/>
      </c>
      <c r="G158" s="12">
        <f>IF(D158=0,0,MIN(0.95,1-(1-F158)*(1-E158)))</f>
        <v/>
      </c>
      <c r="H158" s="15">
        <f>IF(D158=0,0,D158*G158)</f>
        <v/>
      </c>
      <c r="I158" s="15">
        <f>IF(D158=0,0,D158-H158)</f>
        <v/>
      </c>
      <c r="L158" s="15">
        <f>C158</f>
        <v/>
      </c>
      <c r="M158" s="15">
        <f>MAX(0,L157*(1-INDEX($B$11:$B$63,1))*(1-E157))</f>
        <v/>
      </c>
      <c r="N158" s="15">
        <f>MAX(0,M157*(1-INDEX($B$11:$B$63,2))*(1-E157))</f>
        <v/>
      </c>
      <c r="O158" s="15">
        <f>MAX(0,N157*(1-INDEX($B$11:$B$63,3))*(1-E157))</f>
        <v/>
      </c>
      <c r="P158" s="15">
        <f>MAX(0,O157*(1-INDEX($B$11:$B$63,4))*(1-E157))</f>
        <v/>
      </c>
      <c r="Q158" s="15">
        <f>MAX(0,P157*(1-INDEX($B$11:$B$63,5))*(1-E157))</f>
        <v/>
      </c>
      <c r="R158" s="15">
        <f>MAX(0,Q157*(1-INDEX($B$11:$B$63,6))*(1-E157))</f>
        <v/>
      </c>
      <c r="S158" s="15">
        <f>MAX(0,R157*(1-INDEX($B$11:$B$63,7))*(1-E157))</f>
        <v/>
      </c>
      <c r="T158" s="15">
        <f>MAX(0,S157*(1-INDEX($B$11:$B$63,8))*(1-E157))</f>
        <v/>
      </c>
      <c r="U158" s="15">
        <f>MAX(0,T157*(1-INDEX($B$11:$B$63,9))*(1-E157))</f>
        <v/>
      </c>
      <c r="V158" s="15">
        <f>MAX(0,U157*(1-INDEX($B$11:$B$63,10))*(1-E157))</f>
        <v/>
      </c>
      <c r="W158" s="15">
        <f>MAX(0,V157*(1-INDEX($B$11:$B$63,11))*(1-E157))</f>
        <v/>
      </c>
      <c r="X158" s="15">
        <f>MAX(0,W157*(1-INDEX($B$11:$B$63,12))*(1-E157))</f>
        <v/>
      </c>
      <c r="Y158" s="15">
        <f>MAX(0,X157*(1-INDEX($B$11:$B$63,13))*(1-E157))</f>
        <v/>
      </c>
      <c r="Z158" s="15">
        <f>MAX(0,Y157*(1-INDEX($B$11:$B$63,14))*(1-E157))</f>
        <v/>
      </c>
      <c r="AA158" s="15">
        <f>MAX(0,Z157*(1-INDEX($B$11:$B$63,15))*(1-E157))</f>
        <v/>
      </c>
      <c r="AB158" s="15">
        <f>MAX(0,AA157*(1-INDEX($B$11:$B$63,16))*(1-E157))</f>
        <v/>
      </c>
      <c r="AC158" s="15">
        <f>MAX(0,AB157*(1-INDEX($B$11:$B$63,17))*(1-E157))</f>
        <v/>
      </c>
      <c r="AD158" s="15">
        <f>MAX(0,AC157*(1-INDEX($B$11:$B$63,18))*(1-E157))</f>
        <v/>
      </c>
      <c r="AE158" s="15">
        <f>MAX(0,AD157*(1-INDEX($B$11:$B$63,19))*(1-E157))</f>
        <v/>
      </c>
      <c r="AF158" s="15">
        <f>MAX(0,AE157*(1-INDEX($B$11:$B$63,20))*(1-E157))</f>
        <v/>
      </c>
      <c r="AG158" s="15">
        <f>MAX(0,AF157*(1-INDEX($B$11:$B$63,21))*(1-E157))</f>
        <v/>
      </c>
      <c r="AH158" s="15">
        <f>MAX(0,AG157*(1-INDEX($B$11:$B$63,22))*(1-E157))</f>
        <v/>
      </c>
      <c r="AI158" s="15">
        <f>MAX(0,AH157*(1-INDEX($B$11:$B$63,23))*(1-E157))</f>
        <v/>
      </c>
      <c r="AJ158" s="15">
        <f>MAX(0,AI157*(1-INDEX($B$11:$B$63,24))*(1-E157))</f>
        <v/>
      </c>
      <c r="AK158" s="15">
        <f>MAX(0,AJ157*(1-INDEX($B$11:$B$63,25))*(1-E157))</f>
        <v/>
      </c>
      <c r="AL158" s="15">
        <f>MAX(0,AK157*(1-INDEX($B$11:$B$63,26))*(1-E157))</f>
        <v/>
      </c>
      <c r="AM158" s="15">
        <f>MAX(0,AL157*(1-INDEX($B$11:$B$63,27))*(1-E157))</f>
        <v/>
      </c>
      <c r="AN158" s="15">
        <f>MAX(0,AM157*(1-INDEX($B$11:$B$63,28))*(1-E157))</f>
        <v/>
      </c>
      <c r="AO158" s="15">
        <f>MAX(0,AN157*(1-INDEX($B$11:$B$63,29))*(1-E157))</f>
        <v/>
      </c>
      <c r="AP158" s="15">
        <f>MAX(0,AO157*(1-INDEX($B$11:$B$63,30))*(1-E157))</f>
        <v/>
      </c>
      <c r="AQ158" s="15">
        <f>MAX(0,AP157*(1-INDEX($B$11:$B$63,31))*(1-E157))</f>
        <v/>
      </c>
      <c r="AR158" s="15">
        <f>MAX(0,AQ157*(1-INDEX($B$11:$B$63,32))*(1-E157))</f>
        <v/>
      </c>
      <c r="AS158" s="15">
        <f>MAX(0,AR157*(1-INDEX($B$11:$B$63,33))*(1-E157))</f>
        <v/>
      </c>
      <c r="AT158" s="15">
        <f>MAX(0,AS157*(1-INDEX($B$11:$B$63,34))*(1-E157))</f>
        <v/>
      </c>
      <c r="AU158" s="15">
        <f>MAX(0,AT157*(1-INDEX($B$11:$B$63,35))*(1-E157))</f>
        <v/>
      </c>
      <c r="AV158" s="15">
        <f>MAX(0,AU157*(1-INDEX($B$11:$B$63,36))*(1-E157))</f>
        <v/>
      </c>
      <c r="AW158" s="15">
        <f>MAX(0,AV157*(1-INDEX($B$11:$B$63,37))*(1-E157))</f>
        <v/>
      </c>
      <c r="AX158" s="15">
        <f>MAX(0,AW157*(1-INDEX($B$11:$B$63,38))*(1-E157))</f>
        <v/>
      </c>
      <c r="AY158" s="15">
        <f>MAX(0,AX157*(1-INDEX($B$11:$B$63,39))*(1-E157))</f>
        <v/>
      </c>
      <c r="AZ158" s="15">
        <f>MAX(0,AY157*(1-INDEX($B$11:$B$63,40))*(1-E157))</f>
        <v/>
      </c>
      <c r="BA158" s="15">
        <f>MAX(0,AZ157*(1-INDEX($B$11:$B$63,41))*(1-E157))</f>
        <v/>
      </c>
      <c r="BB158" s="15">
        <f>MAX(0,BA157*(1-INDEX($B$11:$B$63,42))*(1-E157))</f>
        <v/>
      </c>
      <c r="BC158" s="15">
        <f>MAX(0,BB157*(1-INDEX($B$11:$B$63,43))*(1-E157))</f>
        <v/>
      </c>
      <c r="BD158" s="15">
        <f>MAX(0,BC157*(1-INDEX($B$11:$B$63,44))*(1-E157))</f>
        <v/>
      </c>
      <c r="BE158" s="15">
        <f>MAX(0,BD157*(1-INDEX($B$11:$B$63,45))*(1-E157))</f>
        <v/>
      </c>
      <c r="BF158" s="15">
        <f>MAX(0,BE157*(1-INDEX($B$11:$B$63,46))*(1-E157))</f>
        <v/>
      </c>
      <c r="BG158" s="15">
        <f>MAX(0,BF157*(1-INDEX($B$11:$B$63,47))*(1-E157))</f>
        <v/>
      </c>
      <c r="BH158" s="15">
        <f>MAX(0,BG157*(1-INDEX($B$11:$B$63,48))*(1-E157))</f>
        <v/>
      </c>
      <c r="BI158" s="15">
        <f>MAX(0,BH157*(1-INDEX($B$11:$B$63,49))*(1-E157))</f>
        <v/>
      </c>
      <c r="BJ158" s="15">
        <f>MAX(0,BI157*(1-INDEX($B$11:$B$63,50))*(1-E157))</f>
        <v/>
      </c>
      <c r="BK158" s="15">
        <f>MAX(0,BJ157*(1-INDEX($B$11:$B$63,51))*(1-E157))</f>
        <v/>
      </c>
      <c r="BL158" s="15">
        <f>MAX(0,(BL157+BK157)*(1-INDEX($B$11:$B$63,53))*(1-E157))</f>
        <v/>
      </c>
    </row>
    <row r="159">
      <c r="A159" s="55" t="n">
        <v>93</v>
      </c>
      <c r="B159" s="15">
        <f>IF(A159&gt;Inputs!$C$62,"",SUM(M159:BK159))</f>
        <v/>
      </c>
      <c r="C159" s="15">
        <f>IF(A159&gt;Inputs!$C$62,"",INDEX(Trajectory!$C$23:$C$2000,A159))</f>
        <v/>
      </c>
      <c r="D159" s="15">
        <f>IF(A159&gt;Inputs!$C$62,"",SUM(L159:BK159))</f>
        <v/>
      </c>
      <c r="E159" s="12">
        <f>IF(A159&gt;Inputs!$C$62,"",INDEX(Trajectory!$AG$23:$AG$2000,A159))</f>
        <v/>
      </c>
      <c r="F159" s="12">
        <f>IF(D159=0,0,SUMPRODUCT(L159:BK159,$B$11:$B$63)/D159)</f>
        <v/>
      </c>
      <c r="G159" s="12">
        <f>IF(D159=0,0,MIN(0.95,1-(1-F159)*(1-E159)))</f>
        <v/>
      </c>
      <c r="H159" s="15">
        <f>IF(D159=0,0,D159*G159)</f>
        <v/>
      </c>
      <c r="I159" s="15">
        <f>IF(D159=0,0,D159-H159)</f>
        <v/>
      </c>
      <c r="L159" s="15">
        <f>C159</f>
        <v/>
      </c>
      <c r="M159" s="15">
        <f>MAX(0,L158*(1-INDEX($B$11:$B$63,1))*(1-E158))</f>
        <v/>
      </c>
      <c r="N159" s="15">
        <f>MAX(0,M158*(1-INDEX($B$11:$B$63,2))*(1-E158))</f>
        <v/>
      </c>
      <c r="O159" s="15">
        <f>MAX(0,N158*(1-INDEX($B$11:$B$63,3))*(1-E158))</f>
        <v/>
      </c>
      <c r="P159" s="15">
        <f>MAX(0,O158*(1-INDEX($B$11:$B$63,4))*(1-E158))</f>
        <v/>
      </c>
      <c r="Q159" s="15">
        <f>MAX(0,P158*(1-INDEX($B$11:$B$63,5))*(1-E158))</f>
        <v/>
      </c>
      <c r="R159" s="15">
        <f>MAX(0,Q158*(1-INDEX($B$11:$B$63,6))*(1-E158))</f>
        <v/>
      </c>
      <c r="S159" s="15">
        <f>MAX(0,R158*(1-INDEX($B$11:$B$63,7))*(1-E158))</f>
        <v/>
      </c>
      <c r="T159" s="15">
        <f>MAX(0,S158*(1-INDEX($B$11:$B$63,8))*(1-E158))</f>
        <v/>
      </c>
      <c r="U159" s="15">
        <f>MAX(0,T158*(1-INDEX($B$11:$B$63,9))*(1-E158))</f>
        <v/>
      </c>
      <c r="V159" s="15">
        <f>MAX(0,U158*(1-INDEX($B$11:$B$63,10))*(1-E158))</f>
        <v/>
      </c>
      <c r="W159" s="15">
        <f>MAX(0,V158*(1-INDEX($B$11:$B$63,11))*(1-E158))</f>
        <v/>
      </c>
      <c r="X159" s="15">
        <f>MAX(0,W158*(1-INDEX($B$11:$B$63,12))*(1-E158))</f>
        <v/>
      </c>
      <c r="Y159" s="15">
        <f>MAX(0,X158*(1-INDEX($B$11:$B$63,13))*(1-E158))</f>
        <v/>
      </c>
      <c r="Z159" s="15">
        <f>MAX(0,Y158*(1-INDEX($B$11:$B$63,14))*(1-E158))</f>
        <v/>
      </c>
      <c r="AA159" s="15">
        <f>MAX(0,Z158*(1-INDEX($B$11:$B$63,15))*(1-E158))</f>
        <v/>
      </c>
      <c r="AB159" s="15">
        <f>MAX(0,AA158*(1-INDEX($B$11:$B$63,16))*(1-E158))</f>
        <v/>
      </c>
      <c r="AC159" s="15">
        <f>MAX(0,AB158*(1-INDEX($B$11:$B$63,17))*(1-E158))</f>
        <v/>
      </c>
      <c r="AD159" s="15">
        <f>MAX(0,AC158*(1-INDEX($B$11:$B$63,18))*(1-E158))</f>
        <v/>
      </c>
      <c r="AE159" s="15">
        <f>MAX(0,AD158*(1-INDEX($B$11:$B$63,19))*(1-E158))</f>
        <v/>
      </c>
      <c r="AF159" s="15">
        <f>MAX(0,AE158*(1-INDEX($B$11:$B$63,20))*(1-E158))</f>
        <v/>
      </c>
      <c r="AG159" s="15">
        <f>MAX(0,AF158*(1-INDEX($B$11:$B$63,21))*(1-E158))</f>
        <v/>
      </c>
      <c r="AH159" s="15">
        <f>MAX(0,AG158*(1-INDEX($B$11:$B$63,22))*(1-E158))</f>
        <v/>
      </c>
      <c r="AI159" s="15">
        <f>MAX(0,AH158*(1-INDEX($B$11:$B$63,23))*(1-E158))</f>
        <v/>
      </c>
      <c r="AJ159" s="15">
        <f>MAX(0,AI158*(1-INDEX($B$11:$B$63,24))*(1-E158))</f>
        <v/>
      </c>
      <c r="AK159" s="15">
        <f>MAX(0,AJ158*(1-INDEX($B$11:$B$63,25))*(1-E158))</f>
        <v/>
      </c>
      <c r="AL159" s="15">
        <f>MAX(0,AK158*(1-INDEX($B$11:$B$63,26))*(1-E158))</f>
        <v/>
      </c>
      <c r="AM159" s="15">
        <f>MAX(0,AL158*(1-INDEX($B$11:$B$63,27))*(1-E158))</f>
        <v/>
      </c>
      <c r="AN159" s="15">
        <f>MAX(0,AM158*(1-INDEX($B$11:$B$63,28))*(1-E158))</f>
        <v/>
      </c>
      <c r="AO159" s="15">
        <f>MAX(0,AN158*(1-INDEX($B$11:$B$63,29))*(1-E158))</f>
        <v/>
      </c>
      <c r="AP159" s="15">
        <f>MAX(0,AO158*(1-INDEX($B$11:$B$63,30))*(1-E158))</f>
        <v/>
      </c>
      <c r="AQ159" s="15">
        <f>MAX(0,AP158*(1-INDEX($B$11:$B$63,31))*(1-E158))</f>
        <v/>
      </c>
      <c r="AR159" s="15">
        <f>MAX(0,AQ158*(1-INDEX($B$11:$B$63,32))*(1-E158))</f>
        <v/>
      </c>
      <c r="AS159" s="15">
        <f>MAX(0,AR158*(1-INDEX($B$11:$B$63,33))*(1-E158))</f>
        <v/>
      </c>
      <c r="AT159" s="15">
        <f>MAX(0,AS158*(1-INDEX($B$11:$B$63,34))*(1-E158))</f>
        <v/>
      </c>
      <c r="AU159" s="15">
        <f>MAX(0,AT158*(1-INDEX($B$11:$B$63,35))*(1-E158))</f>
        <v/>
      </c>
      <c r="AV159" s="15">
        <f>MAX(0,AU158*(1-INDEX($B$11:$B$63,36))*(1-E158))</f>
        <v/>
      </c>
      <c r="AW159" s="15">
        <f>MAX(0,AV158*(1-INDEX($B$11:$B$63,37))*(1-E158))</f>
        <v/>
      </c>
      <c r="AX159" s="15">
        <f>MAX(0,AW158*(1-INDEX($B$11:$B$63,38))*(1-E158))</f>
        <v/>
      </c>
      <c r="AY159" s="15">
        <f>MAX(0,AX158*(1-INDEX($B$11:$B$63,39))*(1-E158))</f>
        <v/>
      </c>
      <c r="AZ159" s="15">
        <f>MAX(0,AY158*(1-INDEX($B$11:$B$63,40))*(1-E158))</f>
        <v/>
      </c>
      <c r="BA159" s="15">
        <f>MAX(0,AZ158*(1-INDEX($B$11:$B$63,41))*(1-E158))</f>
        <v/>
      </c>
      <c r="BB159" s="15">
        <f>MAX(0,BA158*(1-INDEX($B$11:$B$63,42))*(1-E158))</f>
        <v/>
      </c>
      <c r="BC159" s="15">
        <f>MAX(0,BB158*(1-INDEX($B$11:$B$63,43))*(1-E158))</f>
        <v/>
      </c>
      <c r="BD159" s="15">
        <f>MAX(0,BC158*(1-INDEX($B$11:$B$63,44))*(1-E158))</f>
        <v/>
      </c>
      <c r="BE159" s="15">
        <f>MAX(0,BD158*(1-INDEX($B$11:$B$63,45))*(1-E158))</f>
        <v/>
      </c>
      <c r="BF159" s="15">
        <f>MAX(0,BE158*(1-INDEX($B$11:$B$63,46))*(1-E158))</f>
        <v/>
      </c>
      <c r="BG159" s="15">
        <f>MAX(0,BF158*(1-INDEX($B$11:$B$63,47))*(1-E158))</f>
        <v/>
      </c>
      <c r="BH159" s="15">
        <f>MAX(0,BG158*(1-INDEX($B$11:$B$63,48))*(1-E158))</f>
        <v/>
      </c>
      <c r="BI159" s="15">
        <f>MAX(0,BH158*(1-INDEX($B$11:$B$63,49))*(1-E158))</f>
        <v/>
      </c>
      <c r="BJ159" s="15">
        <f>MAX(0,BI158*(1-INDEX($B$11:$B$63,50))*(1-E158))</f>
        <v/>
      </c>
      <c r="BK159" s="15">
        <f>MAX(0,BJ158*(1-INDEX($B$11:$B$63,51))*(1-E158))</f>
        <v/>
      </c>
      <c r="BL159" s="15">
        <f>MAX(0,(BL158+BK158)*(1-INDEX($B$11:$B$63,53))*(1-E158))</f>
        <v/>
      </c>
    </row>
    <row r="160">
      <c r="A160" s="55" t="n">
        <v>94</v>
      </c>
      <c r="B160" s="15">
        <f>IF(A160&gt;Inputs!$C$62,"",SUM(M160:BK160))</f>
        <v/>
      </c>
      <c r="C160" s="15">
        <f>IF(A160&gt;Inputs!$C$62,"",INDEX(Trajectory!$C$23:$C$2000,A160))</f>
        <v/>
      </c>
      <c r="D160" s="15">
        <f>IF(A160&gt;Inputs!$C$62,"",SUM(L160:BK160))</f>
        <v/>
      </c>
      <c r="E160" s="12">
        <f>IF(A160&gt;Inputs!$C$62,"",INDEX(Trajectory!$AG$23:$AG$2000,A160))</f>
        <v/>
      </c>
      <c r="F160" s="12">
        <f>IF(D160=0,0,SUMPRODUCT(L160:BK160,$B$11:$B$63)/D160)</f>
        <v/>
      </c>
      <c r="G160" s="12">
        <f>IF(D160=0,0,MIN(0.95,1-(1-F160)*(1-E160)))</f>
        <v/>
      </c>
      <c r="H160" s="15">
        <f>IF(D160=0,0,D160*G160)</f>
        <v/>
      </c>
      <c r="I160" s="15">
        <f>IF(D160=0,0,D160-H160)</f>
        <v/>
      </c>
      <c r="L160" s="15">
        <f>C160</f>
        <v/>
      </c>
      <c r="M160" s="15">
        <f>MAX(0,L159*(1-INDEX($B$11:$B$63,1))*(1-E159))</f>
        <v/>
      </c>
      <c r="N160" s="15">
        <f>MAX(0,M159*(1-INDEX($B$11:$B$63,2))*(1-E159))</f>
        <v/>
      </c>
      <c r="O160" s="15">
        <f>MAX(0,N159*(1-INDEX($B$11:$B$63,3))*(1-E159))</f>
        <v/>
      </c>
      <c r="P160" s="15">
        <f>MAX(0,O159*(1-INDEX($B$11:$B$63,4))*(1-E159))</f>
        <v/>
      </c>
      <c r="Q160" s="15">
        <f>MAX(0,P159*(1-INDEX($B$11:$B$63,5))*(1-E159))</f>
        <v/>
      </c>
      <c r="R160" s="15">
        <f>MAX(0,Q159*(1-INDEX($B$11:$B$63,6))*(1-E159))</f>
        <v/>
      </c>
      <c r="S160" s="15">
        <f>MAX(0,R159*(1-INDEX($B$11:$B$63,7))*(1-E159))</f>
        <v/>
      </c>
      <c r="T160" s="15">
        <f>MAX(0,S159*(1-INDEX($B$11:$B$63,8))*(1-E159))</f>
        <v/>
      </c>
      <c r="U160" s="15">
        <f>MAX(0,T159*(1-INDEX($B$11:$B$63,9))*(1-E159))</f>
        <v/>
      </c>
      <c r="V160" s="15">
        <f>MAX(0,U159*(1-INDEX($B$11:$B$63,10))*(1-E159))</f>
        <v/>
      </c>
      <c r="W160" s="15">
        <f>MAX(0,V159*(1-INDEX($B$11:$B$63,11))*(1-E159))</f>
        <v/>
      </c>
      <c r="X160" s="15">
        <f>MAX(0,W159*(1-INDEX($B$11:$B$63,12))*(1-E159))</f>
        <v/>
      </c>
      <c r="Y160" s="15">
        <f>MAX(0,X159*(1-INDEX($B$11:$B$63,13))*(1-E159))</f>
        <v/>
      </c>
      <c r="Z160" s="15">
        <f>MAX(0,Y159*(1-INDEX($B$11:$B$63,14))*(1-E159))</f>
        <v/>
      </c>
      <c r="AA160" s="15">
        <f>MAX(0,Z159*(1-INDEX($B$11:$B$63,15))*(1-E159))</f>
        <v/>
      </c>
      <c r="AB160" s="15">
        <f>MAX(0,AA159*(1-INDEX($B$11:$B$63,16))*(1-E159))</f>
        <v/>
      </c>
      <c r="AC160" s="15">
        <f>MAX(0,AB159*(1-INDEX($B$11:$B$63,17))*(1-E159))</f>
        <v/>
      </c>
      <c r="AD160" s="15">
        <f>MAX(0,AC159*(1-INDEX($B$11:$B$63,18))*(1-E159))</f>
        <v/>
      </c>
      <c r="AE160" s="15">
        <f>MAX(0,AD159*(1-INDEX($B$11:$B$63,19))*(1-E159))</f>
        <v/>
      </c>
      <c r="AF160" s="15">
        <f>MAX(0,AE159*(1-INDEX($B$11:$B$63,20))*(1-E159))</f>
        <v/>
      </c>
      <c r="AG160" s="15">
        <f>MAX(0,AF159*(1-INDEX($B$11:$B$63,21))*(1-E159))</f>
        <v/>
      </c>
      <c r="AH160" s="15">
        <f>MAX(0,AG159*(1-INDEX($B$11:$B$63,22))*(1-E159))</f>
        <v/>
      </c>
      <c r="AI160" s="15">
        <f>MAX(0,AH159*(1-INDEX($B$11:$B$63,23))*(1-E159))</f>
        <v/>
      </c>
      <c r="AJ160" s="15">
        <f>MAX(0,AI159*(1-INDEX($B$11:$B$63,24))*(1-E159))</f>
        <v/>
      </c>
      <c r="AK160" s="15">
        <f>MAX(0,AJ159*(1-INDEX($B$11:$B$63,25))*(1-E159))</f>
        <v/>
      </c>
      <c r="AL160" s="15">
        <f>MAX(0,AK159*(1-INDEX($B$11:$B$63,26))*(1-E159))</f>
        <v/>
      </c>
      <c r="AM160" s="15">
        <f>MAX(0,AL159*(1-INDEX($B$11:$B$63,27))*(1-E159))</f>
        <v/>
      </c>
      <c r="AN160" s="15">
        <f>MAX(0,AM159*(1-INDEX($B$11:$B$63,28))*(1-E159))</f>
        <v/>
      </c>
      <c r="AO160" s="15">
        <f>MAX(0,AN159*(1-INDEX($B$11:$B$63,29))*(1-E159))</f>
        <v/>
      </c>
      <c r="AP160" s="15">
        <f>MAX(0,AO159*(1-INDEX($B$11:$B$63,30))*(1-E159))</f>
        <v/>
      </c>
      <c r="AQ160" s="15">
        <f>MAX(0,AP159*(1-INDEX($B$11:$B$63,31))*(1-E159))</f>
        <v/>
      </c>
      <c r="AR160" s="15">
        <f>MAX(0,AQ159*(1-INDEX($B$11:$B$63,32))*(1-E159))</f>
        <v/>
      </c>
      <c r="AS160" s="15">
        <f>MAX(0,AR159*(1-INDEX($B$11:$B$63,33))*(1-E159))</f>
        <v/>
      </c>
      <c r="AT160" s="15">
        <f>MAX(0,AS159*(1-INDEX($B$11:$B$63,34))*(1-E159))</f>
        <v/>
      </c>
      <c r="AU160" s="15">
        <f>MAX(0,AT159*(1-INDEX($B$11:$B$63,35))*(1-E159))</f>
        <v/>
      </c>
      <c r="AV160" s="15">
        <f>MAX(0,AU159*(1-INDEX($B$11:$B$63,36))*(1-E159))</f>
        <v/>
      </c>
      <c r="AW160" s="15">
        <f>MAX(0,AV159*(1-INDEX($B$11:$B$63,37))*(1-E159))</f>
        <v/>
      </c>
      <c r="AX160" s="15">
        <f>MAX(0,AW159*(1-INDEX($B$11:$B$63,38))*(1-E159))</f>
        <v/>
      </c>
      <c r="AY160" s="15">
        <f>MAX(0,AX159*(1-INDEX($B$11:$B$63,39))*(1-E159))</f>
        <v/>
      </c>
      <c r="AZ160" s="15">
        <f>MAX(0,AY159*(1-INDEX($B$11:$B$63,40))*(1-E159))</f>
        <v/>
      </c>
      <c r="BA160" s="15">
        <f>MAX(0,AZ159*(1-INDEX($B$11:$B$63,41))*(1-E159))</f>
        <v/>
      </c>
      <c r="BB160" s="15">
        <f>MAX(0,BA159*(1-INDEX($B$11:$B$63,42))*(1-E159))</f>
        <v/>
      </c>
      <c r="BC160" s="15">
        <f>MAX(0,BB159*(1-INDEX($B$11:$B$63,43))*(1-E159))</f>
        <v/>
      </c>
      <c r="BD160" s="15">
        <f>MAX(0,BC159*(1-INDEX($B$11:$B$63,44))*(1-E159))</f>
        <v/>
      </c>
      <c r="BE160" s="15">
        <f>MAX(0,BD159*(1-INDEX($B$11:$B$63,45))*(1-E159))</f>
        <v/>
      </c>
      <c r="BF160" s="15">
        <f>MAX(0,BE159*(1-INDEX($B$11:$B$63,46))*(1-E159))</f>
        <v/>
      </c>
      <c r="BG160" s="15">
        <f>MAX(0,BF159*(1-INDEX($B$11:$B$63,47))*(1-E159))</f>
        <v/>
      </c>
      <c r="BH160" s="15">
        <f>MAX(0,BG159*(1-INDEX($B$11:$B$63,48))*(1-E159))</f>
        <v/>
      </c>
      <c r="BI160" s="15">
        <f>MAX(0,BH159*(1-INDEX($B$11:$B$63,49))*(1-E159))</f>
        <v/>
      </c>
      <c r="BJ160" s="15">
        <f>MAX(0,BI159*(1-INDEX($B$11:$B$63,50))*(1-E159))</f>
        <v/>
      </c>
      <c r="BK160" s="15">
        <f>MAX(0,BJ159*(1-INDEX($B$11:$B$63,51))*(1-E159))</f>
        <v/>
      </c>
      <c r="BL160" s="15">
        <f>MAX(0,(BL159+BK159)*(1-INDEX($B$11:$B$63,53))*(1-E159))</f>
        <v/>
      </c>
    </row>
    <row r="161">
      <c r="A161" s="55" t="n">
        <v>95</v>
      </c>
      <c r="B161" s="15">
        <f>IF(A161&gt;Inputs!$C$62,"",SUM(M161:BK161))</f>
        <v/>
      </c>
      <c r="C161" s="15">
        <f>IF(A161&gt;Inputs!$C$62,"",INDEX(Trajectory!$C$23:$C$2000,A161))</f>
        <v/>
      </c>
      <c r="D161" s="15">
        <f>IF(A161&gt;Inputs!$C$62,"",SUM(L161:BK161))</f>
        <v/>
      </c>
      <c r="E161" s="12">
        <f>IF(A161&gt;Inputs!$C$62,"",INDEX(Trajectory!$AG$23:$AG$2000,A161))</f>
        <v/>
      </c>
      <c r="F161" s="12">
        <f>IF(D161=0,0,SUMPRODUCT(L161:BK161,$B$11:$B$63)/D161)</f>
        <v/>
      </c>
      <c r="G161" s="12">
        <f>IF(D161=0,0,MIN(0.95,1-(1-F161)*(1-E161)))</f>
        <v/>
      </c>
      <c r="H161" s="15">
        <f>IF(D161=0,0,D161*G161)</f>
        <v/>
      </c>
      <c r="I161" s="15">
        <f>IF(D161=0,0,D161-H161)</f>
        <v/>
      </c>
      <c r="L161" s="15">
        <f>C161</f>
        <v/>
      </c>
      <c r="M161" s="15">
        <f>MAX(0,L160*(1-INDEX($B$11:$B$63,1))*(1-E160))</f>
        <v/>
      </c>
      <c r="N161" s="15">
        <f>MAX(0,M160*(1-INDEX($B$11:$B$63,2))*(1-E160))</f>
        <v/>
      </c>
      <c r="O161" s="15">
        <f>MAX(0,N160*(1-INDEX($B$11:$B$63,3))*(1-E160))</f>
        <v/>
      </c>
      <c r="P161" s="15">
        <f>MAX(0,O160*(1-INDEX($B$11:$B$63,4))*(1-E160))</f>
        <v/>
      </c>
      <c r="Q161" s="15">
        <f>MAX(0,P160*(1-INDEX($B$11:$B$63,5))*(1-E160))</f>
        <v/>
      </c>
      <c r="R161" s="15">
        <f>MAX(0,Q160*(1-INDEX($B$11:$B$63,6))*(1-E160))</f>
        <v/>
      </c>
      <c r="S161" s="15">
        <f>MAX(0,R160*(1-INDEX($B$11:$B$63,7))*(1-E160))</f>
        <v/>
      </c>
      <c r="T161" s="15">
        <f>MAX(0,S160*(1-INDEX($B$11:$B$63,8))*(1-E160))</f>
        <v/>
      </c>
      <c r="U161" s="15">
        <f>MAX(0,T160*(1-INDEX($B$11:$B$63,9))*(1-E160))</f>
        <v/>
      </c>
      <c r="V161" s="15">
        <f>MAX(0,U160*(1-INDEX($B$11:$B$63,10))*(1-E160))</f>
        <v/>
      </c>
      <c r="W161" s="15">
        <f>MAX(0,V160*(1-INDEX($B$11:$B$63,11))*(1-E160))</f>
        <v/>
      </c>
      <c r="X161" s="15">
        <f>MAX(0,W160*(1-INDEX($B$11:$B$63,12))*(1-E160))</f>
        <v/>
      </c>
      <c r="Y161" s="15">
        <f>MAX(0,X160*(1-INDEX($B$11:$B$63,13))*(1-E160))</f>
        <v/>
      </c>
      <c r="Z161" s="15">
        <f>MAX(0,Y160*(1-INDEX($B$11:$B$63,14))*(1-E160))</f>
        <v/>
      </c>
      <c r="AA161" s="15">
        <f>MAX(0,Z160*(1-INDEX($B$11:$B$63,15))*(1-E160))</f>
        <v/>
      </c>
      <c r="AB161" s="15">
        <f>MAX(0,AA160*(1-INDEX($B$11:$B$63,16))*(1-E160))</f>
        <v/>
      </c>
      <c r="AC161" s="15">
        <f>MAX(0,AB160*(1-INDEX($B$11:$B$63,17))*(1-E160))</f>
        <v/>
      </c>
      <c r="AD161" s="15">
        <f>MAX(0,AC160*(1-INDEX($B$11:$B$63,18))*(1-E160))</f>
        <v/>
      </c>
      <c r="AE161" s="15">
        <f>MAX(0,AD160*(1-INDEX($B$11:$B$63,19))*(1-E160))</f>
        <v/>
      </c>
      <c r="AF161" s="15">
        <f>MAX(0,AE160*(1-INDEX($B$11:$B$63,20))*(1-E160))</f>
        <v/>
      </c>
      <c r="AG161" s="15">
        <f>MAX(0,AF160*(1-INDEX($B$11:$B$63,21))*(1-E160))</f>
        <v/>
      </c>
      <c r="AH161" s="15">
        <f>MAX(0,AG160*(1-INDEX($B$11:$B$63,22))*(1-E160))</f>
        <v/>
      </c>
      <c r="AI161" s="15">
        <f>MAX(0,AH160*(1-INDEX($B$11:$B$63,23))*(1-E160))</f>
        <v/>
      </c>
      <c r="AJ161" s="15">
        <f>MAX(0,AI160*(1-INDEX($B$11:$B$63,24))*(1-E160))</f>
        <v/>
      </c>
      <c r="AK161" s="15">
        <f>MAX(0,AJ160*(1-INDEX($B$11:$B$63,25))*(1-E160))</f>
        <v/>
      </c>
      <c r="AL161" s="15">
        <f>MAX(0,AK160*(1-INDEX($B$11:$B$63,26))*(1-E160))</f>
        <v/>
      </c>
      <c r="AM161" s="15">
        <f>MAX(0,AL160*(1-INDEX($B$11:$B$63,27))*(1-E160))</f>
        <v/>
      </c>
      <c r="AN161" s="15">
        <f>MAX(0,AM160*(1-INDEX($B$11:$B$63,28))*(1-E160))</f>
        <v/>
      </c>
      <c r="AO161" s="15">
        <f>MAX(0,AN160*(1-INDEX($B$11:$B$63,29))*(1-E160))</f>
        <v/>
      </c>
      <c r="AP161" s="15">
        <f>MAX(0,AO160*(1-INDEX($B$11:$B$63,30))*(1-E160))</f>
        <v/>
      </c>
      <c r="AQ161" s="15">
        <f>MAX(0,AP160*(1-INDEX($B$11:$B$63,31))*(1-E160))</f>
        <v/>
      </c>
      <c r="AR161" s="15">
        <f>MAX(0,AQ160*(1-INDEX($B$11:$B$63,32))*(1-E160))</f>
        <v/>
      </c>
      <c r="AS161" s="15">
        <f>MAX(0,AR160*(1-INDEX($B$11:$B$63,33))*(1-E160))</f>
        <v/>
      </c>
      <c r="AT161" s="15">
        <f>MAX(0,AS160*(1-INDEX($B$11:$B$63,34))*(1-E160))</f>
        <v/>
      </c>
      <c r="AU161" s="15">
        <f>MAX(0,AT160*(1-INDEX($B$11:$B$63,35))*(1-E160))</f>
        <v/>
      </c>
      <c r="AV161" s="15">
        <f>MAX(0,AU160*(1-INDEX($B$11:$B$63,36))*(1-E160))</f>
        <v/>
      </c>
      <c r="AW161" s="15">
        <f>MAX(0,AV160*(1-INDEX($B$11:$B$63,37))*(1-E160))</f>
        <v/>
      </c>
      <c r="AX161" s="15">
        <f>MAX(0,AW160*(1-INDEX($B$11:$B$63,38))*(1-E160))</f>
        <v/>
      </c>
      <c r="AY161" s="15">
        <f>MAX(0,AX160*(1-INDEX($B$11:$B$63,39))*(1-E160))</f>
        <v/>
      </c>
      <c r="AZ161" s="15">
        <f>MAX(0,AY160*(1-INDEX($B$11:$B$63,40))*(1-E160))</f>
        <v/>
      </c>
      <c r="BA161" s="15">
        <f>MAX(0,AZ160*(1-INDEX($B$11:$B$63,41))*(1-E160))</f>
        <v/>
      </c>
      <c r="BB161" s="15">
        <f>MAX(0,BA160*(1-INDEX($B$11:$B$63,42))*(1-E160))</f>
        <v/>
      </c>
      <c r="BC161" s="15">
        <f>MAX(0,BB160*(1-INDEX($B$11:$B$63,43))*(1-E160))</f>
        <v/>
      </c>
      <c r="BD161" s="15">
        <f>MAX(0,BC160*(1-INDEX($B$11:$B$63,44))*(1-E160))</f>
        <v/>
      </c>
      <c r="BE161" s="15">
        <f>MAX(0,BD160*(1-INDEX($B$11:$B$63,45))*(1-E160))</f>
        <v/>
      </c>
      <c r="BF161" s="15">
        <f>MAX(0,BE160*(1-INDEX($B$11:$B$63,46))*(1-E160))</f>
        <v/>
      </c>
      <c r="BG161" s="15">
        <f>MAX(0,BF160*(1-INDEX($B$11:$B$63,47))*(1-E160))</f>
        <v/>
      </c>
      <c r="BH161" s="15">
        <f>MAX(0,BG160*(1-INDEX($B$11:$B$63,48))*(1-E160))</f>
        <v/>
      </c>
      <c r="BI161" s="15">
        <f>MAX(0,BH160*(1-INDEX($B$11:$B$63,49))*(1-E160))</f>
        <v/>
      </c>
      <c r="BJ161" s="15">
        <f>MAX(0,BI160*(1-INDEX($B$11:$B$63,50))*(1-E160))</f>
        <v/>
      </c>
      <c r="BK161" s="15">
        <f>MAX(0,BJ160*(1-INDEX($B$11:$B$63,51))*(1-E160))</f>
        <v/>
      </c>
      <c r="BL161" s="15">
        <f>MAX(0,(BL160+BK160)*(1-INDEX($B$11:$B$63,53))*(1-E160))</f>
        <v/>
      </c>
    </row>
    <row r="162">
      <c r="A162" s="55" t="n">
        <v>96</v>
      </c>
      <c r="B162" s="15">
        <f>IF(A162&gt;Inputs!$C$62,"",SUM(M162:BK162))</f>
        <v/>
      </c>
      <c r="C162" s="15">
        <f>IF(A162&gt;Inputs!$C$62,"",INDEX(Trajectory!$C$23:$C$2000,A162))</f>
        <v/>
      </c>
      <c r="D162" s="15">
        <f>IF(A162&gt;Inputs!$C$62,"",SUM(L162:BK162))</f>
        <v/>
      </c>
      <c r="E162" s="12">
        <f>IF(A162&gt;Inputs!$C$62,"",INDEX(Trajectory!$AG$23:$AG$2000,A162))</f>
        <v/>
      </c>
      <c r="F162" s="12">
        <f>IF(D162=0,0,SUMPRODUCT(L162:BK162,$B$11:$B$63)/D162)</f>
        <v/>
      </c>
      <c r="G162" s="12">
        <f>IF(D162=0,0,MIN(0.95,1-(1-F162)*(1-E162)))</f>
        <v/>
      </c>
      <c r="H162" s="15">
        <f>IF(D162=0,0,D162*G162)</f>
        <v/>
      </c>
      <c r="I162" s="15">
        <f>IF(D162=0,0,D162-H162)</f>
        <v/>
      </c>
      <c r="L162" s="15">
        <f>C162</f>
        <v/>
      </c>
      <c r="M162" s="15">
        <f>MAX(0,L161*(1-INDEX($B$11:$B$63,1))*(1-E161))</f>
        <v/>
      </c>
      <c r="N162" s="15">
        <f>MAX(0,M161*(1-INDEX($B$11:$B$63,2))*(1-E161))</f>
        <v/>
      </c>
      <c r="O162" s="15">
        <f>MAX(0,N161*(1-INDEX($B$11:$B$63,3))*(1-E161))</f>
        <v/>
      </c>
      <c r="P162" s="15">
        <f>MAX(0,O161*(1-INDEX($B$11:$B$63,4))*(1-E161))</f>
        <v/>
      </c>
      <c r="Q162" s="15">
        <f>MAX(0,P161*(1-INDEX($B$11:$B$63,5))*(1-E161))</f>
        <v/>
      </c>
      <c r="R162" s="15">
        <f>MAX(0,Q161*(1-INDEX($B$11:$B$63,6))*(1-E161))</f>
        <v/>
      </c>
      <c r="S162" s="15">
        <f>MAX(0,R161*(1-INDEX($B$11:$B$63,7))*(1-E161))</f>
        <v/>
      </c>
      <c r="T162" s="15">
        <f>MAX(0,S161*(1-INDEX($B$11:$B$63,8))*(1-E161))</f>
        <v/>
      </c>
      <c r="U162" s="15">
        <f>MAX(0,T161*(1-INDEX($B$11:$B$63,9))*(1-E161))</f>
        <v/>
      </c>
      <c r="V162" s="15">
        <f>MAX(0,U161*(1-INDEX($B$11:$B$63,10))*(1-E161))</f>
        <v/>
      </c>
      <c r="W162" s="15">
        <f>MAX(0,V161*(1-INDEX($B$11:$B$63,11))*(1-E161))</f>
        <v/>
      </c>
      <c r="X162" s="15">
        <f>MAX(0,W161*(1-INDEX($B$11:$B$63,12))*(1-E161))</f>
        <v/>
      </c>
      <c r="Y162" s="15">
        <f>MAX(0,X161*(1-INDEX($B$11:$B$63,13))*(1-E161))</f>
        <v/>
      </c>
      <c r="Z162" s="15">
        <f>MAX(0,Y161*(1-INDEX($B$11:$B$63,14))*(1-E161))</f>
        <v/>
      </c>
      <c r="AA162" s="15">
        <f>MAX(0,Z161*(1-INDEX($B$11:$B$63,15))*(1-E161))</f>
        <v/>
      </c>
      <c r="AB162" s="15">
        <f>MAX(0,AA161*(1-INDEX($B$11:$B$63,16))*(1-E161))</f>
        <v/>
      </c>
      <c r="AC162" s="15">
        <f>MAX(0,AB161*(1-INDEX($B$11:$B$63,17))*(1-E161))</f>
        <v/>
      </c>
      <c r="AD162" s="15">
        <f>MAX(0,AC161*(1-INDEX($B$11:$B$63,18))*(1-E161))</f>
        <v/>
      </c>
      <c r="AE162" s="15">
        <f>MAX(0,AD161*(1-INDEX($B$11:$B$63,19))*(1-E161))</f>
        <v/>
      </c>
      <c r="AF162" s="15">
        <f>MAX(0,AE161*(1-INDEX($B$11:$B$63,20))*(1-E161))</f>
        <v/>
      </c>
      <c r="AG162" s="15">
        <f>MAX(0,AF161*(1-INDEX($B$11:$B$63,21))*(1-E161))</f>
        <v/>
      </c>
      <c r="AH162" s="15">
        <f>MAX(0,AG161*(1-INDEX($B$11:$B$63,22))*(1-E161))</f>
        <v/>
      </c>
      <c r="AI162" s="15">
        <f>MAX(0,AH161*(1-INDEX($B$11:$B$63,23))*(1-E161))</f>
        <v/>
      </c>
      <c r="AJ162" s="15">
        <f>MAX(0,AI161*(1-INDEX($B$11:$B$63,24))*(1-E161))</f>
        <v/>
      </c>
      <c r="AK162" s="15">
        <f>MAX(0,AJ161*(1-INDEX($B$11:$B$63,25))*(1-E161))</f>
        <v/>
      </c>
      <c r="AL162" s="15">
        <f>MAX(0,AK161*(1-INDEX($B$11:$B$63,26))*(1-E161))</f>
        <v/>
      </c>
      <c r="AM162" s="15">
        <f>MAX(0,AL161*(1-INDEX($B$11:$B$63,27))*(1-E161))</f>
        <v/>
      </c>
      <c r="AN162" s="15">
        <f>MAX(0,AM161*(1-INDEX($B$11:$B$63,28))*(1-E161))</f>
        <v/>
      </c>
      <c r="AO162" s="15">
        <f>MAX(0,AN161*(1-INDEX($B$11:$B$63,29))*(1-E161))</f>
        <v/>
      </c>
      <c r="AP162" s="15">
        <f>MAX(0,AO161*(1-INDEX($B$11:$B$63,30))*(1-E161))</f>
        <v/>
      </c>
      <c r="AQ162" s="15">
        <f>MAX(0,AP161*(1-INDEX($B$11:$B$63,31))*(1-E161))</f>
        <v/>
      </c>
      <c r="AR162" s="15">
        <f>MAX(0,AQ161*(1-INDEX($B$11:$B$63,32))*(1-E161))</f>
        <v/>
      </c>
      <c r="AS162" s="15">
        <f>MAX(0,AR161*(1-INDEX($B$11:$B$63,33))*(1-E161))</f>
        <v/>
      </c>
      <c r="AT162" s="15">
        <f>MAX(0,AS161*(1-INDEX($B$11:$B$63,34))*(1-E161))</f>
        <v/>
      </c>
      <c r="AU162" s="15">
        <f>MAX(0,AT161*(1-INDEX($B$11:$B$63,35))*(1-E161))</f>
        <v/>
      </c>
      <c r="AV162" s="15">
        <f>MAX(0,AU161*(1-INDEX($B$11:$B$63,36))*(1-E161))</f>
        <v/>
      </c>
      <c r="AW162" s="15">
        <f>MAX(0,AV161*(1-INDEX($B$11:$B$63,37))*(1-E161))</f>
        <v/>
      </c>
      <c r="AX162" s="15">
        <f>MAX(0,AW161*(1-INDEX($B$11:$B$63,38))*(1-E161))</f>
        <v/>
      </c>
      <c r="AY162" s="15">
        <f>MAX(0,AX161*(1-INDEX($B$11:$B$63,39))*(1-E161))</f>
        <v/>
      </c>
      <c r="AZ162" s="15">
        <f>MAX(0,AY161*(1-INDEX($B$11:$B$63,40))*(1-E161))</f>
        <v/>
      </c>
      <c r="BA162" s="15">
        <f>MAX(0,AZ161*(1-INDEX($B$11:$B$63,41))*(1-E161))</f>
        <v/>
      </c>
      <c r="BB162" s="15">
        <f>MAX(0,BA161*(1-INDEX($B$11:$B$63,42))*(1-E161))</f>
        <v/>
      </c>
      <c r="BC162" s="15">
        <f>MAX(0,BB161*(1-INDEX($B$11:$B$63,43))*(1-E161))</f>
        <v/>
      </c>
      <c r="BD162" s="15">
        <f>MAX(0,BC161*(1-INDEX($B$11:$B$63,44))*(1-E161))</f>
        <v/>
      </c>
      <c r="BE162" s="15">
        <f>MAX(0,BD161*(1-INDEX($B$11:$B$63,45))*(1-E161))</f>
        <v/>
      </c>
      <c r="BF162" s="15">
        <f>MAX(0,BE161*(1-INDEX($B$11:$B$63,46))*(1-E161))</f>
        <v/>
      </c>
      <c r="BG162" s="15">
        <f>MAX(0,BF161*(1-INDEX($B$11:$B$63,47))*(1-E161))</f>
        <v/>
      </c>
      <c r="BH162" s="15">
        <f>MAX(0,BG161*(1-INDEX($B$11:$B$63,48))*(1-E161))</f>
        <v/>
      </c>
      <c r="BI162" s="15">
        <f>MAX(0,BH161*(1-INDEX($B$11:$B$63,49))*(1-E161))</f>
        <v/>
      </c>
      <c r="BJ162" s="15">
        <f>MAX(0,BI161*(1-INDEX($B$11:$B$63,50))*(1-E161))</f>
        <v/>
      </c>
      <c r="BK162" s="15">
        <f>MAX(0,BJ161*(1-INDEX($B$11:$B$63,51))*(1-E161))</f>
        <v/>
      </c>
      <c r="BL162" s="15">
        <f>MAX(0,(BL161+BK161)*(1-INDEX($B$11:$B$63,53))*(1-E161))</f>
        <v/>
      </c>
    </row>
    <row r="163">
      <c r="A163" s="55" t="n">
        <v>97</v>
      </c>
      <c r="B163" s="15">
        <f>IF(A163&gt;Inputs!$C$62,"",SUM(M163:BK163))</f>
        <v/>
      </c>
      <c r="C163" s="15">
        <f>IF(A163&gt;Inputs!$C$62,"",INDEX(Trajectory!$C$23:$C$2000,A163))</f>
        <v/>
      </c>
      <c r="D163" s="15">
        <f>IF(A163&gt;Inputs!$C$62,"",SUM(L163:BK163))</f>
        <v/>
      </c>
      <c r="E163" s="12">
        <f>IF(A163&gt;Inputs!$C$62,"",INDEX(Trajectory!$AG$23:$AG$2000,A163))</f>
        <v/>
      </c>
      <c r="F163" s="12">
        <f>IF(D163=0,0,SUMPRODUCT(L163:BK163,$B$11:$B$63)/D163)</f>
        <v/>
      </c>
      <c r="G163" s="12">
        <f>IF(D163=0,0,MIN(0.95,1-(1-F163)*(1-E163)))</f>
        <v/>
      </c>
      <c r="H163" s="15">
        <f>IF(D163=0,0,D163*G163)</f>
        <v/>
      </c>
      <c r="I163" s="15">
        <f>IF(D163=0,0,D163-H163)</f>
        <v/>
      </c>
      <c r="L163" s="15">
        <f>C163</f>
        <v/>
      </c>
      <c r="M163" s="15">
        <f>MAX(0,L162*(1-INDEX($B$11:$B$63,1))*(1-E162))</f>
        <v/>
      </c>
      <c r="N163" s="15">
        <f>MAX(0,M162*(1-INDEX($B$11:$B$63,2))*(1-E162))</f>
        <v/>
      </c>
      <c r="O163" s="15">
        <f>MAX(0,N162*(1-INDEX($B$11:$B$63,3))*(1-E162))</f>
        <v/>
      </c>
      <c r="P163" s="15">
        <f>MAX(0,O162*(1-INDEX($B$11:$B$63,4))*(1-E162))</f>
        <v/>
      </c>
      <c r="Q163" s="15">
        <f>MAX(0,P162*(1-INDEX($B$11:$B$63,5))*(1-E162))</f>
        <v/>
      </c>
      <c r="R163" s="15">
        <f>MAX(0,Q162*(1-INDEX($B$11:$B$63,6))*(1-E162))</f>
        <v/>
      </c>
      <c r="S163" s="15">
        <f>MAX(0,R162*(1-INDEX($B$11:$B$63,7))*(1-E162))</f>
        <v/>
      </c>
      <c r="T163" s="15">
        <f>MAX(0,S162*(1-INDEX($B$11:$B$63,8))*(1-E162))</f>
        <v/>
      </c>
      <c r="U163" s="15">
        <f>MAX(0,T162*(1-INDEX($B$11:$B$63,9))*(1-E162))</f>
        <v/>
      </c>
      <c r="V163" s="15">
        <f>MAX(0,U162*(1-INDEX($B$11:$B$63,10))*(1-E162))</f>
        <v/>
      </c>
      <c r="W163" s="15">
        <f>MAX(0,V162*(1-INDEX($B$11:$B$63,11))*(1-E162))</f>
        <v/>
      </c>
      <c r="X163" s="15">
        <f>MAX(0,W162*(1-INDEX($B$11:$B$63,12))*(1-E162))</f>
        <v/>
      </c>
      <c r="Y163" s="15">
        <f>MAX(0,X162*(1-INDEX($B$11:$B$63,13))*(1-E162))</f>
        <v/>
      </c>
      <c r="Z163" s="15">
        <f>MAX(0,Y162*(1-INDEX($B$11:$B$63,14))*(1-E162))</f>
        <v/>
      </c>
      <c r="AA163" s="15">
        <f>MAX(0,Z162*(1-INDEX($B$11:$B$63,15))*(1-E162))</f>
        <v/>
      </c>
      <c r="AB163" s="15">
        <f>MAX(0,AA162*(1-INDEX($B$11:$B$63,16))*(1-E162))</f>
        <v/>
      </c>
      <c r="AC163" s="15">
        <f>MAX(0,AB162*(1-INDEX($B$11:$B$63,17))*(1-E162))</f>
        <v/>
      </c>
      <c r="AD163" s="15">
        <f>MAX(0,AC162*(1-INDEX($B$11:$B$63,18))*(1-E162))</f>
        <v/>
      </c>
      <c r="AE163" s="15">
        <f>MAX(0,AD162*(1-INDEX($B$11:$B$63,19))*(1-E162))</f>
        <v/>
      </c>
      <c r="AF163" s="15">
        <f>MAX(0,AE162*(1-INDEX($B$11:$B$63,20))*(1-E162))</f>
        <v/>
      </c>
      <c r="AG163" s="15">
        <f>MAX(0,AF162*(1-INDEX($B$11:$B$63,21))*(1-E162))</f>
        <v/>
      </c>
      <c r="AH163" s="15">
        <f>MAX(0,AG162*(1-INDEX($B$11:$B$63,22))*(1-E162))</f>
        <v/>
      </c>
      <c r="AI163" s="15">
        <f>MAX(0,AH162*(1-INDEX($B$11:$B$63,23))*(1-E162))</f>
        <v/>
      </c>
      <c r="AJ163" s="15">
        <f>MAX(0,AI162*(1-INDEX($B$11:$B$63,24))*(1-E162))</f>
        <v/>
      </c>
      <c r="AK163" s="15">
        <f>MAX(0,AJ162*(1-INDEX($B$11:$B$63,25))*(1-E162))</f>
        <v/>
      </c>
      <c r="AL163" s="15">
        <f>MAX(0,AK162*(1-INDEX($B$11:$B$63,26))*(1-E162))</f>
        <v/>
      </c>
      <c r="AM163" s="15">
        <f>MAX(0,AL162*(1-INDEX($B$11:$B$63,27))*(1-E162))</f>
        <v/>
      </c>
      <c r="AN163" s="15">
        <f>MAX(0,AM162*(1-INDEX($B$11:$B$63,28))*(1-E162))</f>
        <v/>
      </c>
      <c r="AO163" s="15">
        <f>MAX(0,AN162*(1-INDEX($B$11:$B$63,29))*(1-E162))</f>
        <v/>
      </c>
      <c r="AP163" s="15">
        <f>MAX(0,AO162*(1-INDEX($B$11:$B$63,30))*(1-E162))</f>
        <v/>
      </c>
      <c r="AQ163" s="15">
        <f>MAX(0,AP162*(1-INDEX($B$11:$B$63,31))*(1-E162))</f>
        <v/>
      </c>
      <c r="AR163" s="15">
        <f>MAX(0,AQ162*(1-INDEX($B$11:$B$63,32))*(1-E162))</f>
        <v/>
      </c>
      <c r="AS163" s="15">
        <f>MAX(0,AR162*(1-INDEX($B$11:$B$63,33))*(1-E162))</f>
        <v/>
      </c>
      <c r="AT163" s="15">
        <f>MAX(0,AS162*(1-INDEX($B$11:$B$63,34))*(1-E162))</f>
        <v/>
      </c>
      <c r="AU163" s="15">
        <f>MAX(0,AT162*(1-INDEX($B$11:$B$63,35))*(1-E162))</f>
        <v/>
      </c>
      <c r="AV163" s="15">
        <f>MAX(0,AU162*(1-INDEX($B$11:$B$63,36))*(1-E162))</f>
        <v/>
      </c>
      <c r="AW163" s="15">
        <f>MAX(0,AV162*(1-INDEX($B$11:$B$63,37))*(1-E162))</f>
        <v/>
      </c>
      <c r="AX163" s="15">
        <f>MAX(0,AW162*(1-INDEX($B$11:$B$63,38))*(1-E162))</f>
        <v/>
      </c>
      <c r="AY163" s="15">
        <f>MAX(0,AX162*(1-INDEX($B$11:$B$63,39))*(1-E162))</f>
        <v/>
      </c>
      <c r="AZ163" s="15">
        <f>MAX(0,AY162*(1-INDEX($B$11:$B$63,40))*(1-E162))</f>
        <v/>
      </c>
      <c r="BA163" s="15">
        <f>MAX(0,AZ162*(1-INDEX($B$11:$B$63,41))*(1-E162))</f>
        <v/>
      </c>
      <c r="BB163" s="15">
        <f>MAX(0,BA162*(1-INDEX($B$11:$B$63,42))*(1-E162))</f>
        <v/>
      </c>
      <c r="BC163" s="15">
        <f>MAX(0,BB162*(1-INDEX($B$11:$B$63,43))*(1-E162))</f>
        <v/>
      </c>
      <c r="BD163" s="15">
        <f>MAX(0,BC162*(1-INDEX($B$11:$B$63,44))*(1-E162))</f>
        <v/>
      </c>
      <c r="BE163" s="15">
        <f>MAX(0,BD162*(1-INDEX($B$11:$B$63,45))*(1-E162))</f>
        <v/>
      </c>
      <c r="BF163" s="15">
        <f>MAX(0,BE162*(1-INDEX($B$11:$B$63,46))*(1-E162))</f>
        <v/>
      </c>
      <c r="BG163" s="15">
        <f>MAX(0,BF162*(1-INDEX($B$11:$B$63,47))*(1-E162))</f>
        <v/>
      </c>
      <c r="BH163" s="15">
        <f>MAX(0,BG162*(1-INDEX($B$11:$B$63,48))*(1-E162))</f>
        <v/>
      </c>
      <c r="BI163" s="15">
        <f>MAX(0,BH162*(1-INDEX($B$11:$B$63,49))*(1-E162))</f>
        <v/>
      </c>
      <c r="BJ163" s="15">
        <f>MAX(0,BI162*(1-INDEX($B$11:$B$63,50))*(1-E162))</f>
        <v/>
      </c>
      <c r="BK163" s="15">
        <f>MAX(0,BJ162*(1-INDEX($B$11:$B$63,51))*(1-E162))</f>
        <v/>
      </c>
      <c r="BL163" s="15">
        <f>MAX(0,(BL162+BK162)*(1-INDEX($B$11:$B$63,53))*(1-E162))</f>
        <v/>
      </c>
    </row>
    <row r="164">
      <c r="A164" s="55" t="n">
        <v>98</v>
      </c>
      <c r="B164" s="15">
        <f>IF(A164&gt;Inputs!$C$62,"",SUM(M164:BK164))</f>
        <v/>
      </c>
      <c r="C164" s="15">
        <f>IF(A164&gt;Inputs!$C$62,"",INDEX(Trajectory!$C$23:$C$2000,A164))</f>
        <v/>
      </c>
      <c r="D164" s="15">
        <f>IF(A164&gt;Inputs!$C$62,"",SUM(L164:BK164))</f>
        <v/>
      </c>
      <c r="E164" s="12">
        <f>IF(A164&gt;Inputs!$C$62,"",INDEX(Trajectory!$AG$23:$AG$2000,A164))</f>
        <v/>
      </c>
      <c r="F164" s="12">
        <f>IF(D164=0,0,SUMPRODUCT(L164:BK164,$B$11:$B$63)/D164)</f>
        <v/>
      </c>
      <c r="G164" s="12">
        <f>IF(D164=0,0,MIN(0.95,1-(1-F164)*(1-E164)))</f>
        <v/>
      </c>
      <c r="H164" s="15">
        <f>IF(D164=0,0,D164*G164)</f>
        <v/>
      </c>
      <c r="I164" s="15">
        <f>IF(D164=0,0,D164-H164)</f>
        <v/>
      </c>
      <c r="L164" s="15">
        <f>C164</f>
        <v/>
      </c>
      <c r="M164" s="15">
        <f>MAX(0,L163*(1-INDEX($B$11:$B$63,1))*(1-E163))</f>
        <v/>
      </c>
      <c r="N164" s="15">
        <f>MAX(0,M163*(1-INDEX($B$11:$B$63,2))*(1-E163))</f>
        <v/>
      </c>
      <c r="O164" s="15">
        <f>MAX(0,N163*(1-INDEX($B$11:$B$63,3))*(1-E163))</f>
        <v/>
      </c>
      <c r="P164" s="15">
        <f>MAX(0,O163*(1-INDEX($B$11:$B$63,4))*(1-E163))</f>
        <v/>
      </c>
      <c r="Q164" s="15">
        <f>MAX(0,P163*(1-INDEX($B$11:$B$63,5))*(1-E163))</f>
        <v/>
      </c>
      <c r="R164" s="15">
        <f>MAX(0,Q163*(1-INDEX($B$11:$B$63,6))*(1-E163))</f>
        <v/>
      </c>
      <c r="S164" s="15">
        <f>MAX(0,R163*(1-INDEX($B$11:$B$63,7))*(1-E163))</f>
        <v/>
      </c>
      <c r="T164" s="15">
        <f>MAX(0,S163*(1-INDEX($B$11:$B$63,8))*(1-E163))</f>
        <v/>
      </c>
      <c r="U164" s="15">
        <f>MAX(0,T163*(1-INDEX($B$11:$B$63,9))*(1-E163))</f>
        <v/>
      </c>
      <c r="V164" s="15">
        <f>MAX(0,U163*(1-INDEX($B$11:$B$63,10))*(1-E163))</f>
        <v/>
      </c>
      <c r="W164" s="15">
        <f>MAX(0,V163*(1-INDEX($B$11:$B$63,11))*(1-E163))</f>
        <v/>
      </c>
      <c r="X164" s="15">
        <f>MAX(0,W163*(1-INDEX($B$11:$B$63,12))*(1-E163))</f>
        <v/>
      </c>
      <c r="Y164" s="15">
        <f>MAX(0,X163*(1-INDEX($B$11:$B$63,13))*(1-E163))</f>
        <v/>
      </c>
      <c r="Z164" s="15">
        <f>MAX(0,Y163*(1-INDEX($B$11:$B$63,14))*(1-E163))</f>
        <v/>
      </c>
      <c r="AA164" s="15">
        <f>MAX(0,Z163*(1-INDEX($B$11:$B$63,15))*(1-E163))</f>
        <v/>
      </c>
      <c r="AB164" s="15">
        <f>MAX(0,AA163*(1-INDEX($B$11:$B$63,16))*(1-E163))</f>
        <v/>
      </c>
      <c r="AC164" s="15">
        <f>MAX(0,AB163*(1-INDEX($B$11:$B$63,17))*(1-E163))</f>
        <v/>
      </c>
      <c r="AD164" s="15">
        <f>MAX(0,AC163*(1-INDEX($B$11:$B$63,18))*(1-E163))</f>
        <v/>
      </c>
      <c r="AE164" s="15">
        <f>MAX(0,AD163*(1-INDEX($B$11:$B$63,19))*(1-E163))</f>
        <v/>
      </c>
      <c r="AF164" s="15">
        <f>MAX(0,AE163*(1-INDEX($B$11:$B$63,20))*(1-E163))</f>
        <v/>
      </c>
      <c r="AG164" s="15">
        <f>MAX(0,AF163*(1-INDEX($B$11:$B$63,21))*(1-E163))</f>
        <v/>
      </c>
      <c r="AH164" s="15">
        <f>MAX(0,AG163*(1-INDEX($B$11:$B$63,22))*(1-E163))</f>
        <v/>
      </c>
      <c r="AI164" s="15">
        <f>MAX(0,AH163*(1-INDEX($B$11:$B$63,23))*(1-E163))</f>
        <v/>
      </c>
      <c r="AJ164" s="15">
        <f>MAX(0,AI163*(1-INDEX($B$11:$B$63,24))*(1-E163))</f>
        <v/>
      </c>
      <c r="AK164" s="15">
        <f>MAX(0,AJ163*(1-INDEX($B$11:$B$63,25))*(1-E163))</f>
        <v/>
      </c>
      <c r="AL164" s="15">
        <f>MAX(0,AK163*(1-INDEX($B$11:$B$63,26))*(1-E163))</f>
        <v/>
      </c>
      <c r="AM164" s="15">
        <f>MAX(0,AL163*(1-INDEX($B$11:$B$63,27))*(1-E163))</f>
        <v/>
      </c>
      <c r="AN164" s="15">
        <f>MAX(0,AM163*(1-INDEX($B$11:$B$63,28))*(1-E163))</f>
        <v/>
      </c>
      <c r="AO164" s="15">
        <f>MAX(0,AN163*(1-INDEX($B$11:$B$63,29))*(1-E163))</f>
        <v/>
      </c>
      <c r="AP164" s="15">
        <f>MAX(0,AO163*(1-INDEX($B$11:$B$63,30))*(1-E163))</f>
        <v/>
      </c>
      <c r="AQ164" s="15">
        <f>MAX(0,AP163*(1-INDEX($B$11:$B$63,31))*(1-E163))</f>
        <v/>
      </c>
      <c r="AR164" s="15">
        <f>MAX(0,AQ163*(1-INDEX($B$11:$B$63,32))*(1-E163))</f>
        <v/>
      </c>
      <c r="AS164" s="15">
        <f>MAX(0,AR163*(1-INDEX($B$11:$B$63,33))*(1-E163))</f>
        <v/>
      </c>
      <c r="AT164" s="15">
        <f>MAX(0,AS163*(1-INDEX($B$11:$B$63,34))*(1-E163))</f>
        <v/>
      </c>
      <c r="AU164" s="15">
        <f>MAX(0,AT163*(1-INDEX($B$11:$B$63,35))*(1-E163))</f>
        <v/>
      </c>
      <c r="AV164" s="15">
        <f>MAX(0,AU163*(1-INDEX($B$11:$B$63,36))*(1-E163))</f>
        <v/>
      </c>
      <c r="AW164" s="15">
        <f>MAX(0,AV163*(1-INDEX($B$11:$B$63,37))*(1-E163))</f>
        <v/>
      </c>
      <c r="AX164" s="15">
        <f>MAX(0,AW163*(1-INDEX($B$11:$B$63,38))*(1-E163))</f>
        <v/>
      </c>
      <c r="AY164" s="15">
        <f>MAX(0,AX163*(1-INDEX($B$11:$B$63,39))*(1-E163))</f>
        <v/>
      </c>
      <c r="AZ164" s="15">
        <f>MAX(0,AY163*(1-INDEX($B$11:$B$63,40))*(1-E163))</f>
        <v/>
      </c>
      <c r="BA164" s="15">
        <f>MAX(0,AZ163*(1-INDEX($B$11:$B$63,41))*(1-E163))</f>
        <v/>
      </c>
      <c r="BB164" s="15">
        <f>MAX(0,BA163*(1-INDEX($B$11:$B$63,42))*(1-E163))</f>
        <v/>
      </c>
      <c r="BC164" s="15">
        <f>MAX(0,BB163*(1-INDEX($B$11:$B$63,43))*(1-E163))</f>
        <v/>
      </c>
      <c r="BD164" s="15">
        <f>MAX(0,BC163*(1-INDEX($B$11:$B$63,44))*(1-E163))</f>
        <v/>
      </c>
      <c r="BE164" s="15">
        <f>MAX(0,BD163*(1-INDEX($B$11:$B$63,45))*(1-E163))</f>
        <v/>
      </c>
      <c r="BF164" s="15">
        <f>MAX(0,BE163*(1-INDEX($B$11:$B$63,46))*(1-E163))</f>
        <v/>
      </c>
      <c r="BG164" s="15">
        <f>MAX(0,BF163*(1-INDEX($B$11:$B$63,47))*(1-E163))</f>
        <v/>
      </c>
      <c r="BH164" s="15">
        <f>MAX(0,BG163*(1-INDEX($B$11:$B$63,48))*(1-E163))</f>
        <v/>
      </c>
      <c r="BI164" s="15">
        <f>MAX(0,BH163*(1-INDEX($B$11:$B$63,49))*(1-E163))</f>
        <v/>
      </c>
      <c r="BJ164" s="15">
        <f>MAX(0,BI163*(1-INDEX($B$11:$B$63,50))*(1-E163))</f>
        <v/>
      </c>
      <c r="BK164" s="15">
        <f>MAX(0,BJ163*(1-INDEX($B$11:$B$63,51))*(1-E163))</f>
        <v/>
      </c>
      <c r="BL164" s="15">
        <f>MAX(0,(BL163+BK163)*(1-INDEX($B$11:$B$63,53))*(1-E163))</f>
        <v/>
      </c>
    </row>
    <row r="165">
      <c r="A165" s="55" t="n">
        <v>99</v>
      </c>
      <c r="B165" s="15">
        <f>IF(A165&gt;Inputs!$C$62,"",SUM(M165:BK165))</f>
        <v/>
      </c>
      <c r="C165" s="15">
        <f>IF(A165&gt;Inputs!$C$62,"",INDEX(Trajectory!$C$23:$C$2000,A165))</f>
        <v/>
      </c>
      <c r="D165" s="15">
        <f>IF(A165&gt;Inputs!$C$62,"",SUM(L165:BK165))</f>
        <v/>
      </c>
      <c r="E165" s="12">
        <f>IF(A165&gt;Inputs!$C$62,"",INDEX(Trajectory!$AG$23:$AG$2000,A165))</f>
        <v/>
      </c>
      <c r="F165" s="12">
        <f>IF(D165=0,0,SUMPRODUCT(L165:BK165,$B$11:$B$63)/D165)</f>
        <v/>
      </c>
      <c r="G165" s="12">
        <f>IF(D165=0,0,MIN(0.95,1-(1-F165)*(1-E165)))</f>
        <v/>
      </c>
      <c r="H165" s="15">
        <f>IF(D165=0,0,D165*G165)</f>
        <v/>
      </c>
      <c r="I165" s="15">
        <f>IF(D165=0,0,D165-H165)</f>
        <v/>
      </c>
      <c r="L165" s="15">
        <f>C165</f>
        <v/>
      </c>
      <c r="M165" s="15">
        <f>MAX(0,L164*(1-INDEX($B$11:$B$63,1))*(1-E164))</f>
        <v/>
      </c>
      <c r="N165" s="15">
        <f>MAX(0,M164*(1-INDEX($B$11:$B$63,2))*(1-E164))</f>
        <v/>
      </c>
      <c r="O165" s="15">
        <f>MAX(0,N164*(1-INDEX($B$11:$B$63,3))*(1-E164))</f>
        <v/>
      </c>
      <c r="P165" s="15">
        <f>MAX(0,O164*(1-INDEX($B$11:$B$63,4))*(1-E164))</f>
        <v/>
      </c>
      <c r="Q165" s="15">
        <f>MAX(0,P164*(1-INDEX($B$11:$B$63,5))*(1-E164))</f>
        <v/>
      </c>
      <c r="R165" s="15">
        <f>MAX(0,Q164*(1-INDEX($B$11:$B$63,6))*(1-E164))</f>
        <v/>
      </c>
      <c r="S165" s="15">
        <f>MAX(0,R164*(1-INDEX($B$11:$B$63,7))*(1-E164))</f>
        <v/>
      </c>
      <c r="T165" s="15">
        <f>MAX(0,S164*(1-INDEX($B$11:$B$63,8))*(1-E164))</f>
        <v/>
      </c>
      <c r="U165" s="15">
        <f>MAX(0,T164*(1-INDEX($B$11:$B$63,9))*(1-E164))</f>
        <v/>
      </c>
      <c r="V165" s="15">
        <f>MAX(0,U164*(1-INDEX($B$11:$B$63,10))*(1-E164))</f>
        <v/>
      </c>
      <c r="W165" s="15">
        <f>MAX(0,V164*(1-INDEX($B$11:$B$63,11))*(1-E164))</f>
        <v/>
      </c>
      <c r="X165" s="15">
        <f>MAX(0,W164*(1-INDEX($B$11:$B$63,12))*(1-E164))</f>
        <v/>
      </c>
      <c r="Y165" s="15">
        <f>MAX(0,X164*(1-INDEX($B$11:$B$63,13))*(1-E164))</f>
        <v/>
      </c>
      <c r="Z165" s="15">
        <f>MAX(0,Y164*(1-INDEX($B$11:$B$63,14))*(1-E164))</f>
        <v/>
      </c>
      <c r="AA165" s="15">
        <f>MAX(0,Z164*(1-INDEX($B$11:$B$63,15))*(1-E164))</f>
        <v/>
      </c>
      <c r="AB165" s="15">
        <f>MAX(0,AA164*(1-INDEX($B$11:$B$63,16))*(1-E164))</f>
        <v/>
      </c>
      <c r="AC165" s="15">
        <f>MAX(0,AB164*(1-INDEX($B$11:$B$63,17))*(1-E164))</f>
        <v/>
      </c>
      <c r="AD165" s="15">
        <f>MAX(0,AC164*(1-INDEX($B$11:$B$63,18))*(1-E164))</f>
        <v/>
      </c>
      <c r="AE165" s="15">
        <f>MAX(0,AD164*(1-INDEX($B$11:$B$63,19))*(1-E164))</f>
        <v/>
      </c>
      <c r="AF165" s="15">
        <f>MAX(0,AE164*(1-INDEX($B$11:$B$63,20))*(1-E164))</f>
        <v/>
      </c>
      <c r="AG165" s="15">
        <f>MAX(0,AF164*(1-INDEX($B$11:$B$63,21))*(1-E164))</f>
        <v/>
      </c>
      <c r="AH165" s="15">
        <f>MAX(0,AG164*(1-INDEX($B$11:$B$63,22))*(1-E164))</f>
        <v/>
      </c>
      <c r="AI165" s="15">
        <f>MAX(0,AH164*(1-INDEX($B$11:$B$63,23))*(1-E164))</f>
        <v/>
      </c>
      <c r="AJ165" s="15">
        <f>MAX(0,AI164*(1-INDEX($B$11:$B$63,24))*(1-E164))</f>
        <v/>
      </c>
      <c r="AK165" s="15">
        <f>MAX(0,AJ164*(1-INDEX($B$11:$B$63,25))*(1-E164))</f>
        <v/>
      </c>
      <c r="AL165" s="15">
        <f>MAX(0,AK164*(1-INDEX($B$11:$B$63,26))*(1-E164))</f>
        <v/>
      </c>
      <c r="AM165" s="15">
        <f>MAX(0,AL164*(1-INDEX($B$11:$B$63,27))*(1-E164))</f>
        <v/>
      </c>
      <c r="AN165" s="15">
        <f>MAX(0,AM164*(1-INDEX($B$11:$B$63,28))*(1-E164))</f>
        <v/>
      </c>
      <c r="AO165" s="15">
        <f>MAX(0,AN164*(1-INDEX($B$11:$B$63,29))*(1-E164))</f>
        <v/>
      </c>
      <c r="AP165" s="15">
        <f>MAX(0,AO164*(1-INDEX($B$11:$B$63,30))*(1-E164))</f>
        <v/>
      </c>
      <c r="AQ165" s="15">
        <f>MAX(0,AP164*(1-INDEX($B$11:$B$63,31))*(1-E164))</f>
        <v/>
      </c>
      <c r="AR165" s="15">
        <f>MAX(0,AQ164*(1-INDEX($B$11:$B$63,32))*(1-E164))</f>
        <v/>
      </c>
      <c r="AS165" s="15">
        <f>MAX(0,AR164*(1-INDEX($B$11:$B$63,33))*(1-E164))</f>
        <v/>
      </c>
      <c r="AT165" s="15">
        <f>MAX(0,AS164*(1-INDEX($B$11:$B$63,34))*(1-E164))</f>
        <v/>
      </c>
      <c r="AU165" s="15">
        <f>MAX(0,AT164*(1-INDEX($B$11:$B$63,35))*(1-E164))</f>
        <v/>
      </c>
      <c r="AV165" s="15">
        <f>MAX(0,AU164*(1-INDEX($B$11:$B$63,36))*(1-E164))</f>
        <v/>
      </c>
      <c r="AW165" s="15">
        <f>MAX(0,AV164*(1-INDEX($B$11:$B$63,37))*(1-E164))</f>
        <v/>
      </c>
      <c r="AX165" s="15">
        <f>MAX(0,AW164*(1-INDEX($B$11:$B$63,38))*(1-E164))</f>
        <v/>
      </c>
      <c r="AY165" s="15">
        <f>MAX(0,AX164*(1-INDEX($B$11:$B$63,39))*(1-E164))</f>
        <v/>
      </c>
      <c r="AZ165" s="15">
        <f>MAX(0,AY164*(1-INDEX($B$11:$B$63,40))*(1-E164))</f>
        <v/>
      </c>
      <c r="BA165" s="15">
        <f>MAX(0,AZ164*(1-INDEX($B$11:$B$63,41))*(1-E164))</f>
        <v/>
      </c>
      <c r="BB165" s="15">
        <f>MAX(0,BA164*(1-INDEX($B$11:$B$63,42))*(1-E164))</f>
        <v/>
      </c>
      <c r="BC165" s="15">
        <f>MAX(0,BB164*(1-INDEX($B$11:$B$63,43))*(1-E164))</f>
        <v/>
      </c>
      <c r="BD165" s="15">
        <f>MAX(0,BC164*(1-INDEX($B$11:$B$63,44))*(1-E164))</f>
        <v/>
      </c>
      <c r="BE165" s="15">
        <f>MAX(0,BD164*(1-INDEX($B$11:$B$63,45))*(1-E164))</f>
        <v/>
      </c>
      <c r="BF165" s="15">
        <f>MAX(0,BE164*(1-INDEX($B$11:$B$63,46))*(1-E164))</f>
        <v/>
      </c>
      <c r="BG165" s="15">
        <f>MAX(0,BF164*(1-INDEX($B$11:$B$63,47))*(1-E164))</f>
        <v/>
      </c>
      <c r="BH165" s="15">
        <f>MAX(0,BG164*(1-INDEX($B$11:$B$63,48))*(1-E164))</f>
        <v/>
      </c>
      <c r="BI165" s="15">
        <f>MAX(0,BH164*(1-INDEX($B$11:$B$63,49))*(1-E164))</f>
        <v/>
      </c>
      <c r="BJ165" s="15">
        <f>MAX(0,BI164*(1-INDEX($B$11:$B$63,50))*(1-E164))</f>
        <v/>
      </c>
      <c r="BK165" s="15">
        <f>MAX(0,BJ164*(1-INDEX($B$11:$B$63,51))*(1-E164))</f>
        <v/>
      </c>
      <c r="BL165" s="15">
        <f>MAX(0,(BL164+BK164)*(1-INDEX($B$11:$B$63,53))*(1-E164))</f>
        <v/>
      </c>
    </row>
    <row r="166">
      <c r="A166" s="55" t="n">
        <v>100</v>
      </c>
      <c r="B166" s="15">
        <f>IF(A166&gt;Inputs!$C$62,"",SUM(M166:BK166))</f>
        <v/>
      </c>
      <c r="C166" s="15">
        <f>IF(A166&gt;Inputs!$C$62,"",INDEX(Trajectory!$C$23:$C$2000,A166))</f>
        <v/>
      </c>
      <c r="D166" s="15">
        <f>IF(A166&gt;Inputs!$C$62,"",SUM(L166:BK166))</f>
        <v/>
      </c>
      <c r="E166" s="12">
        <f>IF(A166&gt;Inputs!$C$62,"",INDEX(Trajectory!$AG$23:$AG$2000,A166))</f>
        <v/>
      </c>
      <c r="F166" s="12">
        <f>IF(D166=0,0,SUMPRODUCT(L166:BK166,$B$11:$B$63)/D166)</f>
        <v/>
      </c>
      <c r="G166" s="12">
        <f>IF(D166=0,0,MIN(0.95,1-(1-F166)*(1-E166)))</f>
        <v/>
      </c>
      <c r="H166" s="15">
        <f>IF(D166=0,0,D166*G166)</f>
        <v/>
      </c>
      <c r="I166" s="15">
        <f>IF(D166=0,0,D166-H166)</f>
        <v/>
      </c>
      <c r="L166" s="15">
        <f>C166</f>
        <v/>
      </c>
      <c r="M166" s="15">
        <f>MAX(0,L165*(1-INDEX($B$11:$B$63,1))*(1-E165))</f>
        <v/>
      </c>
      <c r="N166" s="15">
        <f>MAX(0,M165*(1-INDEX($B$11:$B$63,2))*(1-E165))</f>
        <v/>
      </c>
      <c r="O166" s="15">
        <f>MAX(0,N165*(1-INDEX($B$11:$B$63,3))*(1-E165))</f>
        <v/>
      </c>
      <c r="P166" s="15">
        <f>MAX(0,O165*(1-INDEX($B$11:$B$63,4))*(1-E165))</f>
        <v/>
      </c>
      <c r="Q166" s="15">
        <f>MAX(0,P165*(1-INDEX($B$11:$B$63,5))*(1-E165))</f>
        <v/>
      </c>
      <c r="R166" s="15">
        <f>MAX(0,Q165*(1-INDEX($B$11:$B$63,6))*(1-E165))</f>
        <v/>
      </c>
      <c r="S166" s="15">
        <f>MAX(0,R165*(1-INDEX($B$11:$B$63,7))*(1-E165))</f>
        <v/>
      </c>
      <c r="T166" s="15">
        <f>MAX(0,S165*(1-INDEX($B$11:$B$63,8))*(1-E165))</f>
        <v/>
      </c>
      <c r="U166" s="15">
        <f>MAX(0,T165*(1-INDEX($B$11:$B$63,9))*(1-E165))</f>
        <v/>
      </c>
      <c r="V166" s="15">
        <f>MAX(0,U165*(1-INDEX($B$11:$B$63,10))*(1-E165))</f>
        <v/>
      </c>
      <c r="W166" s="15">
        <f>MAX(0,V165*(1-INDEX($B$11:$B$63,11))*(1-E165))</f>
        <v/>
      </c>
      <c r="X166" s="15">
        <f>MAX(0,W165*(1-INDEX($B$11:$B$63,12))*(1-E165))</f>
        <v/>
      </c>
      <c r="Y166" s="15">
        <f>MAX(0,X165*(1-INDEX($B$11:$B$63,13))*(1-E165))</f>
        <v/>
      </c>
      <c r="Z166" s="15">
        <f>MAX(0,Y165*(1-INDEX($B$11:$B$63,14))*(1-E165))</f>
        <v/>
      </c>
      <c r="AA166" s="15">
        <f>MAX(0,Z165*(1-INDEX($B$11:$B$63,15))*(1-E165))</f>
        <v/>
      </c>
      <c r="AB166" s="15">
        <f>MAX(0,AA165*(1-INDEX($B$11:$B$63,16))*(1-E165))</f>
        <v/>
      </c>
      <c r="AC166" s="15">
        <f>MAX(0,AB165*(1-INDEX($B$11:$B$63,17))*(1-E165))</f>
        <v/>
      </c>
      <c r="AD166" s="15">
        <f>MAX(0,AC165*(1-INDEX($B$11:$B$63,18))*(1-E165))</f>
        <v/>
      </c>
      <c r="AE166" s="15">
        <f>MAX(0,AD165*(1-INDEX($B$11:$B$63,19))*(1-E165))</f>
        <v/>
      </c>
      <c r="AF166" s="15">
        <f>MAX(0,AE165*(1-INDEX($B$11:$B$63,20))*(1-E165))</f>
        <v/>
      </c>
      <c r="AG166" s="15">
        <f>MAX(0,AF165*(1-INDEX($B$11:$B$63,21))*(1-E165))</f>
        <v/>
      </c>
      <c r="AH166" s="15">
        <f>MAX(0,AG165*(1-INDEX($B$11:$B$63,22))*(1-E165))</f>
        <v/>
      </c>
      <c r="AI166" s="15">
        <f>MAX(0,AH165*(1-INDEX($B$11:$B$63,23))*(1-E165))</f>
        <v/>
      </c>
      <c r="AJ166" s="15">
        <f>MAX(0,AI165*(1-INDEX($B$11:$B$63,24))*(1-E165))</f>
        <v/>
      </c>
      <c r="AK166" s="15">
        <f>MAX(0,AJ165*(1-INDEX($B$11:$B$63,25))*(1-E165))</f>
        <v/>
      </c>
      <c r="AL166" s="15">
        <f>MAX(0,AK165*(1-INDEX($B$11:$B$63,26))*(1-E165))</f>
        <v/>
      </c>
      <c r="AM166" s="15">
        <f>MAX(0,AL165*(1-INDEX($B$11:$B$63,27))*(1-E165))</f>
        <v/>
      </c>
      <c r="AN166" s="15">
        <f>MAX(0,AM165*(1-INDEX($B$11:$B$63,28))*(1-E165))</f>
        <v/>
      </c>
      <c r="AO166" s="15">
        <f>MAX(0,AN165*(1-INDEX($B$11:$B$63,29))*(1-E165))</f>
        <v/>
      </c>
      <c r="AP166" s="15">
        <f>MAX(0,AO165*(1-INDEX($B$11:$B$63,30))*(1-E165))</f>
        <v/>
      </c>
      <c r="AQ166" s="15">
        <f>MAX(0,AP165*(1-INDEX($B$11:$B$63,31))*(1-E165))</f>
        <v/>
      </c>
      <c r="AR166" s="15">
        <f>MAX(0,AQ165*(1-INDEX($B$11:$B$63,32))*(1-E165))</f>
        <v/>
      </c>
      <c r="AS166" s="15">
        <f>MAX(0,AR165*(1-INDEX($B$11:$B$63,33))*(1-E165))</f>
        <v/>
      </c>
      <c r="AT166" s="15">
        <f>MAX(0,AS165*(1-INDEX($B$11:$B$63,34))*(1-E165))</f>
        <v/>
      </c>
      <c r="AU166" s="15">
        <f>MAX(0,AT165*(1-INDEX($B$11:$B$63,35))*(1-E165))</f>
        <v/>
      </c>
      <c r="AV166" s="15">
        <f>MAX(0,AU165*(1-INDEX($B$11:$B$63,36))*(1-E165))</f>
        <v/>
      </c>
      <c r="AW166" s="15">
        <f>MAX(0,AV165*(1-INDEX($B$11:$B$63,37))*(1-E165))</f>
        <v/>
      </c>
      <c r="AX166" s="15">
        <f>MAX(0,AW165*(1-INDEX($B$11:$B$63,38))*(1-E165))</f>
        <v/>
      </c>
      <c r="AY166" s="15">
        <f>MAX(0,AX165*(1-INDEX($B$11:$B$63,39))*(1-E165))</f>
        <v/>
      </c>
      <c r="AZ166" s="15">
        <f>MAX(0,AY165*(1-INDEX($B$11:$B$63,40))*(1-E165))</f>
        <v/>
      </c>
      <c r="BA166" s="15">
        <f>MAX(0,AZ165*(1-INDEX($B$11:$B$63,41))*(1-E165))</f>
        <v/>
      </c>
      <c r="BB166" s="15">
        <f>MAX(0,BA165*(1-INDEX($B$11:$B$63,42))*(1-E165))</f>
        <v/>
      </c>
      <c r="BC166" s="15">
        <f>MAX(0,BB165*(1-INDEX($B$11:$B$63,43))*(1-E165))</f>
        <v/>
      </c>
      <c r="BD166" s="15">
        <f>MAX(0,BC165*(1-INDEX($B$11:$B$63,44))*(1-E165))</f>
        <v/>
      </c>
      <c r="BE166" s="15">
        <f>MAX(0,BD165*(1-INDEX($B$11:$B$63,45))*(1-E165))</f>
        <v/>
      </c>
      <c r="BF166" s="15">
        <f>MAX(0,BE165*(1-INDEX($B$11:$B$63,46))*(1-E165))</f>
        <v/>
      </c>
      <c r="BG166" s="15">
        <f>MAX(0,BF165*(1-INDEX($B$11:$B$63,47))*(1-E165))</f>
        <v/>
      </c>
      <c r="BH166" s="15">
        <f>MAX(0,BG165*(1-INDEX($B$11:$B$63,48))*(1-E165))</f>
        <v/>
      </c>
      <c r="BI166" s="15">
        <f>MAX(0,BH165*(1-INDEX($B$11:$B$63,49))*(1-E165))</f>
        <v/>
      </c>
      <c r="BJ166" s="15">
        <f>MAX(0,BI165*(1-INDEX($B$11:$B$63,50))*(1-E165))</f>
        <v/>
      </c>
      <c r="BK166" s="15">
        <f>MAX(0,BJ165*(1-INDEX($B$11:$B$63,51))*(1-E165))</f>
        <v/>
      </c>
      <c r="BL166" s="15">
        <f>MAX(0,(BL165+BK165)*(1-INDEX($B$11:$B$63,53))*(1-E165))</f>
        <v/>
      </c>
    </row>
    <row r="167">
      <c r="A167" s="55" t="n">
        <v>101</v>
      </c>
      <c r="B167" s="15">
        <f>IF(A167&gt;Inputs!$C$62,"",SUM(M167:BK167))</f>
        <v/>
      </c>
      <c r="C167" s="15">
        <f>IF(A167&gt;Inputs!$C$62,"",INDEX(Trajectory!$C$23:$C$2000,A167))</f>
        <v/>
      </c>
      <c r="D167" s="15">
        <f>IF(A167&gt;Inputs!$C$62,"",SUM(L167:BK167))</f>
        <v/>
      </c>
      <c r="E167" s="12">
        <f>IF(A167&gt;Inputs!$C$62,"",INDEX(Trajectory!$AG$23:$AG$2000,A167))</f>
        <v/>
      </c>
      <c r="F167" s="12">
        <f>IF(D167=0,0,SUMPRODUCT(L167:BK167,$B$11:$B$63)/D167)</f>
        <v/>
      </c>
      <c r="G167" s="12">
        <f>IF(D167=0,0,MIN(0.95,1-(1-F167)*(1-E167)))</f>
        <v/>
      </c>
      <c r="H167" s="15">
        <f>IF(D167=0,0,D167*G167)</f>
        <v/>
      </c>
      <c r="I167" s="15">
        <f>IF(D167=0,0,D167-H167)</f>
        <v/>
      </c>
      <c r="L167" s="15">
        <f>C167</f>
        <v/>
      </c>
      <c r="M167" s="15">
        <f>MAX(0,L166*(1-INDEX($B$11:$B$63,1))*(1-E166))</f>
        <v/>
      </c>
      <c r="N167" s="15">
        <f>MAX(0,M166*(1-INDEX($B$11:$B$63,2))*(1-E166))</f>
        <v/>
      </c>
      <c r="O167" s="15">
        <f>MAX(0,N166*(1-INDEX($B$11:$B$63,3))*(1-E166))</f>
        <v/>
      </c>
      <c r="P167" s="15">
        <f>MAX(0,O166*(1-INDEX($B$11:$B$63,4))*(1-E166))</f>
        <v/>
      </c>
      <c r="Q167" s="15">
        <f>MAX(0,P166*(1-INDEX($B$11:$B$63,5))*(1-E166))</f>
        <v/>
      </c>
      <c r="R167" s="15">
        <f>MAX(0,Q166*(1-INDEX($B$11:$B$63,6))*(1-E166))</f>
        <v/>
      </c>
      <c r="S167" s="15">
        <f>MAX(0,R166*(1-INDEX($B$11:$B$63,7))*(1-E166))</f>
        <v/>
      </c>
      <c r="T167" s="15">
        <f>MAX(0,S166*(1-INDEX($B$11:$B$63,8))*(1-E166))</f>
        <v/>
      </c>
      <c r="U167" s="15">
        <f>MAX(0,T166*(1-INDEX($B$11:$B$63,9))*(1-E166))</f>
        <v/>
      </c>
      <c r="V167" s="15">
        <f>MAX(0,U166*(1-INDEX($B$11:$B$63,10))*(1-E166))</f>
        <v/>
      </c>
      <c r="W167" s="15">
        <f>MAX(0,V166*(1-INDEX($B$11:$B$63,11))*(1-E166))</f>
        <v/>
      </c>
      <c r="X167" s="15">
        <f>MAX(0,W166*(1-INDEX($B$11:$B$63,12))*(1-E166))</f>
        <v/>
      </c>
      <c r="Y167" s="15">
        <f>MAX(0,X166*(1-INDEX($B$11:$B$63,13))*(1-E166))</f>
        <v/>
      </c>
      <c r="Z167" s="15">
        <f>MAX(0,Y166*(1-INDEX($B$11:$B$63,14))*(1-E166))</f>
        <v/>
      </c>
      <c r="AA167" s="15">
        <f>MAX(0,Z166*(1-INDEX($B$11:$B$63,15))*(1-E166))</f>
        <v/>
      </c>
      <c r="AB167" s="15">
        <f>MAX(0,AA166*(1-INDEX($B$11:$B$63,16))*(1-E166))</f>
        <v/>
      </c>
      <c r="AC167" s="15">
        <f>MAX(0,AB166*(1-INDEX($B$11:$B$63,17))*(1-E166))</f>
        <v/>
      </c>
      <c r="AD167" s="15">
        <f>MAX(0,AC166*(1-INDEX($B$11:$B$63,18))*(1-E166))</f>
        <v/>
      </c>
      <c r="AE167" s="15">
        <f>MAX(0,AD166*(1-INDEX($B$11:$B$63,19))*(1-E166))</f>
        <v/>
      </c>
      <c r="AF167" s="15">
        <f>MAX(0,AE166*(1-INDEX($B$11:$B$63,20))*(1-E166))</f>
        <v/>
      </c>
      <c r="AG167" s="15">
        <f>MAX(0,AF166*(1-INDEX($B$11:$B$63,21))*(1-E166))</f>
        <v/>
      </c>
      <c r="AH167" s="15">
        <f>MAX(0,AG166*(1-INDEX($B$11:$B$63,22))*(1-E166))</f>
        <v/>
      </c>
      <c r="AI167" s="15">
        <f>MAX(0,AH166*(1-INDEX($B$11:$B$63,23))*(1-E166))</f>
        <v/>
      </c>
      <c r="AJ167" s="15">
        <f>MAX(0,AI166*(1-INDEX($B$11:$B$63,24))*(1-E166))</f>
        <v/>
      </c>
      <c r="AK167" s="15">
        <f>MAX(0,AJ166*(1-INDEX($B$11:$B$63,25))*(1-E166))</f>
        <v/>
      </c>
      <c r="AL167" s="15">
        <f>MAX(0,AK166*(1-INDEX($B$11:$B$63,26))*(1-E166))</f>
        <v/>
      </c>
      <c r="AM167" s="15">
        <f>MAX(0,AL166*(1-INDEX($B$11:$B$63,27))*(1-E166))</f>
        <v/>
      </c>
      <c r="AN167" s="15">
        <f>MAX(0,AM166*(1-INDEX($B$11:$B$63,28))*(1-E166))</f>
        <v/>
      </c>
      <c r="AO167" s="15">
        <f>MAX(0,AN166*(1-INDEX($B$11:$B$63,29))*(1-E166))</f>
        <v/>
      </c>
      <c r="AP167" s="15">
        <f>MAX(0,AO166*(1-INDEX($B$11:$B$63,30))*(1-E166))</f>
        <v/>
      </c>
      <c r="AQ167" s="15">
        <f>MAX(0,AP166*(1-INDEX($B$11:$B$63,31))*(1-E166))</f>
        <v/>
      </c>
      <c r="AR167" s="15">
        <f>MAX(0,AQ166*(1-INDEX($B$11:$B$63,32))*(1-E166))</f>
        <v/>
      </c>
      <c r="AS167" s="15">
        <f>MAX(0,AR166*(1-INDEX($B$11:$B$63,33))*(1-E166))</f>
        <v/>
      </c>
      <c r="AT167" s="15">
        <f>MAX(0,AS166*(1-INDEX($B$11:$B$63,34))*(1-E166))</f>
        <v/>
      </c>
      <c r="AU167" s="15">
        <f>MAX(0,AT166*(1-INDEX($B$11:$B$63,35))*(1-E166))</f>
        <v/>
      </c>
      <c r="AV167" s="15">
        <f>MAX(0,AU166*(1-INDEX($B$11:$B$63,36))*(1-E166))</f>
        <v/>
      </c>
      <c r="AW167" s="15">
        <f>MAX(0,AV166*(1-INDEX($B$11:$B$63,37))*(1-E166))</f>
        <v/>
      </c>
      <c r="AX167" s="15">
        <f>MAX(0,AW166*(1-INDEX($B$11:$B$63,38))*(1-E166))</f>
        <v/>
      </c>
      <c r="AY167" s="15">
        <f>MAX(0,AX166*(1-INDEX($B$11:$B$63,39))*(1-E166))</f>
        <v/>
      </c>
      <c r="AZ167" s="15">
        <f>MAX(0,AY166*(1-INDEX($B$11:$B$63,40))*(1-E166))</f>
        <v/>
      </c>
      <c r="BA167" s="15">
        <f>MAX(0,AZ166*(1-INDEX($B$11:$B$63,41))*(1-E166))</f>
        <v/>
      </c>
      <c r="BB167" s="15">
        <f>MAX(0,BA166*(1-INDEX($B$11:$B$63,42))*(1-E166))</f>
        <v/>
      </c>
      <c r="BC167" s="15">
        <f>MAX(0,BB166*(1-INDEX($B$11:$B$63,43))*(1-E166))</f>
        <v/>
      </c>
      <c r="BD167" s="15">
        <f>MAX(0,BC166*(1-INDEX($B$11:$B$63,44))*(1-E166))</f>
        <v/>
      </c>
      <c r="BE167" s="15">
        <f>MAX(0,BD166*(1-INDEX($B$11:$B$63,45))*(1-E166))</f>
        <v/>
      </c>
      <c r="BF167" s="15">
        <f>MAX(0,BE166*(1-INDEX($B$11:$B$63,46))*(1-E166))</f>
        <v/>
      </c>
      <c r="BG167" s="15">
        <f>MAX(0,BF166*(1-INDEX($B$11:$B$63,47))*(1-E166))</f>
        <v/>
      </c>
      <c r="BH167" s="15">
        <f>MAX(0,BG166*(1-INDEX($B$11:$B$63,48))*(1-E166))</f>
        <v/>
      </c>
      <c r="BI167" s="15">
        <f>MAX(0,BH166*(1-INDEX($B$11:$B$63,49))*(1-E166))</f>
        <v/>
      </c>
      <c r="BJ167" s="15">
        <f>MAX(0,BI166*(1-INDEX($B$11:$B$63,50))*(1-E166))</f>
        <v/>
      </c>
      <c r="BK167" s="15">
        <f>MAX(0,BJ166*(1-INDEX($B$11:$B$63,51))*(1-E166))</f>
        <v/>
      </c>
      <c r="BL167" s="15">
        <f>MAX(0,(BL166+BK166)*(1-INDEX($B$11:$B$63,53))*(1-E166))</f>
        <v/>
      </c>
    </row>
    <row r="168">
      <c r="A168" s="55" t="n">
        <v>102</v>
      </c>
      <c r="B168" s="15">
        <f>IF(A168&gt;Inputs!$C$62,"",SUM(M168:BK168))</f>
        <v/>
      </c>
      <c r="C168" s="15">
        <f>IF(A168&gt;Inputs!$C$62,"",INDEX(Trajectory!$C$23:$C$2000,A168))</f>
        <v/>
      </c>
      <c r="D168" s="15">
        <f>IF(A168&gt;Inputs!$C$62,"",SUM(L168:BK168))</f>
        <v/>
      </c>
      <c r="E168" s="12">
        <f>IF(A168&gt;Inputs!$C$62,"",INDEX(Trajectory!$AG$23:$AG$2000,A168))</f>
        <v/>
      </c>
      <c r="F168" s="12">
        <f>IF(D168=0,0,SUMPRODUCT(L168:BK168,$B$11:$B$63)/D168)</f>
        <v/>
      </c>
      <c r="G168" s="12">
        <f>IF(D168=0,0,MIN(0.95,1-(1-F168)*(1-E168)))</f>
        <v/>
      </c>
      <c r="H168" s="15">
        <f>IF(D168=0,0,D168*G168)</f>
        <v/>
      </c>
      <c r="I168" s="15">
        <f>IF(D168=0,0,D168-H168)</f>
        <v/>
      </c>
      <c r="L168" s="15">
        <f>C168</f>
        <v/>
      </c>
      <c r="M168" s="15">
        <f>MAX(0,L167*(1-INDEX($B$11:$B$63,1))*(1-E167))</f>
        <v/>
      </c>
      <c r="N168" s="15">
        <f>MAX(0,M167*(1-INDEX($B$11:$B$63,2))*(1-E167))</f>
        <v/>
      </c>
      <c r="O168" s="15">
        <f>MAX(0,N167*(1-INDEX($B$11:$B$63,3))*(1-E167))</f>
        <v/>
      </c>
      <c r="P168" s="15">
        <f>MAX(0,O167*(1-INDEX($B$11:$B$63,4))*(1-E167))</f>
        <v/>
      </c>
      <c r="Q168" s="15">
        <f>MAX(0,P167*(1-INDEX($B$11:$B$63,5))*(1-E167))</f>
        <v/>
      </c>
      <c r="R168" s="15">
        <f>MAX(0,Q167*(1-INDEX($B$11:$B$63,6))*(1-E167))</f>
        <v/>
      </c>
      <c r="S168" s="15">
        <f>MAX(0,R167*(1-INDEX($B$11:$B$63,7))*(1-E167))</f>
        <v/>
      </c>
      <c r="T168" s="15">
        <f>MAX(0,S167*(1-INDEX($B$11:$B$63,8))*(1-E167))</f>
        <v/>
      </c>
      <c r="U168" s="15">
        <f>MAX(0,T167*(1-INDEX($B$11:$B$63,9))*(1-E167))</f>
        <v/>
      </c>
      <c r="V168" s="15">
        <f>MAX(0,U167*(1-INDEX($B$11:$B$63,10))*(1-E167))</f>
        <v/>
      </c>
      <c r="W168" s="15">
        <f>MAX(0,V167*(1-INDEX($B$11:$B$63,11))*(1-E167))</f>
        <v/>
      </c>
      <c r="X168" s="15">
        <f>MAX(0,W167*(1-INDEX($B$11:$B$63,12))*(1-E167))</f>
        <v/>
      </c>
      <c r="Y168" s="15">
        <f>MAX(0,X167*(1-INDEX($B$11:$B$63,13))*(1-E167))</f>
        <v/>
      </c>
      <c r="Z168" s="15">
        <f>MAX(0,Y167*(1-INDEX($B$11:$B$63,14))*(1-E167))</f>
        <v/>
      </c>
      <c r="AA168" s="15">
        <f>MAX(0,Z167*(1-INDEX($B$11:$B$63,15))*(1-E167))</f>
        <v/>
      </c>
      <c r="AB168" s="15">
        <f>MAX(0,AA167*(1-INDEX($B$11:$B$63,16))*(1-E167))</f>
        <v/>
      </c>
      <c r="AC168" s="15">
        <f>MAX(0,AB167*(1-INDEX($B$11:$B$63,17))*(1-E167))</f>
        <v/>
      </c>
      <c r="AD168" s="15">
        <f>MAX(0,AC167*(1-INDEX($B$11:$B$63,18))*(1-E167))</f>
        <v/>
      </c>
      <c r="AE168" s="15">
        <f>MAX(0,AD167*(1-INDEX($B$11:$B$63,19))*(1-E167))</f>
        <v/>
      </c>
      <c r="AF168" s="15">
        <f>MAX(0,AE167*(1-INDEX($B$11:$B$63,20))*(1-E167))</f>
        <v/>
      </c>
      <c r="AG168" s="15">
        <f>MAX(0,AF167*(1-INDEX($B$11:$B$63,21))*(1-E167))</f>
        <v/>
      </c>
      <c r="AH168" s="15">
        <f>MAX(0,AG167*(1-INDEX($B$11:$B$63,22))*(1-E167))</f>
        <v/>
      </c>
      <c r="AI168" s="15">
        <f>MAX(0,AH167*(1-INDEX($B$11:$B$63,23))*(1-E167))</f>
        <v/>
      </c>
      <c r="AJ168" s="15">
        <f>MAX(0,AI167*(1-INDEX($B$11:$B$63,24))*(1-E167))</f>
        <v/>
      </c>
      <c r="AK168" s="15">
        <f>MAX(0,AJ167*(1-INDEX($B$11:$B$63,25))*(1-E167))</f>
        <v/>
      </c>
      <c r="AL168" s="15">
        <f>MAX(0,AK167*(1-INDEX($B$11:$B$63,26))*(1-E167))</f>
        <v/>
      </c>
      <c r="AM168" s="15">
        <f>MAX(0,AL167*(1-INDEX($B$11:$B$63,27))*(1-E167))</f>
        <v/>
      </c>
      <c r="AN168" s="15">
        <f>MAX(0,AM167*(1-INDEX($B$11:$B$63,28))*(1-E167))</f>
        <v/>
      </c>
      <c r="AO168" s="15">
        <f>MAX(0,AN167*(1-INDEX($B$11:$B$63,29))*(1-E167))</f>
        <v/>
      </c>
      <c r="AP168" s="15">
        <f>MAX(0,AO167*(1-INDEX($B$11:$B$63,30))*(1-E167))</f>
        <v/>
      </c>
      <c r="AQ168" s="15">
        <f>MAX(0,AP167*(1-INDEX($B$11:$B$63,31))*(1-E167))</f>
        <v/>
      </c>
      <c r="AR168" s="15">
        <f>MAX(0,AQ167*(1-INDEX($B$11:$B$63,32))*(1-E167))</f>
        <v/>
      </c>
      <c r="AS168" s="15">
        <f>MAX(0,AR167*(1-INDEX($B$11:$B$63,33))*(1-E167))</f>
        <v/>
      </c>
      <c r="AT168" s="15">
        <f>MAX(0,AS167*(1-INDEX($B$11:$B$63,34))*(1-E167))</f>
        <v/>
      </c>
      <c r="AU168" s="15">
        <f>MAX(0,AT167*(1-INDEX($B$11:$B$63,35))*(1-E167))</f>
        <v/>
      </c>
      <c r="AV168" s="15">
        <f>MAX(0,AU167*(1-INDEX($B$11:$B$63,36))*(1-E167))</f>
        <v/>
      </c>
      <c r="AW168" s="15">
        <f>MAX(0,AV167*(1-INDEX($B$11:$B$63,37))*(1-E167))</f>
        <v/>
      </c>
      <c r="AX168" s="15">
        <f>MAX(0,AW167*(1-INDEX($B$11:$B$63,38))*(1-E167))</f>
        <v/>
      </c>
      <c r="AY168" s="15">
        <f>MAX(0,AX167*(1-INDEX($B$11:$B$63,39))*(1-E167))</f>
        <v/>
      </c>
      <c r="AZ168" s="15">
        <f>MAX(0,AY167*(1-INDEX($B$11:$B$63,40))*(1-E167))</f>
        <v/>
      </c>
      <c r="BA168" s="15">
        <f>MAX(0,AZ167*(1-INDEX($B$11:$B$63,41))*(1-E167))</f>
        <v/>
      </c>
      <c r="BB168" s="15">
        <f>MAX(0,BA167*(1-INDEX($B$11:$B$63,42))*(1-E167))</f>
        <v/>
      </c>
      <c r="BC168" s="15">
        <f>MAX(0,BB167*(1-INDEX($B$11:$B$63,43))*(1-E167))</f>
        <v/>
      </c>
      <c r="BD168" s="15">
        <f>MAX(0,BC167*(1-INDEX($B$11:$B$63,44))*(1-E167))</f>
        <v/>
      </c>
      <c r="BE168" s="15">
        <f>MAX(0,BD167*(1-INDEX($B$11:$B$63,45))*(1-E167))</f>
        <v/>
      </c>
      <c r="BF168" s="15">
        <f>MAX(0,BE167*(1-INDEX($B$11:$B$63,46))*(1-E167))</f>
        <v/>
      </c>
      <c r="BG168" s="15">
        <f>MAX(0,BF167*(1-INDEX($B$11:$B$63,47))*(1-E167))</f>
        <v/>
      </c>
      <c r="BH168" s="15">
        <f>MAX(0,BG167*(1-INDEX($B$11:$B$63,48))*(1-E167))</f>
        <v/>
      </c>
      <c r="BI168" s="15">
        <f>MAX(0,BH167*(1-INDEX($B$11:$B$63,49))*(1-E167))</f>
        <v/>
      </c>
      <c r="BJ168" s="15">
        <f>MAX(0,BI167*(1-INDEX($B$11:$B$63,50))*(1-E167))</f>
        <v/>
      </c>
      <c r="BK168" s="15">
        <f>MAX(0,BJ167*(1-INDEX($B$11:$B$63,51))*(1-E167))</f>
        <v/>
      </c>
      <c r="BL168" s="15">
        <f>MAX(0,(BL167+BK167)*(1-INDEX($B$11:$B$63,53))*(1-E167))</f>
        <v/>
      </c>
    </row>
    <row r="169">
      <c r="A169" s="55" t="n">
        <v>103</v>
      </c>
      <c r="B169" s="15">
        <f>IF(A169&gt;Inputs!$C$62,"",SUM(M169:BK169))</f>
        <v/>
      </c>
      <c r="C169" s="15">
        <f>IF(A169&gt;Inputs!$C$62,"",INDEX(Trajectory!$C$23:$C$2000,A169))</f>
        <v/>
      </c>
      <c r="D169" s="15">
        <f>IF(A169&gt;Inputs!$C$62,"",SUM(L169:BK169))</f>
        <v/>
      </c>
      <c r="E169" s="12">
        <f>IF(A169&gt;Inputs!$C$62,"",INDEX(Trajectory!$AG$23:$AG$2000,A169))</f>
        <v/>
      </c>
      <c r="F169" s="12">
        <f>IF(D169=0,0,SUMPRODUCT(L169:BK169,$B$11:$B$63)/D169)</f>
        <v/>
      </c>
      <c r="G169" s="12">
        <f>IF(D169=0,0,MIN(0.95,1-(1-F169)*(1-E169)))</f>
        <v/>
      </c>
      <c r="H169" s="15">
        <f>IF(D169=0,0,D169*G169)</f>
        <v/>
      </c>
      <c r="I169" s="15">
        <f>IF(D169=0,0,D169-H169)</f>
        <v/>
      </c>
      <c r="L169" s="15">
        <f>C169</f>
        <v/>
      </c>
      <c r="M169" s="15">
        <f>MAX(0,L168*(1-INDEX($B$11:$B$63,1))*(1-E168))</f>
        <v/>
      </c>
      <c r="N169" s="15">
        <f>MAX(0,M168*(1-INDEX($B$11:$B$63,2))*(1-E168))</f>
        <v/>
      </c>
      <c r="O169" s="15">
        <f>MAX(0,N168*(1-INDEX($B$11:$B$63,3))*(1-E168))</f>
        <v/>
      </c>
      <c r="P169" s="15">
        <f>MAX(0,O168*(1-INDEX($B$11:$B$63,4))*(1-E168))</f>
        <v/>
      </c>
      <c r="Q169" s="15">
        <f>MAX(0,P168*(1-INDEX($B$11:$B$63,5))*(1-E168))</f>
        <v/>
      </c>
      <c r="R169" s="15">
        <f>MAX(0,Q168*(1-INDEX($B$11:$B$63,6))*(1-E168))</f>
        <v/>
      </c>
      <c r="S169" s="15">
        <f>MAX(0,R168*(1-INDEX($B$11:$B$63,7))*(1-E168))</f>
        <v/>
      </c>
      <c r="T169" s="15">
        <f>MAX(0,S168*(1-INDEX($B$11:$B$63,8))*(1-E168))</f>
        <v/>
      </c>
      <c r="U169" s="15">
        <f>MAX(0,T168*(1-INDEX($B$11:$B$63,9))*(1-E168))</f>
        <v/>
      </c>
      <c r="V169" s="15">
        <f>MAX(0,U168*(1-INDEX($B$11:$B$63,10))*(1-E168))</f>
        <v/>
      </c>
      <c r="W169" s="15">
        <f>MAX(0,V168*(1-INDEX($B$11:$B$63,11))*(1-E168))</f>
        <v/>
      </c>
      <c r="X169" s="15">
        <f>MAX(0,W168*(1-INDEX($B$11:$B$63,12))*(1-E168))</f>
        <v/>
      </c>
      <c r="Y169" s="15">
        <f>MAX(0,X168*(1-INDEX($B$11:$B$63,13))*(1-E168))</f>
        <v/>
      </c>
      <c r="Z169" s="15">
        <f>MAX(0,Y168*(1-INDEX($B$11:$B$63,14))*(1-E168))</f>
        <v/>
      </c>
      <c r="AA169" s="15">
        <f>MAX(0,Z168*(1-INDEX($B$11:$B$63,15))*(1-E168))</f>
        <v/>
      </c>
      <c r="AB169" s="15">
        <f>MAX(0,AA168*(1-INDEX($B$11:$B$63,16))*(1-E168))</f>
        <v/>
      </c>
      <c r="AC169" s="15">
        <f>MAX(0,AB168*(1-INDEX($B$11:$B$63,17))*(1-E168))</f>
        <v/>
      </c>
      <c r="AD169" s="15">
        <f>MAX(0,AC168*(1-INDEX($B$11:$B$63,18))*(1-E168))</f>
        <v/>
      </c>
      <c r="AE169" s="15">
        <f>MAX(0,AD168*(1-INDEX($B$11:$B$63,19))*(1-E168))</f>
        <v/>
      </c>
      <c r="AF169" s="15">
        <f>MAX(0,AE168*(1-INDEX($B$11:$B$63,20))*(1-E168))</f>
        <v/>
      </c>
      <c r="AG169" s="15">
        <f>MAX(0,AF168*(1-INDEX($B$11:$B$63,21))*(1-E168))</f>
        <v/>
      </c>
      <c r="AH169" s="15">
        <f>MAX(0,AG168*(1-INDEX($B$11:$B$63,22))*(1-E168))</f>
        <v/>
      </c>
      <c r="AI169" s="15">
        <f>MAX(0,AH168*(1-INDEX($B$11:$B$63,23))*(1-E168))</f>
        <v/>
      </c>
      <c r="AJ169" s="15">
        <f>MAX(0,AI168*(1-INDEX($B$11:$B$63,24))*(1-E168))</f>
        <v/>
      </c>
      <c r="AK169" s="15">
        <f>MAX(0,AJ168*(1-INDEX($B$11:$B$63,25))*(1-E168))</f>
        <v/>
      </c>
      <c r="AL169" s="15">
        <f>MAX(0,AK168*(1-INDEX($B$11:$B$63,26))*(1-E168))</f>
        <v/>
      </c>
      <c r="AM169" s="15">
        <f>MAX(0,AL168*(1-INDEX($B$11:$B$63,27))*(1-E168))</f>
        <v/>
      </c>
      <c r="AN169" s="15">
        <f>MAX(0,AM168*(1-INDEX($B$11:$B$63,28))*(1-E168))</f>
        <v/>
      </c>
      <c r="AO169" s="15">
        <f>MAX(0,AN168*(1-INDEX($B$11:$B$63,29))*(1-E168))</f>
        <v/>
      </c>
      <c r="AP169" s="15">
        <f>MAX(0,AO168*(1-INDEX($B$11:$B$63,30))*(1-E168))</f>
        <v/>
      </c>
      <c r="AQ169" s="15">
        <f>MAX(0,AP168*(1-INDEX($B$11:$B$63,31))*(1-E168))</f>
        <v/>
      </c>
      <c r="AR169" s="15">
        <f>MAX(0,AQ168*(1-INDEX($B$11:$B$63,32))*(1-E168))</f>
        <v/>
      </c>
      <c r="AS169" s="15">
        <f>MAX(0,AR168*(1-INDEX($B$11:$B$63,33))*(1-E168))</f>
        <v/>
      </c>
      <c r="AT169" s="15">
        <f>MAX(0,AS168*(1-INDEX($B$11:$B$63,34))*(1-E168))</f>
        <v/>
      </c>
      <c r="AU169" s="15">
        <f>MAX(0,AT168*(1-INDEX($B$11:$B$63,35))*(1-E168))</f>
        <v/>
      </c>
      <c r="AV169" s="15">
        <f>MAX(0,AU168*(1-INDEX($B$11:$B$63,36))*(1-E168))</f>
        <v/>
      </c>
      <c r="AW169" s="15">
        <f>MAX(0,AV168*(1-INDEX($B$11:$B$63,37))*(1-E168))</f>
        <v/>
      </c>
      <c r="AX169" s="15">
        <f>MAX(0,AW168*(1-INDEX($B$11:$B$63,38))*(1-E168))</f>
        <v/>
      </c>
      <c r="AY169" s="15">
        <f>MAX(0,AX168*(1-INDEX($B$11:$B$63,39))*(1-E168))</f>
        <v/>
      </c>
      <c r="AZ169" s="15">
        <f>MAX(0,AY168*(1-INDEX($B$11:$B$63,40))*(1-E168))</f>
        <v/>
      </c>
      <c r="BA169" s="15">
        <f>MAX(0,AZ168*(1-INDEX($B$11:$B$63,41))*(1-E168))</f>
        <v/>
      </c>
      <c r="BB169" s="15">
        <f>MAX(0,BA168*(1-INDEX($B$11:$B$63,42))*(1-E168))</f>
        <v/>
      </c>
      <c r="BC169" s="15">
        <f>MAX(0,BB168*(1-INDEX($B$11:$B$63,43))*(1-E168))</f>
        <v/>
      </c>
      <c r="BD169" s="15">
        <f>MAX(0,BC168*(1-INDEX($B$11:$B$63,44))*(1-E168))</f>
        <v/>
      </c>
      <c r="BE169" s="15">
        <f>MAX(0,BD168*(1-INDEX($B$11:$B$63,45))*(1-E168))</f>
        <v/>
      </c>
      <c r="BF169" s="15">
        <f>MAX(0,BE168*(1-INDEX($B$11:$B$63,46))*(1-E168))</f>
        <v/>
      </c>
      <c r="BG169" s="15">
        <f>MAX(0,BF168*(1-INDEX($B$11:$B$63,47))*(1-E168))</f>
        <v/>
      </c>
      <c r="BH169" s="15">
        <f>MAX(0,BG168*(1-INDEX($B$11:$B$63,48))*(1-E168))</f>
        <v/>
      </c>
      <c r="BI169" s="15">
        <f>MAX(0,BH168*(1-INDEX($B$11:$B$63,49))*(1-E168))</f>
        <v/>
      </c>
      <c r="BJ169" s="15">
        <f>MAX(0,BI168*(1-INDEX($B$11:$B$63,50))*(1-E168))</f>
        <v/>
      </c>
      <c r="BK169" s="15">
        <f>MAX(0,BJ168*(1-INDEX($B$11:$B$63,51))*(1-E168))</f>
        <v/>
      </c>
      <c r="BL169" s="15">
        <f>MAX(0,(BL168+BK168)*(1-INDEX($B$11:$B$63,53))*(1-E168))</f>
        <v/>
      </c>
    </row>
    <row r="170">
      <c r="A170" s="55" t="n">
        <v>104</v>
      </c>
      <c r="B170" s="15">
        <f>IF(A170&gt;Inputs!$C$62,"",SUM(M170:BK170))</f>
        <v/>
      </c>
      <c r="C170" s="15">
        <f>IF(A170&gt;Inputs!$C$62,"",INDEX(Trajectory!$C$23:$C$2000,A170))</f>
        <v/>
      </c>
      <c r="D170" s="15">
        <f>IF(A170&gt;Inputs!$C$62,"",SUM(L170:BK170))</f>
        <v/>
      </c>
      <c r="E170" s="12">
        <f>IF(A170&gt;Inputs!$C$62,"",INDEX(Trajectory!$AG$23:$AG$2000,A170))</f>
        <v/>
      </c>
      <c r="F170" s="12">
        <f>IF(D170=0,0,SUMPRODUCT(L170:BK170,$B$11:$B$63)/D170)</f>
        <v/>
      </c>
      <c r="G170" s="12">
        <f>IF(D170=0,0,MIN(0.95,1-(1-F170)*(1-E170)))</f>
        <v/>
      </c>
      <c r="H170" s="15">
        <f>IF(D170=0,0,D170*G170)</f>
        <v/>
      </c>
      <c r="I170" s="15">
        <f>IF(D170=0,0,D170-H170)</f>
        <v/>
      </c>
      <c r="L170" s="15">
        <f>C170</f>
        <v/>
      </c>
      <c r="M170" s="15">
        <f>MAX(0,L169*(1-INDEX($B$11:$B$63,1))*(1-E169))</f>
        <v/>
      </c>
      <c r="N170" s="15">
        <f>MAX(0,M169*(1-INDEX($B$11:$B$63,2))*(1-E169))</f>
        <v/>
      </c>
      <c r="O170" s="15">
        <f>MAX(0,N169*(1-INDEX($B$11:$B$63,3))*(1-E169))</f>
        <v/>
      </c>
      <c r="P170" s="15">
        <f>MAX(0,O169*(1-INDEX($B$11:$B$63,4))*(1-E169))</f>
        <v/>
      </c>
      <c r="Q170" s="15">
        <f>MAX(0,P169*(1-INDEX($B$11:$B$63,5))*(1-E169))</f>
        <v/>
      </c>
      <c r="R170" s="15">
        <f>MAX(0,Q169*(1-INDEX($B$11:$B$63,6))*(1-E169))</f>
        <v/>
      </c>
      <c r="S170" s="15">
        <f>MAX(0,R169*(1-INDEX($B$11:$B$63,7))*(1-E169))</f>
        <v/>
      </c>
      <c r="T170" s="15">
        <f>MAX(0,S169*(1-INDEX($B$11:$B$63,8))*(1-E169))</f>
        <v/>
      </c>
      <c r="U170" s="15">
        <f>MAX(0,T169*(1-INDEX($B$11:$B$63,9))*(1-E169))</f>
        <v/>
      </c>
      <c r="V170" s="15">
        <f>MAX(0,U169*(1-INDEX($B$11:$B$63,10))*(1-E169))</f>
        <v/>
      </c>
      <c r="W170" s="15">
        <f>MAX(0,V169*(1-INDEX($B$11:$B$63,11))*(1-E169))</f>
        <v/>
      </c>
      <c r="X170" s="15">
        <f>MAX(0,W169*(1-INDEX($B$11:$B$63,12))*(1-E169))</f>
        <v/>
      </c>
      <c r="Y170" s="15">
        <f>MAX(0,X169*(1-INDEX($B$11:$B$63,13))*(1-E169))</f>
        <v/>
      </c>
      <c r="Z170" s="15">
        <f>MAX(0,Y169*(1-INDEX($B$11:$B$63,14))*(1-E169))</f>
        <v/>
      </c>
      <c r="AA170" s="15">
        <f>MAX(0,Z169*(1-INDEX($B$11:$B$63,15))*(1-E169))</f>
        <v/>
      </c>
      <c r="AB170" s="15">
        <f>MAX(0,AA169*(1-INDEX($B$11:$B$63,16))*(1-E169))</f>
        <v/>
      </c>
      <c r="AC170" s="15">
        <f>MAX(0,AB169*(1-INDEX($B$11:$B$63,17))*(1-E169))</f>
        <v/>
      </c>
      <c r="AD170" s="15">
        <f>MAX(0,AC169*(1-INDEX($B$11:$B$63,18))*(1-E169))</f>
        <v/>
      </c>
      <c r="AE170" s="15">
        <f>MAX(0,AD169*(1-INDEX($B$11:$B$63,19))*(1-E169))</f>
        <v/>
      </c>
      <c r="AF170" s="15">
        <f>MAX(0,AE169*(1-INDEX($B$11:$B$63,20))*(1-E169))</f>
        <v/>
      </c>
      <c r="AG170" s="15">
        <f>MAX(0,AF169*(1-INDEX($B$11:$B$63,21))*(1-E169))</f>
        <v/>
      </c>
      <c r="AH170" s="15">
        <f>MAX(0,AG169*(1-INDEX($B$11:$B$63,22))*(1-E169))</f>
        <v/>
      </c>
      <c r="AI170" s="15">
        <f>MAX(0,AH169*(1-INDEX($B$11:$B$63,23))*(1-E169))</f>
        <v/>
      </c>
      <c r="AJ170" s="15">
        <f>MAX(0,AI169*(1-INDEX($B$11:$B$63,24))*(1-E169))</f>
        <v/>
      </c>
      <c r="AK170" s="15">
        <f>MAX(0,AJ169*(1-INDEX($B$11:$B$63,25))*(1-E169))</f>
        <v/>
      </c>
      <c r="AL170" s="15">
        <f>MAX(0,AK169*(1-INDEX($B$11:$B$63,26))*(1-E169))</f>
        <v/>
      </c>
      <c r="AM170" s="15">
        <f>MAX(0,AL169*(1-INDEX($B$11:$B$63,27))*(1-E169))</f>
        <v/>
      </c>
      <c r="AN170" s="15">
        <f>MAX(0,AM169*(1-INDEX($B$11:$B$63,28))*(1-E169))</f>
        <v/>
      </c>
      <c r="AO170" s="15">
        <f>MAX(0,AN169*(1-INDEX($B$11:$B$63,29))*(1-E169))</f>
        <v/>
      </c>
      <c r="AP170" s="15">
        <f>MAX(0,AO169*(1-INDEX($B$11:$B$63,30))*(1-E169))</f>
        <v/>
      </c>
      <c r="AQ170" s="15">
        <f>MAX(0,AP169*(1-INDEX($B$11:$B$63,31))*(1-E169))</f>
        <v/>
      </c>
      <c r="AR170" s="15">
        <f>MAX(0,AQ169*(1-INDEX($B$11:$B$63,32))*(1-E169))</f>
        <v/>
      </c>
      <c r="AS170" s="15">
        <f>MAX(0,AR169*(1-INDEX($B$11:$B$63,33))*(1-E169))</f>
        <v/>
      </c>
      <c r="AT170" s="15">
        <f>MAX(0,AS169*(1-INDEX($B$11:$B$63,34))*(1-E169))</f>
        <v/>
      </c>
      <c r="AU170" s="15">
        <f>MAX(0,AT169*(1-INDEX($B$11:$B$63,35))*(1-E169))</f>
        <v/>
      </c>
      <c r="AV170" s="15">
        <f>MAX(0,AU169*(1-INDEX($B$11:$B$63,36))*(1-E169))</f>
        <v/>
      </c>
      <c r="AW170" s="15">
        <f>MAX(0,AV169*(1-INDEX($B$11:$B$63,37))*(1-E169))</f>
        <v/>
      </c>
      <c r="AX170" s="15">
        <f>MAX(0,AW169*(1-INDEX($B$11:$B$63,38))*(1-E169))</f>
        <v/>
      </c>
      <c r="AY170" s="15">
        <f>MAX(0,AX169*(1-INDEX($B$11:$B$63,39))*(1-E169))</f>
        <v/>
      </c>
      <c r="AZ170" s="15">
        <f>MAX(0,AY169*(1-INDEX($B$11:$B$63,40))*(1-E169))</f>
        <v/>
      </c>
      <c r="BA170" s="15">
        <f>MAX(0,AZ169*(1-INDEX($B$11:$B$63,41))*(1-E169))</f>
        <v/>
      </c>
      <c r="BB170" s="15">
        <f>MAX(0,BA169*(1-INDEX($B$11:$B$63,42))*(1-E169))</f>
        <v/>
      </c>
      <c r="BC170" s="15">
        <f>MAX(0,BB169*(1-INDEX($B$11:$B$63,43))*(1-E169))</f>
        <v/>
      </c>
      <c r="BD170" s="15">
        <f>MAX(0,BC169*(1-INDEX($B$11:$B$63,44))*(1-E169))</f>
        <v/>
      </c>
      <c r="BE170" s="15">
        <f>MAX(0,BD169*(1-INDEX($B$11:$B$63,45))*(1-E169))</f>
        <v/>
      </c>
      <c r="BF170" s="15">
        <f>MAX(0,BE169*(1-INDEX($B$11:$B$63,46))*(1-E169))</f>
        <v/>
      </c>
      <c r="BG170" s="15">
        <f>MAX(0,BF169*(1-INDEX($B$11:$B$63,47))*(1-E169))</f>
        <v/>
      </c>
      <c r="BH170" s="15">
        <f>MAX(0,BG169*(1-INDEX($B$11:$B$63,48))*(1-E169))</f>
        <v/>
      </c>
      <c r="BI170" s="15">
        <f>MAX(0,BH169*(1-INDEX($B$11:$B$63,49))*(1-E169))</f>
        <v/>
      </c>
      <c r="BJ170" s="15">
        <f>MAX(0,BI169*(1-INDEX($B$11:$B$63,50))*(1-E169))</f>
        <v/>
      </c>
      <c r="BK170" s="15">
        <f>MAX(0,BJ169*(1-INDEX($B$11:$B$63,51))*(1-E169))</f>
        <v/>
      </c>
      <c r="BL170" s="15">
        <f>MAX(0,(BL169+BK169)*(1-INDEX($B$11:$B$63,53))*(1-E169))</f>
        <v/>
      </c>
    </row>
    <row r="171">
      <c r="A171" s="55" t="n">
        <v>105</v>
      </c>
      <c r="B171" s="15">
        <f>IF(A171&gt;Inputs!$C$62,"",SUM(M171:BK171))</f>
        <v/>
      </c>
      <c r="C171" s="15">
        <f>IF(A171&gt;Inputs!$C$62,"",INDEX(Trajectory!$C$23:$C$2000,A171))</f>
        <v/>
      </c>
      <c r="D171" s="15">
        <f>IF(A171&gt;Inputs!$C$62,"",SUM(L171:BK171))</f>
        <v/>
      </c>
      <c r="E171" s="12">
        <f>IF(A171&gt;Inputs!$C$62,"",INDEX(Trajectory!$AG$23:$AG$2000,A171))</f>
        <v/>
      </c>
      <c r="F171" s="12">
        <f>IF(D171=0,0,SUMPRODUCT(L171:BK171,$B$11:$B$63)/D171)</f>
        <v/>
      </c>
      <c r="G171" s="12">
        <f>IF(D171=0,0,MIN(0.95,1-(1-F171)*(1-E171)))</f>
        <v/>
      </c>
      <c r="H171" s="15">
        <f>IF(D171=0,0,D171*G171)</f>
        <v/>
      </c>
      <c r="I171" s="15">
        <f>IF(D171=0,0,D171-H171)</f>
        <v/>
      </c>
      <c r="L171" s="15">
        <f>C171</f>
        <v/>
      </c>
      <c r="M171" s="15">
        <f>MAX(0,L170*(1-INDEX($B$11:$B$63,1))*(1-E170))</f>
        <v/>
      </c>
      <c r="N171" s="15">
        <f>MAX(0,M170*(1-INDEX($B$11:$B$63,2))*(1-E170))</f>
        <v/>
      </c>
      <c r="O171" s="15">
        <f>MAX(0,N170*(1-INDEX($B$11:$B$63,3))*(1-E170))</f>
        <v/>
      </c>
      <c r="P171" s="15">
        <f>MAX(0,O170*(1-INDEX($B$11:$B$63,4))*(1-E170))</f>
        <v/>
      </c>
      <c r="Q171" s="15">
        <f>MAX(0,P170*(1-INDEX($B$11:$B$63,5))*(1-E170))</f>
        <v/>
      </c>
      <c r="R171" s="15">
        <f>MAX(0,Q170*(1-INDEX($B$11:$B$63,6))*(1-E170))</f>
        <v/>
      </c>
      <c r="S171" s="15">
        <f>MAX(0,R170*(1-INDEX($B$11:$B$63,7))*(1-E170))</f>
        <v/>
      </c>
      <c r="T171" s="15">
        <f>MAX(0,S170*(1-INDEX($B$11:$B$63,8))*(1-E170))</f>
        <v/>
      </c>
      <c r="U171" s="15">
        <f>MAX(0,T170*(1-INDEX($B$11:$B$63,9))*(1-E170))</f>
        <v/>
      </c>
      <c r="V171" s="15">
        <f>MAX(0,U170*(1-INDEX($B$11:$B$63,10))*(1-E170))</f>
        <v/>
      </c>
      <c r="W171" s="15">
        <f>MAX(0,V170*(1-INDEX($B$11:$B$63,11))*(1-E170))</f>
        <v/>
      </c>
      <c r="X171" s="15">
        <f>MAX(0,W170*(1-INDEX($B$11:$B$63,12))*(1-E170))</f>
        <v/>
      </c>
      <c r="Y171" s="15">
        <f>MAX(0,X170*(1-INDEX($B$11:$B$63,13))*(1-E170))</f>
        <v/>
      </c>
      <c r="Z171" s="15">
        <f>MAX(0,Y170*(1-INDEX($B$11:$B$63,14))*(1-E170))</f>
        <v/>
      </c>
      <c r="AA171" s="15">
        <f>MAX(0,Z170*(1-INDEX($B$11:$B$63,15))*(1-E170))</f>
        <v/>
      </c>
      <c r="AB171" s="15">
        <f>MAX(0,AA170*(1-INDEX($B$11:$B$63,16))*(1-E170))</f>
        <v/>
      </c>
      <c r="AC171" s="15">
        <f>MAX(0,AB170*(1-INDEX($B$11:$B$63,17))*(1-E170))</f>
        <v/>
      </c>
      <c r="AD171" s="15">
        <f>MAX(0,AC170*(1-INDEX($B$11:$B$63,18))*(1-E170))</f>
        <v/>
      </c>
      <c r="AE171" s="15">
        <f>MAX(0,AD170*(1-INDEX($B$11:$B$63,19))*(1-E170))</f>
        <v/>
      </c>
      <c r="AF171" s="15">
        <f>MAX(0,AE170*(1-INDEX($B$11:$B$63,20))*(1-E170))</f>
        <v/>
      </c>
      <c r="AG171" s="15">
        <f>MAX(0,AF170*(1-INDEX($B$11:$B$63,21))*(1-E170))</f>
        <v/>
      </c>
      <c r="AH171" s="15">
        <f>MAX(0,AG170*(1-INDEX($B$11:$B$63,22))*(1-E170))</f>
        <v/>
      </c>
      <c r="AI171" s="15">
        <f>MAX(0,AH170*(1-INDEX($B$11:$B$63,23))*(1-E170))</f>
        <v/>
      </c>
      <c r="AJ171" s="15">
        <f>MAX(0,AI170*(1-INDEX($B$11:$B$63,24))*(1-E170))</f>
        <v/>
      </c>
      <c r="AK171" s="15">
        <f>MAX(0,AJ170*(1-INDEX($B$11:$B$63,25))*(1-E170))</f>
        <v/>
      </c>
      <c r="AL171" s="15">
        <f>MAX(0,AK170*(1-INDEX($B$11:$B$63,26))*(1-E170))</f>
        <v/>
      </c>
      <c r="AM171" s="15">
        <f>MAX(0,AL170*(1-INDEX($B$11:$B$63,27))*(1-E170))</f>
        <v/>
      </c>
      <c r="AN171" s="15">
        <f>MAX(0,AM170*(1-INDEX($B$11:$B$63,28))*(1-E170))</f>
        <v/>
      </c>
      <c r="AO171" s="15">
        <f>MAX(0,AN170*(1-INDEX($B$11:$B$63,29))*(1-E170))</f>
        <v/>
      </c>
      <c r="AP171" s="15">
        <f>MAX(0,AO170*(1-INDEX($B$11:$B$63,30))*(1-E170))</f>
        <v/>
      </c>
      <c r="AQ171" s="15">
        <f>MAX(0,AP170*(1-INDEX($B$11:$B$63,31))*(1-E170))</f>
        <v/>
      </c>
      <c r="AR171" s="15">
        <f>MAX(0,AQ170*(1-INDEX($B$11:$B$63,32))*(1-E170))</f>
        <v/>
      </c>
      <c r="AS171" s="15">
        <f>MAX(0,AR170*(1-INDEX($B$11:$B$63,33))*(1-E170))</f>
        <v/>
      </c>
      <c r="AT171" s="15">
        <f>MAX(0,AS170*(1-INDEX($B$11:$B$63,34))*(1-E170))</f>
        <v/>
      </c>
      <c r="AU171" s="15">
        <f>MAX(0,AT170*(1-INDEX($B$11:$B$63,35))*(1-E170))</f>
        <v/>
      </c>
      <c r="AV171" s="15">
        <f>MAX(0,AU170*(1-INDEX($B$11:$B$63,36))*(1-E170))</f>
        <v/>
      </c>
      <c r="AW171" s="15">
        <f>MAX(0,AV170*(1-INDEX($B$11:$B$63,37))*(1-E170))</f>
        <v/>
      </c>
      <c r="AX171" s="15">
        <f>MAX(0,AW170*(1-INDEX($B$11:$B$63,38))*(1-E170))</f>
        <v/>
      </c>
      <c r="AY171" s="15">
        <f>MAX(0,AX170*(1-INDEX($B$11:$B$63,39))*(1-E170))</f>
        <v/>
      </c>
      <c r="AZ171" s="15">
        <f>MAX(0,AY170*(1-INDEX($B$11:$B$63,40))*(1-E170))</f>
        <v/>
      </c>
      <c r="BA171" s="15">
        <f>MAX(0,AZ170*(1-INDEX($B$11:$B$63,41))*(1-E170))</f>
        <v/>
      </c>
      <c r="BB171" s="15">
        <f>MAX(0,BA170*(1-INDEX($B$11:$B$63,42))*(1-E170))</f>
        <v/>
      </c>
      <c r="BC171" s="15">
        <f>MAX(0,BB170*(1-INDEX($B$11:$B$63,43))*(1-E170))</f>
        <v/>
      </c>
      <c r="BD171" s="15">
        <f>MAX(0,BC170*(1-INDEX($B$11:$B$63,44))*(1-E170))</f>
        <v/>
      </c>
      <c r="BE171" s="15">
        <f>MAX(0,BD170*(1-INDEX($B$11:$B$63,45))*(1-E170))</f>
        <v/>
      </c>
      <c r="BF171" s="15">
        <f>MAX(0,BE170*(1-INDEX($B$11:$B$63,46))*(1-E170))</f>
        <v/>
      </c>
      <c r="BG171" s="15">
        <f>MAX(0,BF170*(1-INDEX($B$11:$B$63,47))*(1-E170))</f>
        <v/>
      </c>
      <c r="BH171" s="15">
        <f>MAX(0,BG170*(1-INDEX($B$11:$B$63,48))*(1-E170))</f>
        <v/>
      </c>
      <c r="BI171" s="15">
        <f>MAX(0,BH170*(1-INDEX($B$11:$B$63,49))*(1-E170))</f>
        <v/>
      </c>
      <c r="BJ171" s="15">
        <f>MAX(0,BI170*(1-INDEX($B$11:$B$63,50))*(1-E170))</f>
        <v/>
      </c>
      <c r="BK171" s="15">
        <f>MAX(0,BJ170*(1-INDEX($B$11:$B$63,51))*(1-E170))</f>
        <v/>
      </c>
      <c r="BL171" s="15">
        <f>MAX(0,(BL170+BK170)*(1-INDEX($B$11:$B$63,53))*(1-E170))</f>
        <v/>
      </c>
    </row>
    <row r="172">
      <c r="A172" s="55" t="n">
        <v>106</v>
      </c>
      <c r="B172" s="15">
        <f>IF(A172&gt;Inputs!$C$62,"",SUM(M172:BK172))</f>
        <v/>
      </c>
      <c r="C172" s="15">
        <f>IF(A172&gt;Inputs!$C$62,"",INDEX(Trajectory!$C$23:$C$2000,A172))</f>
        <v/>
      </c>
      <c r="D172" s="15">
        <f>IF(A172&gt;Inputs!$C$62,"",SUM(L172:BK172))</f>
        <v/>
      </c>
      <c r="E172" s="12">
        <f>IF(A172&gt;Inputs!$C$62,"",INDEX(Trajectory!$AG$23:$AG$2000,A172))</f>
        <v/>
      </c>
      <c r="F172" s="12">
        <f>IF(D172=0,0,SUMPRODUCT(L172:BK172,$B$11:$B$63)/D172)</f>
        <v/>
      </c>
      <c r="G172" s="12">
        <f>IF(D172=0,0,MIN(0.95,1-(1-F172)*(1-E172)))</f>
        <v/>
      </c>
      <c r="H172" s="15">
        <f>IF(D172=0,0,D172*G172)</f>
        <v/>
      </c>
      <c r="I172" s="15">
        <f>IF(D172=0,0,D172-H172)</f>
        <v/>
      </c>
      <c r="L172" s="15">
        <f>C172</f>
        <v/>
      </c>
      <c r="M172" s="15">
        <f>MAX(0,L171*(1-INDEX($B$11:$B$63,1))*(1-E171))</f>
        <v/>
      </c>
      <c r="N172" s="15">
        <f>MAX(0,M171*(1-INDEX($B$11:$B$63,2))*(1-E171))</f>
        <v/>
      </c>
      <c r="O172" s="15">
        <f>MAX(0,N171*(1-INDEX($B$11:$B$63,3))*(1-E171))</f>
        <v/>
      </c>
      <c r="P172" s="15">
        <f>MAX(0,O171*(1-INDEX($B$11:$B$63,4))*(1-E171))</f>
        <v/>
      </c>
      <c r="Q172" s="15">
        <f>MAX(0,P171*(1-INDEX($B$11:$B$63,5))*(1-E171))</f>
        <v/>
      </c>
      <c r="R172" s="15">
        <f>MAX(0,Q171*(1-INDEX($B$11:$B$63,6))*(1-E171))</f>
        <v/>
      </c>
      <c r="S172" s="15">
        <f>MAX(0,R171*(1-INDEX($B$11:$B$63,7))*(1-E171))</f>
        <v/>
      </c>
      <c r="T172" s="15">
        <f>MAX(0,S171*(1-INDEX($B$11:$B$63,8))*(1-E171))</f>
        <v/>
      </c>
      <c r="U172" s="15">
        <f>MAX(0,T171*(1-INDEX($B$11:$B$63,9))*(1-E171))</f>
        <v/>
      </c>
      <c r="V172" s="15">
        <f>MAX(0,U171*(1-INDEX($B$11:$B$63,10))*(1-E171))</f>
        <v/>
      </c>
      <c r="W172" s="15">
        <f>MAX(0,V171*(1-INDEX($B$11:$B$63,11))*(1-E171))</f>
        <v/>
      </c>
      <c r="X172" s="15">
        <f>MAX(0,W171*(1-INDEX($B$11:$B$63,12))*(1-E171))</f>
        <v/>
      </c>
      <c r="Y172" s="15">
        <f>MAX(0,X171*(1-INDEX($B$11:$B$63,13))*(1-E171))</f>
        <v/>
      </c>
      <c r="Z172" s="15">
        <f>MAX(0,Y171*(1-INDEX($B$11:$B$63,14))*(1-E171))</f>
        <v/>
      </c>
      <c r="AA172" s="15">
        <f>MAX(0,Z171*(1-INDEX($B$11:$B$63,15))*(1-E171))</f>
        <v/>
      </c>
      <c r="AB172" s="15">
        <f>MAX(0,AA171*(1-INDEX($B$11:$B$63,16))*(1-E171))</f>
        <v/>
      </c>
      <c r="AC172" s="15">
        <f>MAX(0,AB171*(1-INDEX($B$11:$B$63,17))*(1-E171))</f>
        <v/>
      </c>
      <c r="AD172" s="15">
        <f>MAX(0,AC171*(1-INDEX($B$11:$B$63,18))*(1-E171))</f>
        <v/>
      </c>
      <c r="AE172" s="15">
        <f>MAX(0,AD171*(1-INDEX($B$11:$B$63,19))*(1-E171))</f>
        <v/>
      </c>
      <c r="AF172" s="15">
        <f>MAX(0,AE171*(1-INDEX($B$11:$B$63,20))*(1-E171))</f>
        <v/>
      </c>
      <c r="AG172" s="15">
        <f>MAX(0,AF171*(1-INDEX($B$11:$B$63,21))*(1-E171))</f>
        <v/>
      </c>
      <c r="AH172" s="15">
        <f>MAX(0,AG171*(1-INDEX($B$11:$B$63,22))*(1-E171))</f>
        <v/>
      </c>
      <c r="AI172" s="15">
        <f>MAX(0,AH171*(1-INDEX($B$11:$B$63,23))*(1-E171))</f>
        <v/>
      </c>
      <c r="AJ172" s="15">
        <f>MAX(0,AI171*(1-INDEX($B$11:$B$63,24))*(1-E171))</f>
        <v/>
      </c>
      <c r="AK172" s="15">
        <f>MAX(0,AJ171*(1-INDEX($B$11:$B$63,25))*(1-E171))</f>
        <v/>
      </c>
      <c r="AL172" s="15">
        <f>MAX(0,AK171*(1-INDEX($B$11:$B$63,26))*(1-E171))</f>
        <v/>
      </c>
      <c r="AM172" s="15">
        <f>MAX(0,AL171*(1-INDEX($B$11:$B$63,27))*(1-E171))</f>
        <v/>
      </c>
      <c r="AN172" s="15">
        <f>MAX(0,AM171*(1-INDEX($B$11:$B$63,28))*(1-E171))</f>
        <v/>
      </c>
      <c r="AO172" s="15">
        <f>MAX(0,AN171*(1-INDEX($B$11:$B$63,29))*(1-E171))</f>
        <v/>
      </c>
      <c r="AP172" s="15">
        <f>MAX(0,AO171*(1-INDEX($B$11:$B$63,30))*(1-E171))</f>
        <v/>
      </c>
      <c r="AQ172" s="15">
        <f>MAX(0,AP171*(1-INDEX($B$11:$B$63,31))*(1-E171))</f>
        <v/>
      </c>
      <c r="AR172" s="15">
        <f>MAX(0,AQ171*(1-INDEX($B$11:$B$63,32))*(1-E171))</f>
        <v/>
      </c>
      <c r="AS172" s="15">
        <f>MAX(0,AR171*(1-INDEX($B$11:$B$63,33))*(1-E171))</f>
        <v/>
      </c>
      <c r="AT172" s="15">
        <f>MAX(0,AS171*(1-INDEX($B$11:$B$63,34))*(1-E171))</f>
        <v/>
      </c>
      <c r="AU172" s="15">
        <f>MAX(0,AT171*(1-INDEX($B$11:$B$63,35))*(1-E171))</f>
        <v/>
      </c>
      <c r="AV172" s="15">
        <f>MAX(0,AU171*(1-INDEX($B$11:$B$63,36))*(1-E171))</f>
        <v/>
      </c>
      <c r="AW172" s="15">
        <f>MAX(0,AV171*(1-INDEX($B$11:$B$63,37))*(1-E171))</f>
        <v/>
      </c>
      <c r="AX172" s="15">
        <f>MAX(0,AW171*(1-INDEX($B$11:$B$63,38))*(1-E171))</f>
        <v/>
      </c>
      <c r="AY172" s="15">
        <f>MAX(0,AX171*(1-INDEX($B$11:$B$63,39))*(1-E171))</f>
        <v/>
      </c>
      <c r="AZ172" s="15">
        <f>MAX(0,AY171*(1-INDEX($B$11:$B$63,40))*(1-E171))</f>
        <v/>
      </c>
      <c r="BA172" s="15">
        <f>MAX(0,AZ171*(1-INDEX($B$11:$B$63,41))*(1-E171))</f>
        <v/>
      </c>
      <c r="BB172" s="15">
        <f>MAX(0,BA171*(1-INDEX($B$11:$B$63,42))*(1-E171))</f>
        <v/>
      </c>
      <c r="BC172" s="15">
        <f>MAX(0,BB171*(1-INDEX($B$11:$B$63,43))*(1-E171))</f>
        <v/>
      </c>
      <c r="BD172" s="15">
        <f>MAX(0,BC171*(1-INDEX($B$11:$B$63,44))*(1-E171))</f>
        <v/>
      </c>
      <c r="BE172" s="15">
        <f>MAX(0,BD171*(1-INDEX($B$11:$B$63,45))*(1-E171))</f>
        <v/>
      </c>
      <c r="BF172" s="15">
        <f>MAX(0,BE171*(1-INDEX($B$11:$B$63,46))*(1-E171))</f>
        <v/>
      </c>
      <c r="BG172" s="15">
        <f>MAX(0,BF171*(1-INDEX($B$11:$B$63,47))*(1-E171))</f>
        <v/>
      </c>
      <c r="BH172" s="15">
        <f>MAX(0,BG171*(1-INDEX($B$11:$B$63,48))*(1-E171))</f>
        <v/>
      </c>
      <c r="BI172" s="15">
        <f>MAX(0,BH171*(1-INDEX($B$11:$B$63,49))*(1-E171))</f>
        <v/>
      </c>
      <c r="BJ172" s="15">
        <f>MAX(0,BI171*(1-INDEX($B$11:$B$63,50))*(1-E171))</f>
        <v/>
      </c>
      <c r="BK172" s="15">
        <f>MAX(0,BJ171*(1-INDEX($B$11:$B$63,51))*(1-E171))</f>
        <v/>
      </c>
      <c r="BL172" s="15">
        <f>MAX(0,(BL171+BK171)*(1-INDEX($B$11:$B$63,53))*(1-E171))</f>
        <v/>
      </c>
    </row>
    <row r="173">
      <c r="A173" s="55" t="n">
        <v>107</v>
      </c>
      <c r="B173" s="15">
        <f>IF(A173&gt;Inputs!$C$62,"",SUM(M173:BK173))</f>
        <v/>
      </c>
      <c r="C173" s="15">
        <f>IF(A173&gt;Inputs!$C$62,"",INDEX(Trajectory!$C$23:$C$2000,A173))</f>
        <v/>
      </c>
      <c r="D173" s="15">
        <f>IF(A173&gt;Inputs!$C$62,"",SUM(L173:BK173))</f>
        <v/>
      </c>
      <c r="E173" s="12">
        <f>IF(A173&gt;Inputs!$C$62,"",INDEX(Trajectory!$AG$23:$AG$2000,A173))</f>
        <v/>
      </c>
      <c r="F173" s="12">
        <f>IF(D173=0,0,SUMPRODUCT(L173:BK173,$B$11:$B$63)/D173)</f>
        <v/>
      </c>
      <c r="G173" s="12">
        <f>IF(D173=0,0,MIN(0.95,1-(1-F173)*(1-E173)))</f>
        <v/>
      </c>
      <c r="H173" s="15">
        <f>IF(D173=0,0,D173*G173)</f>
        <v/>
      </c>
      <c r="I173" s="15">
        <f>IF(D173=0,0,D173-H173)</f>
        <v/>
      </c>
      <c r="L173" s="15">
        <f>C173</f>
        <v/>
      </c>
      <c r="M173" s="15">
        <f>MAX(0,L172*(1-INDEX($B$11:$B$63,1))*(1-E172))</f>
        <v/>
      </c>
      <c r="N173" s="15">
        <f>MAX(0,M172*(1-INDEX($B$11:$B$63,2))*(1-E172))</f>
        <v/>
      </c>
      <c r="O173" s="15">
        <f>MAX(0,N172*(1-INDEX($B$11:$B$63,3))*(1-E172))</f>
        <v/>
      </c>
      <c r="P173" s="15">
        <f>MAX(0,O172*(1-INDEX($B$11:$B$63,4))*(1-E172))</f>
        <v/>
      </c>
      <c r="Q173" s="15">
        <f>MAX(0,P172*(1-INDEX($B$11:$B$63,5))*(1-E172))</f>
        <v/>
      </c>
      <c r="R173" s="15">
        <f>MAX(0,Q172*(1-INDEX($B$11:$B$63,6))*(1-E172))</f>
        <v/>
      </c>
      <c r="S173" s="15">
        <f>MAX(0,R172*(1-INDEX($B$11:$B$63,7))*(1-E172))</f>
        <v/>
      </c>
      <c r="T173" s="15">
        <f>MAX(0,S172*(1-INDEX($B$11:$B$63,8))*(1-E172))</f>
        <v/>
      </c>
      <c r="U173" s="15">
        <f>MAX(0,T172*(1-INDEX($B$11:$B$63,9))*(1-E172))</f>
        <v/>
      </c>
      <c r="V173" s="15">
        <f>MAX(0,U172*(1-INDEX($B$11:$B$63,10))*(1-E172))</f>
        <v/>
      </c>
      <c r="W173" s="15">
        <f>MAX(0,V172*(1-INDEX($B$11:$B$63,11))*(1-E172))</f>
        <v/>
      </c>
      <c r="X173" s="15">
        <f>MAX(0,W172*(1-INDEX($B$11:$B$63,12))*(1-E172))</f>
        <v/>
      </c>
      <c r="Y173" s="15">
        <f>MAX(0,X172*(1-INDEX($B$11:$B$63,13))*(1-E172))</f>
        <v/>
      </c>
      <c r="Z173" s="15">
        <f>MAX(0,Y172*(1-INDEX($B$11:$B$63,14))*(1-E172))</f>
        <v/>
      </c>
      <c r="AA173" s="15">
        <f>MAX(0,Z172*(1-INDEX($B$11:$B$63,15))*(1-E172))</f>
        <v/>
      </c>
      <c r="AB173" s="15">
        <f>MAX(0,AA172*(1-INDEX($B$11:$B$63,16))*(1-E172))</f>
        <v/>
      </c>
      <c r="AC173" s="15">
        <f>MAX(0,AB172*(1-INDEX($B$11:$B$63,17))*(1-E172))</f>
        <v/>
      </c>
      <c r="AD173" s="15">
        <f>MAX(0,AC172*(1-INDEX($B$11:$B$63,18))*(1-E172))</f>
        <v/>
      </c>
      <c r="AE173" s="15">
        <f>MAX(0,AD172*(1-INDEX($B$11:$B$63,19))*(1-E172))</f>
        <v/>
      </c>
      <c r="AF173" s="15">
        <f>MAX(0,AE172*(1-INDEX($B$11:$B$63,20))*(1-E172))</f>
        <v/>
      </c>
      <c r="AG173" s="15">
        <f>MAX(0,AF172*(1-INDEX($B$11:$B$63,21))*(1-E172))</f>
        <v/>
      </c>
      <c r="AH173" s="15">
        <f>MAX(0,AG172*(1-INDEX($B$11:$B$63,22))*(1-E172))</f>
        <v/>
      </c>
      <c r="AI173" s="15">
        <f>MAX(0,AH172*(1-INDEX($B$11:$B$63,23))*(1-E172))</f>
        <v/>
      </c>
      <c r="AJ173" s="15">
        <f>MAX(0,AI172*(1-INDEX($B$11:$B$63,24))*(1-E172))</f>
        <v/>
      </c>
      <c r="AK173" s="15">
        <f>MAX(0,AJ172*(1-INDEX($B$11:$B$63,25))*(1-E172))</f>
        <v/>
      </c>
      <c r="AL173" s="15">
        <f>MAX(0,AK172*(1-INDEX($B$11:$B$63,26))*(1-E172))</f>
        <v/>
      </c>
      <c r="AM173" s="15">
        <f>MAX(0,AL172*(1-INDEX($B$11:$B$63,27))*(1-E172))</f>
        <v/>
      </c>
      <c r="AN173" s="15">
        <f>MAX(0,AM172*(1-INDEX($B$11:$B$63,28))*(1-E172))</f>
        <v/>
      </c>
      <c r="AO173" s="15">
        <f>MAX(0,AN172*(1-INDEX($B$11:$B$63,29))*(1-E172))</f>
        <v/>
      </c>
      <c r="AP173" s="15">
        <f>MAX(0,AO172*(1-INDEX($B$11:$B$63,30))*(1-E172))</f>
        <v/>
      </c>
      <c r="AQ173" s="15">
        <f>MAX(0,AP172*(1-INDEX($B$11:$B$63,31))*(1-E172))</f>
        <v/>
      </c>
      <c r="AR173" s="15">
        <f>MAX(0,AQ172*(1-INDEX($B$11:$B$63,32))*(1-E172))</f>
        <v/>
      </c>
      <c r="AS173" s="15">
        <f>MAX(0,AR172*(1-INDEX($B$11:$B$63,33))*(1-E172))</f>
        <v/>
      </c>
      <c r="AT173" s="15">
        <f>MAX(0,AS172*(1-INDEX($B$11:$B$63,34))*(1-E172))</f>
        <v/>
      </c>
      <c r="AU173" s="15">
        <f>MAX(0,AT172*(1-INDEX($B$11:$B$63,35))*(1-E172))</f>
        <v/>
      </c>
      <c r="AV173" s="15">
        <f>MAX(0,AU172*(1-INDEX($B$11:$B$63,36))*(1-E172))</f>
        <v/>
      </c>
      <c r="AW173" s="15">
        <f>MAX(0,AV172*(1-INDEX($B$11:$B$63,37))*(1-E172))</f>
        <v/>
      </c>
      <c r="AX173" s="15">
        <f>MAX(0,AW172*(1-INDEX($B$11:$B$63,38))*(1-E172))</f>
        <v/>
      </c>
      <c r="AY173" s="15">
        <f>MAX(0,AX172*(1-INDEX($B$11:$B$63,39))*(1-E172))</f>
        <v/>
      </c>
      <c r="AZ173" s="15">
        <f>MAX(0,AY172*(1-INDEX($B$11:$B$63,40))*(1-E172))</f>
        <v/>
      </c>
      <c r="BA173" s="15">
        <f>MAX(0,AZ172*(1-INDEX($B$11:$B$63,41))*(1-E172))</f>
        <v/>
      </c>
      <c r="BB173" s="15">
        <f>MAX(0,BA172*(1-INDEX($B$11:$B$63,42))*(1-E172))</f>
        <v/>
      </c>
      <c r="BC173" s="15">
        <f>MAX(0,BB172*(1-INDEX($B$11:$B$63,43))*(1-E172))</f>
        <v/>
      </c>
      <c r="BD173" s="15">
        <f>MAX(0,BC172*(1-INDEX($B$11:$B$63,44))*(1-E172))</f>
        <v/>
      </c>
      <c r="BE173" s="15">
        <f>MAX(0,BD172*(1-INDEX($B$11:$B$63,45))*(1-E172))</f>
        <v/>
      </c>
      <c r="BF173" s="15">
        <f>MAX(0,BE172*(1-INDEX($B$11:$B$63,46))*(1-E172))</f>
        <v/>
      </c>
      <c r="BG173" s="15">
        <f>MAX(0,BF172*(1-INDEX($B$11:$B$63,47))*(1-E172))</f>
        <v/>
      </c>
      <c r="BH173" s="15">
        <f>MAX(0,BG172*(1-INDEX($B$11:$B$63,48))*(1-E172))</f>
        <v/>
      </c>
      <c r="BI173" s="15">
        <f>MAX(0,BH172*(1-INDEX($B$11:$B$63,49))*(1-E172))</f>
        <v/>
      </c>
      <c r="BJ173" s="15">
        <f>MAX(0,BI172*(1-INDEX($B$11:$B$63,50))*(1-E172))</f>
        <v/>
      </c>
      <c r="BK173" s="15">
        <f>MAX(0,BJ172*(1-INDEX($B$11:$B$63,51))*(1-E172))</f>
        <v/>
      </c>
      <c r="BL173" s="15">
        <f>MAX(0,(BL172+BK172)*(1-INDEX($B$11:$B$63,53))*(1-E172))</f>
        <v/>
      </c>
    </row>
    <row r="174">
      <c r="A174" s="55" t="n">
        <v>108</v>
      </c>
      <c r="B174" s="15">
        <f>IF(A174&gt;Inputs!$C$62,"",SUM(M174:BK174))</f>
        <v/>
      </c>
      <c r="C174" s="15">
        <f>IF(A174&gt;Inputs!$C$62,"",INDEX(Trajectory!$C$23:$C$2000,A174))</f>
        <v/>
      </c>
      <c r="D174" s="15">
        <f>IF(A174&gt;Inputs!$C$62,"",SUM(L174:BK174))</f>
        <v/>
      </c>
      <c r="E174" s="12">
        <f>IF(A174&gt;Inputs!$C$62,"",INDEX(Trajectory!$AG$23:$AG$2000,A174))</f>
        <v/>
      </c>
      <c r="F174" s="12">
        <f>IF(D174=0,0,SUMPRODUCT(L174:BK174,$B$11:$B$63)/D174)</f>
        <v/>
      </c>
      <c r="G174" s="12">
        <f>IF(D174=0,0,MIN(0.95,1-(1-F174)*(1-E174)))</f>
        <v/>
      </c>
      <c r="H174" s="15">
        <f>IF(D174=0,0,D174*G174)</f>
        <v/>
      </c>
      <c r="I174" s="15">
        <f>IF(D174=0,0,D174-H174)</f>
        <v/>
      </c>
      <c r="L174" s="15">
        <f>C174</f>
        <v/>
      </c>
      <c r="M174" s="15">
        <f>MAX(0,L173*(1-INDEX($B$11:$B$63,1))*(1-E173))</f>
        <v/>
      </c>
      <c r="N174" s="15">
        <f>MAX(0,M173*(1-INDEX($B$11:$B$63,2))*(1-E173))</f>
        <v/>
      </c>
      <c r="O174" s="15">
        <f>MAX(0,N173*(1-INDEX($B$11:$B$63,3))*(1-E173))</f>
        <v/>
      </c>
      <c r="P174" s="15">
        <f>MAX(0,O173*(1-INDEX($B$11:$B$63,4))*(1-E173))</f>
        <v/>
      </c>
      <c r="Q174" s="15">
        <f>MAX(0,P173*(1-INDEX($B$11:$B$63,5))*(1-E173))</f>
        <v/>
      </c>
      <c r="R174" s="15">
        <f>MAX(0,Q173*(1-INDEX($B$11:$B$63,6))*(1-E173))</f>
        <v/>
      </c>
      <c r="S174" s="15">
        <f>MAX(0,R173*(1-INDEX($B$11:$B$63,7))*(1-E173))</f>
        <v/>
      </c>
      <c r="T174" s="15">
        <f>MAX(0,S173*(1-INDEX($B$11:$B$63,8))*(1-E173))</f>
        <v/>
      </c>
      <c r="U174" s="15">
        <f>MAX(0,T173*(1-INDEX($B$11:$B$63,9))*(1-E173))</f>
        <v/>
      </c>
      <c r="V174" s="15">
        <f>MAX(0,U173*(1-INDEX($B$11:$B$63,10))*(1-E173))</f>
        <v/>
      </c>
      <c r="W174" s="15">
        <f>MAX(0,V173*(1-INDEX($B$11:$B$63,11))*(1-E173))</f>
        <v/>
      </c>
      <c r="X174" s="15">
        <f>MAX(0,W173*(1-INDEX($B$11:$B$63,12))*(1-E173))</f>
        <v/>
      </c>
      <c r="Y174" s="15">
        <f>MAX(0,X173*(1-INDEX($B$11:$B$63,13))*(1-E173))</f>
        <v/>
      </c>
      <c r="Z174" s="15">
        <f>MAX(0,Y173*(1-INDEX($B$11:$B$63,14))*(1-E173))</f>
        <v/>
      </c>
      <c r="AA174" s="15">
        <f>MAX(0,Z173*(1-INDEX($B$11:$B$63,15))*(1-E173))</f>
        <v/>
      </c>
      <c r="AB174" s="15">
        <f>MAX(0,AA173*(1-INDEX($B$11:$B$63,16))*(1-E173))</f>
        <v/>
      </c>
      <c r="AC174" s="15">
        <f>MAX(0,AB173*(1-INDEX($B$11:$B$63,17))*(1-E173))</f>
        <v/>
      </c>
      <c r="AD174" s="15">
        <f>MAX(0,AC173*(1-INDEX($B$11:$B$63,18))*(1-E173))</f>
        <v/>
      </c>
      <c r="AE174" s="15">
        <f>MAX(0,AD173*(1-INDEX($B$11:$B$63,19))*(1-E173))</f>
        <v/>
      </c>
      <c r="AF174" s="15">
        <f>MAX(0,AE173*(1-INDEX($B$11:$B$63,20))*(1-E173))</f>
        <v/>
      </c>
      <c r="AG174" s="15">
        <f>MAX(0,AF173*(1-INDEX($B$11:$B$63,21))*(1-E173))</f>
        <v/>
      </c>
      <c r="AH174" s="15">
        <f>MAX(0,AG173*(1-INDEX($B$11:$B$63,22))*(1-E173))</f>
        <v/>
      </c>
      <c r="AI174" s="15">
        <f>MAX(0,AH173*(1-INDEX($B$11:$B$63,23))*(1-E173))</f>
        <v/>
      </c>
      <c r="AJ174" s="15">
        <f>MAX(0,AI173*(1-INDEX($B$11:$B$63,24))*(1-E173))</f>
        <v/>
      </c>
      <c r="AK174" s="15">
        <f>MAX(0,AJ173*(1-INDEX($B$11:$B$63,25))*(1-E173))</f>
        <v/>
      </c>
      <c r="AL174" s="15">
        <f>MAX(0,AK173*(1-INDEX($B$11:$B$63,26))*(1-E173))</f>
        <v/>
      </c>
      <c r="AM174" s="15">
        <f>MAX(0,AL173*(1-INDEX($B$11:$B$63,27))*(1-E173))</f>
        <v/>
      </c>
      <c r="AN174" s="15">
        <f>MAX(0,AM173*(1-INDEX($B$11:$B$63,28))*(1-E173))</f>
        <v/>
      </c>
      <c r="AO174" s="15">
        <f>MAX(0,AN173*(1-INDEX($B$11:$B$63,29))*(1-E173))</f>
        <v/>
      </c>
      <c r="AP174" s="15">
        <f>MAX(0,AO173*(1-INDEX($B$11:$B$63,30))*(1-E173))</f>
        <v/>
      </c>
      <c r="AQ174" s="15">
        <f>MAX(0,AP173*(1-INDEX($B$11:$B$63,31))*(1-E173))</f>
        <v/>
      </c>
      <c r="AR174" s="15">
        <f>MAX(0,AQ173*(1-INDEX($B$11:$B$63,32))*(1-E173))</f>
        <v/>
      </c>
      <c r="AS174" s="15">
        <f>MAX(0,AR173*(1-INDEX($B$11:$B$63,33))*(1-E173))</f>
        <v/>
      </c>
      <c r="AT174" s="15">
        <f>MAX(0,AS173*(1-INDEX($B$11:$B$63,34))*(1-E173))</f>
        <v/>
      </c>
      <c r="AU174" s="15">
        <f>MAX(0,AT173*(1-INDEX($B$11:$B$63,35))*(1-E173))</f>
        <v/>
      </c>
      <c r="AV174" s="15">
        <f>MAX(0,AU173*(1-INDEX($B$11:$B$63,36))*(1-E173))</f>
        <v/>
      </c>
      <c r="AW174" s="15">
        <f>MAX(0,AV173*(1-INDEX($B$11:$B$63,37))*(1-E173))</f>
        <v/>
      </c>
      <c r="AX174" s="15">
        <f>MAX(0,AW173*(1-INDEX($B$11:$B$63,38))*(1-E173))</f>
        <v/>
      </c>
      <c r="AY174" s="15">
        <f>MAX(0,AX173*(1-INDEX($B$11:$B$63,39))*(1-E173))</f>
        <v/>
      </c>
      <c r="AZ174" s="15">
        <f>MAX(0,AY173*(1-INDEX($B$11:$B$63,40))*(1-E173))</f>
        <v/>
      </c>
      <c r="BA174" s="15">
        <f>MAX(0,AZ173*(1-INDEX($B$11:$B$63,41))*(1-E173))</f>
        <v/>
      </c>
      <c r="BB174" s="15">
        <f>MAX(0,BA173*(1-INDEX($B$11:$B$63,42))*(1-E173))</f>
        <v/>
      </c>
      <c r="BC174" s="15">
        <f>MAX(0,BB173*(1-INDEX($B$11:$B$63,43))*(1-E173))</f>
        <v/>
      </c>
      <c r="BD174" s="15">
        <f>MAX(0,BC173*(1-INDEX($B$11:$B$63,44))*(1-E173))</f>
        <v/>
      </c>
      <c r="BE174" s="15">
        <f>MAX(0,BD173*(1-INDEX($B$11:$B$63,45))*(1-E173))</f>
        <v/>
      </c>
      <c r="BF174" s="15">
        <f>MAX(0,BE173*(1-INDEX($B$11:$B$63,46))*(1-E173))</f>
        <v/>
      </c>
      <c r="BG174" s="15">
        <f>MAX(0,BF173*(1-INDEX($B$11:$B$63,47))*(1-E173))</f>
        <v/>
      </c>
      <c r="BH174" s="15">
        <f>MAX(0,BG173*(1-INDEX($B$11:$B$63,48))*(1-E173))</f>
        <v/>
      </c>
      <c r="BI174" s="15">
        <f>MAX(0,BH173*(1-INDEX($B$11:$B$63,49))*(1-E173))</f>
        <v/>
      </c>
      <c r="BJ174" s="15">
        <f>MAX(0,BI173*(1-INDEX($B$11:$B$63,50))*(1-E173))</f>
        <v/>
      </c>
      <c r="BK174" s="15">
        <f>MAX(0,BJ173*(1-INDEX($B$11:$B$63,51))*(1-E173))</f>
        <v/>
      </c>
      <c r="BL174" s="15">
        <f>MAX(0,(BL173+BK173)*(1-INDEX($B$11:$B$63,53))*(1-E173))</f>
        <v/>
      </c>
    </row>
    <row r="175">
      <c r="A175" s="55" t="n">
        <v>109</v>
      </c>
      <c r="B175" s="15">
        <f>IF(A175&gt;Inputs!$C$62,"",SUM(M175:BK175))</f>
        <v/>
      </c>
      <c r="C175" s="15">
        <f>IF(A175&gt;Inputs!$C$62,"",INDEX(Trajectory!$C$23:$C$2000,A175))</f>
        <v/>
      </c>
      <c r="D175" s="15">
        <f>IF(A175&gt;Inputs!$C$62,"",SUM(L175:BK175))</f>
        <v/>
      </c>
      <c r="E175" s="12">
        <f>IF(A175&gt;Inputs!$C$62,"",INDEX(Trajectory!$AG$23:$AG$2000,A175))</f>
        <v/>
      </c>
      <c r="F175" s="12">
        <f>IF(D175=0,0,SUMPRODUCT(L175:BK175,$B$11:$B$63)/D175)</f>
        <v/>
      </c>
      <c r="G175" s="12">
        <f>IF(D175=0,0,MIN(0.95,1-(1-F175)*(1-E175)))</f>
        <v/>
      </c>
      <c r="H175" s="15">
        <f>IF(D175=0,0,D175*G175)</f>
        <v/>
      </c>
      <c r="I175" s="15">
        <f>IF(D175=0,0,D175-H175)</f>
        <v/>
      </c>
      <c r="L175" s="15">
        <f>C175</f>
        <v/>
      </c>
      <c r="M175" s="15">
        <f>MAX(0,L174*(1-INDEX($B$11:$B$63,1))*(1-E174))</f>
        <v/>
      </c>
      <c r="N175" s="15">
        <f>MAX(0,M174*(1-INDEX($B$11:$B$63,2))*(1-E174))</f>
        <v/>
      </c>
      <c r="O175" s="15">
        <f>MAX(0,N174*(1-INDEX($B$11:$B$63,3))*(1-E174))</f>
        <v/>
      </c>
      <c r="P175" s="15">
        <f>MAX(0,O174*(1-INDEX($B$11:$B$63,4))*(1-E174))</f>
        <v/>
      </c>
      <c r="Q175" s="15">
        <f>MAX(0,P174*(1-INDEX($B$11:$B$63,5))*(1-E174))</f>
        <v/>
      </c>
      <c r="R175" s="15">
        <f>MAX(0,Q174*(1-INDEX($B$11:$B$63,6))*(1-E174))</f>
        <v/>
      </c>
      <c r="S175" s="15">
        <f>MAX(0,R174*(1-INDEX($B$11:$B$63,7))*(1-E174))</f>
        <v/>
      </c>
      <c r="T175" s="15">
        <f>MAX(0,S174*(1-INDEX($B$11:$B$63,8))*(1-E174))</f>
        <v/>
      </c>
      <c r="U175" s="15">
        <f>MAX(0,T174*(1-INDEX($B$11:$B$63,9))*(1-E174))</f>
        <v/>
      </c>
      <c r="V175" s="15">
        <f>MAX(0,U174*(1-INDEX($B$11:$B$63,10))*(1-E174))</f>
        <v/>
      </c>
      <c r="W175" s="15">
        <f>MAX(0,V174*(1-INDEX($B$11:$B$63,11))*(1-E174))</f>
        <v/>
      </c>
      <c r="X175" s="15">
        <f>MAX(0,W174*(1-INDEX($B$11:$B$63,12))*(1-E174))</f>
        <v/>
      </c>
      <c r="Y175" s="15">
        <f>MAX(0,X174*(1-INDEX($B$11:$B$63,13))*(1-E174))</f>
        <v/>
      </c>
      <c r="Z175" s="15">
        <f>MAX(0,Y174*(1-INDEX($B$11:$B$63,14))*(1-E174))</f>
        <v/>
      </c>
      <c r="AA175" s="15">
        <f>MAX(0,Z174*(1-INDEX($B$11:$B$63,15))*(1-E174))</f>
        <v/>
      </c>
      <c r="AB175" s="15">
        <f>MAX(0,AA174*(1-INDEX($B$11:$B$63,16))*(1-E174))</f>
        <v/>
      </c>
      <c r="AC175" s="15">
        <f>MAX(0,AB174*(1-INDEX($B$11:$B$63,17))*(1-E174))</f>
        <v/>
      </c>
      <c r="AD175" s="15">
        <f>MAX(0,AC174*(1-INDEX($B$11:$B$63,18))*(1-E174))</f>
        <v/>
      </c>
      <c r="AE175" s="15">
        <f>MAX(0,AD174*(1-INDEX($B$11:$B$63,19))*(1-E174))</f>
        <v/>
      </c>
      <c r="AF175" s="15">
        <f>MAX(0,AE174*(1-INDEX($B$11:$B$63,20))*(1-E174))</f>
        <v/>
      </c>
      <c r="AG175" s="15">
        <f>MAX(0,AF174*(1-INDEX($B$11:$B$63,21))*(1-E174))</f>
        <v/>
      </c>
      <c r="AH175" s="15">
        <f>MAX(0,AG174*(1-INDEX($B$11:$B$63,22))*(1-E174))</f>
        <v/>
      </c>
      <c r="AI175" s="15">
        <f>MAX(0,AH174*(1-INDEX($B$11:$B$63,23))*(1-E174))</f>
        <v/>
      </c>
      <c r="AJ175" s="15">
        <f>MAX(0,AI174*(1-INDEX($B$11:$B$63,24))*(1-E174))</f>
        <v/>
      </c>
      <c r="AK175" s="15">
        <f>MAX(0,AJ174*(1-INDEX($B$11:$B$63,25))*(1-E174))</f>
        <v/>
      </c>
      <c r="AL175" s="15">
        <f>MAX(0,AK174*(1-INDEX($B$11:$B$63,26))*(1-E174))</f>
        <v/>
      </c>
      <c r="AM175" s="15">
        <f>MAX(0,AL174*(1-INDEX($B$11:$B$63,27))*(1-E174))</f>
        <v/>
      </c>
      <c r="AN175" s="15">
        <f>MAX(0,AM174*(1-INDEX($B$11:$B$63,28))*(1-E174))</f>
        <v/>
      </c>
      <c r="AO175" s="15">
        <f>MAX(0,AN174*(1-INDEX($B$11:$B$63,29))*(1-E174))</f>
        <v/>
      </c>
      <c r="AP175" s="15">
        <f>MAX(0,AO174*(1-INDEX($B$11:$B$63,30))*(1-E174))</f>
        <v/>
      </c>
      <c r="AQ175" s="15">
        <f>MAX(0,AP174*(1-INDEX($B$11:$B$63,31))*(1-E174))</f>
        <v/>
      </c>
      <c r="AR175" s="15">
        <f>MAX(0,AQ174*(1-INDEX($B$11:$B$63,32))*(1-E174))</f>
        <v/>
      </c>
      <c r="AS175" s="15">
        <f>MAX(0,AR174*(1-INDEX($B$11:$B$63,33))*(1-E174))</f>
        <v/>
      </c>
      <c r="AT175" s="15">
        <f>MAX(0,AS174*(1-INDEX($B$11:$B$63,34))*(1-E174))</f>
        <v/>
      </c>
      <c r="AU175" s="15">
        <f>MAX(0,AT174*(1-INDEX($B$11:$B$63,35))*(1-E174))</f>
        <v/>
      </c>
      <c r="AV175" s="15">
        <f>MAX(0,AU174*(1-INDEX($B$11:$B$63,36))*(1-E174))</f>
        <v/>
      </c>
      <c r="AW175" s="15">
        <f>MAX(0,AV174*(1-INDEX($B$11:$B$63,37))*(1-E174))</f>
        <v/>
      </c>
      <c r="AX175" s="15">
        <f>MAX(0,AW174*(1-INDEX($B$11:$B$63,38))*(1-E174))</f>
        <v/>
      </c>
      <c r="AY175" s="15">
        <f>MAX(0,AX174*(1-INDEX($B$11:$B$63,39))*(1-E174))</f>
        <v/>
      </c>
      <c r="AZ175" s="15">
        <f>MAX(0,AY174*(1-INDEX($B$11:$B$63,40))*(1-E174))</f>
        <v/>
      </c>
      <c r="BA175" s="15">
        <f>MAX(0,AZ174*(1-INDEX($B$11:$B$63,41))*(1-E174))</f>
        <v/>
      </c>
      <c r="BB175" s="15">
        <f>MAX(0,BA174*(1-INDEX($B$11:$B$63,42))*(1-E174))</f>
        <v/>
      </c>
      <c r="BC175" s="15">
        <f>MAX(0,BB174*(1-INDEX($B$11:$B$63,43))*(1-E174))</f>
        <v/>
      </c>
      <c r="BD175" s="15">
        <f>MAX(0,BC174*(1-INDEX($B$11:$B$63,44))*(1-E174))</f>
        <v/>
      </c>
      <c r="BE175" s="15">
        <f>MAX(0,BD174*(1-INDEX($B$11:$B$63,45))*(1-E174))</f>
        <v/>
      </c>
      <c r="BF175" s="15">
        <f>MAX(0,BE174*(1-INDEX($B$11:$B$63,46))*(1-E174))</f>
        <v/>
      </c>
      <c r="BG175" s="15">
        <f>MAX(0,BF174*(1-INDEX($B$11:$B$63,47))*(1-E174))</f>
        <v/>
      </c>
      <c r="BH175" s="15">
        <f>MAX(0,BG174*(1-INDEX($B$11:$B$63,48))*(1-E174))</f>
        <v/>
      </c>
      <c r="BI175" s="15">
        <f>MAX(0,BH174*(1-INDEX($B$11:$B$63,49))*(1-E174))</f>
        <v/>
      </c>
      <c r="BJ175" s="15">
        <f>MAX(0,BI174*(1-INDEX($B$11:$B$63,50))*(1-E174))</f>
        <v/>
      </c>
      <c r="BK175" s="15">
        <f>MAX(0,BJ174*(1-INDEX($B$11:$B$63,51))*(1-E174))</f>
        <v/>
      </c>
      <c r="BL175" s="15">
        <f>MAX(0,(BL174+BK174)*(1-INDEX($B$11:$B$63,53))*(1-E174))</f>
        <v/>
      </c>
    </row>
    <row r="176">
      <c r="A176" s="55" t="n">
        <v>110</v>
      </c>
      <c r="B176" s="15">
        <f>IF(A176&gt;Inputs!$C$62,"",SUM(M176:BK176))</f>
        <v/>
      </c>
      <c r="C176" s="15">
        <f>IF(A176&gt;Inputs!$C$62,"",INDEX(Trajectory!$C$23:$C$2000,A176))</f>
        <v/>
      </c>
      <c r="D176" s="15">
        <f>IF(A176&gt;Inputs!$C$62,"",SUM(L176:BK176))</f>
        <v/>
      </c>
      <c r="E176" s="12">
        <f>IF(A176&gt;Inputs!$C$62,"",INDEX(Trajectory!$AG$23:$AG$2000,A176))</f>
        <v/>
      </c>
      <c r="F176" s="12">
        <f>IF(D176=0,0,SUMPRODUCT(L176:BK176,$B$11:$B$63)/D176)</f>
        <v/>
      </c>
      <c r="G176" s="12">
        <f>IF(D176=0,0,MIN(0.95,1-(1-F176)*(1-E176)))</f>
        <v/>
      </c>
      <c r="H176" s="15">
        <f>IF(D176=0,0,D176*G176)</f>
        <v/>
      </c>
      <c r="I176" s="15">
        <f>IF(D176=0,0,D176-H176)</f>
        <v/>
      </c>
      <c r="L176" s="15">
        <f>C176</f>
        <v/>
      </c>
      <c r="M176" s="15">
        <f>MAX(0,L175*(1-INDEX($B$11:$B$63,1))*(1-E175))</f>
        <v/>
      </c>
      <c r="N176" s="15">
        <f>MAX(0,M175*(1-INDEX($B$11:$B$63,2))*(1-E175))</f>
        <v/>
      </c>
      <c r="O176" s="15">
        <f>MAX(0,N175*(1-INDEX($B$11:$B$63,3))*(1-E175))</f>
        <v/>
      </c>
      <c r="P176" s="15">
        <f>MAX(0,O175*(1-INDEX($B$11:$B$63,4))*(1-E175))</f>
        <v/>
      </c>
      <c r="Q176" s="15">
        <f>MAX(0,P175*(1-INDEX($B$11:$B$63,5))*(1-E175))</f>
        <v/>
      </c>
      <c r="R176" s="15">
        <f>MAX(0,Q175*(1-INDEX($B$11:$B$63,6))*(1-E175))</f>
        <v/>
      </c>
      <c r="S176" s="15">
        <f>MAX(0,R175*(1-INDEX($B$11:$B$63,7))*(1-E175))</f>
        <v/>
      </c>
      <c r="T176" s="15">
        <f>MAX(0,S175*(1-INDEX($B$11:$B$63,8))*(1-E175))</f>
        <v/>
      </c>
      <c r="U176" s="15">
        <f>MAX(0,T175*(1-INDEX($B$11:$B$63,9))*(1-E175))</f>
        <v/>
      </c>
      <c r="V176" s="15">
        <f>MAX(0,U175*(1-INDEX($B$11:$B$63,10))*(1-E175))</f>
        <v/>
      </c>
      <c r="W176" s="15">
        <f>MAX(0,V175*(1-INDEX($B$11:$B$63,11))*(1-E175))</f>
        <v/>
      </c>
      <c r="X176" s="15">
        <f>MAX(0,W175*(1-INDEX($B$11:$B$63,12))*(1-E175))</f>
        <v/>
      </c>
      <c r="Y176" s="15">
        <f>MAX(0,X175*(1-INDEX($B$11:$B$63,13))*(1-E175))</f>
        <v/>
      </c>
      <c r="Z176" s="15">
        <f>MAX(0,Y175*(1-INDEX($B$11:$B$63,14))*(1-E175))</f>
        <v/>
      </c>
      <c r="AA176" s="15">
        <f>MAX(0,Z175*(1-INDEX($B$11:$B$63,15))*(1-E175))</f>
        <v/>
      </c>
      <c r="AB176" s="15">
        <f>MAX(0,AA175*(1-INDEX($B$11:$B$63,16))*(1-E175))</f>
        <v/>
      </c>
      <c r="AC176" s="15">
        <f>MAX(0,AB175*(1-INDEX($B$11:$B$63,17))*(1-E175))</f>
        <v/>
      </c>
      <c r="AD176" s="15">
        <f>MAX(0,AC175*(1-INDEX($B$11:$B$63,18))*(1-E175))</f>
        <v/>
      </c>
      <c r="AE176" s="15">
        <f>MAX(0,AD175*(1-INDEX($B$11:$B$63,19))*(1-E175))</f>
        <v/>
      </c>
      <c r="AF176" s="15">
        <f>MAX(0,AE175*(1-INDEX($B$11:$B$63,20))*(1-E175))</f>
        <v/>
      </c>
      <c r="AG176" s="15">
        <f>MAX(0,AF175*(1-INDEX($B$11:$B$63,21))*(1-E175))</f>
        <v/>
      </c>
      <c r="AH176" s="15">
        <f>MAX(0,AG175*(1-INDEX($B$11:$B$63,22))*(1-E175))</f>
        <v/>
      </c>
      <c r="AI176" s="15">
        <f>MAX(0,AH175*(1-INDEX($B$11:$B$63,23))*(1-E175))</f>
        <v/>
      </c>
      <c r="AJ176" s="15">
        <f>MAX(0,AI175*(1-INDEX($B$11:$B$63,24))*(1-E175))</f>
        <v/>
      </c>
      <c r="AK176" s="15">
        <f>MAX(0,AJ175*(1-INDEX($B$11:$B$63,25))*(1-E175))</f>
        <v/>
      </c>
      <c r="AL176" s="15">
        <f>MAX(0,AK175*(1-INDEX($B$11:$B$63,26))*(1-E175))</f>
        <v/>
      </c>
      <c r="AM176" s="15">
        <f>MAX(0,AL175*(1-INDEX($B$11:$B$63,27))*(1-E175))</f>
        <v/>
      </c>
      <c r="AN176" s="15">
        <f>MAX(0,AM175*(1-INDEX($B$11:$B$63,28))*(1-E175))</f>
        <v/>
      </c>
      <c r="AO176" s="15">
        <f>MAX(0,AN175*(1-INDEX($B$11:$B$63,29))*(1-E175))</f>
        <v/>
      </c>
      <c r="AP176" s="15">
        <f>MAX(0,AO175*(1-INDEX($B$11:$B$63,30))*(1-E175))</f>
        <v/>
      </c>
      <c r="AQ176" s="15">
        <f>MAX(0,AP175*(1-INDEX($B$11:$B$63,31))*(1-E175))</f>
        <v/>
      </c>
      <c r="AR176" s="15">
        <f>MAX(0,AQ175*(1-INDEX($B$11:$B$63,32))*(1-E175))</f>
        <v/>
      </c>
      <c r="AS176" s="15">
        <f>MAX(0,AR175*(1-INDEX($B$11:$B$63,33))*(1-E175))</f>
        <v/>
      </c>
      <c r="AT176" s="15">
        <f>MAX(0,AS175*(1-INDEX($B$11:$B$63,34))*(1-E175))</f>
        <v/>
      </c>
      <c r="AU176" s="15">
        <f>MAX(0,AT175*(1-INDEX($B$11:$B$63,35))*(1-E175))</f>
        <v/>
      </c>
      <c r="AV176" s="15">
        <f>MAX(0,AU175*(1-INDEX($B$11:$B$63,36))*(1-E175))</f>
        <v/>
      </c>
      <c r="AW176" s="15">
        <f>MAX(0,AV175*(1-INDEX($B$11:$B$63,37))*(1-E175))</f>
        <v/>
      </c>
      <c r="AX176" s="15">
        <f>MAX(0,AW175*(1-INDEX($B$11:$B$63,38))*(1-E175))</f>
        <v/>
      </c>
      <c r="AY176" s="15">
        <f>MAX(0,AX175*(1-INDEX($B$11:$B$63,39))*(1-E175))</f>
        <v/>
      </c>
      <c r="AZ176" s="15">
        <f>MAX(0,AY175*(1-INDEX($B$11:$B$63,40))*(1-E175))</f>
        <v/>
      </c>
      <c r="BA176" s="15">
        <f>MAX(0,AZ175*(1-INDEX($B$11:$B$63,41))*(1-E175))</f>
        <v/>
      </c>
      <c r="BB176" s="15">
        <f>MAX(0,BA175*(1-INDEX($B$11:$B$63,42))*(1-E175))</f>
        <v/>
      </c>
      <c r="BC176" s="15">
        <f>MAX(0,BB175*(1-INDEX($B$11:$B$63,43))*(1-E175))</f>
        <v/>
      </c>
      <c r="BD176" s="15">
        <f>MAX(0,BC175*(1-INDEX($B$11:$B$63,44))*(1-E175))</f>
        <v/>
      </c>
      <c r="BE176" s="15">
        <f>MAX(0,BD175*(1-INDEX($B$11:$B$63,45))*(1-E175))</f>
        <v/>
      </c>
      <c r="BF176" s="15">
        <f>MAX(0,BE175*(1-INDEX($B$11:$B$63,46))*(1-E175))</f>
        <v/>
      </c>
      <c r="BG176" s="15">
        <f>MAX(0,BF175*(1-INDEX($B$11:$B$63,47))*(1-E175))</f>
        <v/>
      </c>
      <c r="BH176" s="15">
        <f>MAX(0,BG175*(1-INDEX($B$11:$B$63,48))*(1-E175))</f>
        <v/>
      </c>
      <c r="BI176" s="15">
        <f>MAX(0,BH175*(1-INDEX($B$11:$B$63,49))*(1-E175))</f>
        <v/>
      </c>
      <c r="BJ176" s="15">
        <f>MAX(0,BI175*(1-INDEX($B$11:$B$63,50))*(1-E175))</f>
        <v/>
      </c>
      <c r="BK176" s="15">
        <f>MAX(0,BJ175*(1-INDEX($B$11:$B$63,51))*(1-E175))</f>
        <v/>
      </c>
      <c r="BL176" s="15">
        <f>MAX(0,(BL175+BK175)*(1-INDEX($B$11:$B$63,53))*(1-E175))</f>
        <v/>
      </c>
    </row>
    <row r="177">
      <c r="A177" s="55" t="n">
        <v>111</v>
      </c>
      <c r="B177" s="15">
        <f>IF(A177&gt;Inputs!$C$62,"",SUM(M177:BK177))</f>
        <v/>
      </c>
      <c r="C177" s="15">
        <f>IF(A177&gt;Inputs!$C$62,"",INDEX(Trajectory!$C$23:$C$2000,A177))</f>
        <v/>
      </c>
      <c r="D177" s="15">
        <f>IF(A177&gt;Inputs!$C$62,"",SUM(L177:BK177))</f>
        <v/>
      </c>
      <c r="E177" s="12">
        <f>IF(A177&gt;Inputs!$C$62,"",INDEX(Trajectory!$AG$23:$AG$2000,A177))</f>
        <v/>
      </c>
      <c r="F177" s="12">
        <f>IF(D177=0,0,SUMPRODUCT(L177:BK177,$B$11:$B$63)/D177)</f>
        <v/>
      </c>
      <c r="G177" s="12">
        <f>IF(D177=0,0,MIN(0.95,1-(1-F177)*(1-E177)))</f>
        <v/>
      </c>
      <c r="H177" s="15">
        <f>IF(D177=0,0,D177*G177)</f>
        <v/>
      </c>
      <c r="I177" s="15">
        <f>IF(D177=0,0,D177-H177)</f>
        <v/>
      </c>
      <c r="L177" s="15">
        <f>C177</f>
        <v/>
      </c>
      <c r="M177" s="15">
        <f>MAX(0,L176*(1-INDEX($B$11:$B$63,1))*(1-E176))</f>
        <v/>
      </c>
      <c r="N177" s="15">
        <f>MAX(0,M176*(1-INDEX($B$11:$B$63,2))*(1-E176))</f>
        <v/>
      </c>
      <c r="O177" s="15">
        <f>MAX(0,N176*(1-INDEX($B$11:$B$63,3))*(1-E176))</f>
        <v/>
      </c>
      <c r="P177" s="15">
        <f>MAX(0,O176*(1-INDEX($B$11:$B$63,4))*(1-E176))</f>
        <v/>
      </c>
      <c r="Q177" s="15">
        <f>MAX(0,P176*(1-INDEX($B$11:$B$63,5))*(1-E176))</f>
        <v/>
      </c>
      <c r="R177" s="15">
        <f>MAX(0,Q176*(1-INDEX($B$11:$B$63,6))*(1-E176))</f>
        <v/>
      </c>
      <c r="S177" s="15">
        <f>MAX(0,R176*(1-INDEX($B$11:$B$63,7))*(1-E176))</f>
        <v/>
      </c>
      <c r="T177" s="15">
        <f>MAX(0,S176*(1-INDEX($B$11:$B$63,8))*(1-E176))</f>
        <v/>
      </c>
      <c r="U177" s="15">
        <f>MAX(0,T176*(1-INDEX($B$11:$B$63,9))*(1-E176))</f>
        <v/>
      </c>
      <c r="V177" s="15">
        <f>MAX(0,U176*(1-INDEX($B$11:$B$63,10))*(1-E176))</f>
        <v/>
      </c>
      <c r="W177" s="15">
        <f>MAX(0,V176*(1-INDEX($B$11:$B$63,11))*(1-E176))</f>
        <v/>
      </c>
      <c r="X177" s="15">
        <f>MAX(0,W176*(1-INDEX($B$11:$B$63,12))*(1-E176))</f>
        <v/>
      </c>
      <c r="Y177" s="15">
        <f>MAX(0,X176*(1-INDEX($B$11:$B$63,13))*(1-E176))</f>
        <v/>
      </c>
      <c r="Z177" s="15">
        <f>MAX(0,Y176*(1-INDEX($B$11:$B$63,14))*(1-E176))</f>
        <v/>
      </c>
      <c r="AA177" s="15">
        <f>MAX(0,Z176*(1-INDEX($B$11:$B$63,15))*(1-E176))</f>
        <v/>
      </c>
      <c r="AB177" s="15">
        <f>MAX(0,AA176*(1-INDEX($B$11:$B$63,16))*(1-E176))</f>
        <v/>
      </c>
      <c r="AC177" s="15">
        <f>MAX(0,AB176*(1-INDEX($B$11:$B$63,17))*(1-E176))</f>
        <v/>
      </c>
      <c r="AD177" s="15">
        <f>MAX(0,AC176*(1-INDEX($B$11:$B$63,18))*(1-E176))</f>
        <v/>
      </c>
      <c r="AE177" s="15">
        <f>MAX(0,AD176*(1-INDEX($B$11:$B$63,19))*(1-E176))</f>
        <v/>
      </c>
      <c r="AF177" s="15">
        <f>MAX(0,AE176*(1-INDEX($B$11:$B$63,20))*(1-E176))</f>
        <v/>
      </c>
      <c r="AG177" s="15">
        <f>MAX(0,AF176*(1-INDEX($B$11:$B$63,21))*(1-E176))</f>
        <v/>
      </c>
      <c r="AH177" s="15">
        <f>MAX(0,AG176*(1-INDEX($B$11:$B$63,22))*(1-E176))</f>
        <v/>
      </c>
      <c r="AI177" s="15">
        <f>MAX(0,AH176*(1-INDEX($B$11:$B$63,23))*(1-E176))</f>
        <v/>
      </c>
      <c r="AJ177" s="15">
        <f>MAX(0,AI176*(1-INDEX($B$11:$B$63,24))*(1-E176))</f>
        <v/>
      </c>
      <c r="AK177" s="15">
        <f>MAX(0,AJ176*(1-INDEX($B$11:$B$63,25))*(1-E176))</f>
        <v/>
      </c>
      <c r="AL177" s="15">
        <f>MAX(0,AK176*(1-INDEX($B$11:$B$63,26))*(1-E176))</f>
        <v/>
      </c>
      <c r="AM177" s="15">
        <f>MAX(0,AL176*(1-INDEX($B$11:$B$63,27))*(1-E176))</f>
        <v/>
      </c>
      <c r="AN177" s="15">
        <f>MAX(0,AM176*(1-INDEX($B$11:$B$63,28))*(1-E176))</f>
        <v/>
      </c>
      <c r="AO177" s="15">
        <f>MAX(0,AN176*(1-INDEX($B$11:$B$63,29))*(1-E176))</f>
        <v/>
      </c>
      <c r="AP177" s="15">
        <f>MAX(0,AO176*(1-INDEX($B$11:$B$63,30))*(1-E176))</f>
        <v/>
      </c>
      <c r="AQ177" s="15">
        <f>MAX(0,AP176*(1-INDEX($B$11:$B$63,31))*(1-E176))</f>
        <v/>
      </c>
      <c r="AR177" s="15">
        <f>MAX(0,AQ176*(1-INDEX($B$11:$B$63,32))*(1-E176))</f>
        <v/>
      </c>
      <c r="AS177" s="15">
        <f>MAX(0,AR176*(1-INDEX($B$11:$B$63,33))*(1-E176))</f>
        <v/>
      </c>
      <c r="AT177" s="15">
        <f>MAX(0,AS176*(1-INDEX($B$11:$B$63,34))*(1-E176))</f>
        <v/>
      </c>
      <c r="AU177" s="15">
        <f>MAX(0,AT176*(1-INDEX($B$11:$B$63,35))*(1-E176))</f>
        <v/>
      </c>
      <c r="AV177" s="15">
        <f>MAX(0,AU176*(1-INDEX($B$11:$B$63,36))*(1-E176))</f>
        <v/>
      </c>
      <c r="AW177" s="15">
        <f>MAX(0,AV176*(1-INDEX($B$11:$B$63,37))*(1-E176))</f>
        <v/>
      </c>
      <c r="AX177" s="15">
        <f>MAX(0,AW176*(1-INDEX($B$11:$B$63,38))*(1-E176))</f>
        <v/>
      </c>
      <c r="AY177" s="15">
        <f>MAX(0,AX176*(1-INDEX($B$11:$B$63,39))*(1-E176))</f>
        <v/>
      </c>
      <c r="AZ177" s="15">
        <f>MAX(0,AY176*(1-INDEX($B$11:$B$63,40))*(1-E176))</f>
        <v/>
      </c>
      <c r="BA177" s="15">
        <f>MAX(0,AZ176*(1-INDEX($B$11:$B$63,41))*(1-E176))</f>
        <v/>
      </c>
      <c r="BB177" s="15">
        <f>MAX(0,BA176*(1-INDEX($B$11:$B$63,42))*(1-E176))</f>
        <v/>
      </c>
      <c r="BC177" s="15">
        <f>MAX(0,BB176*(1-INDEX($B$11:$B$63,43))*(1-E176))</f>
        <v/>
      </c>
      <c r="BD177" s="15">
        <f>MAX(0,BC176*(1-INDEX($B$11:$B$63,44))*(1-E176))</f>
        <v/>
      </c>
      <c r="BE177" s="15">
        <f>MAX(0,BD176*(1-INDEX($B$11:$B$63,45))*(1-E176))</f>
        <v/>
      </c>
      <c r="BF177" s="15">
        <f>MAX(0,BE176*(1-INDEX($B$11:$B$63,46))*(1-E176))</f>
        <v/>
      </c>
      <c r="BG177" s="15">
        <f>MAX(0,BF176*(1-INDEX($B$11:$B$63,47))*(1-E176))</f>
        <v/>
      </c>
      <c r="BH177" s="15">
        <f>MAX(0,BG176*(1-INDEX($B$11:$B$63,48))*(1-E176))</f>
        <v/>
      </c>
      <c r="BI177" s="15">
        <f>MAX(0,BH176*(1-INDEX($B$11:$B$63,49))*(1-E176))</f>
        <v/>
      </c>
      <c r="BJ177" s="15">
        <f>MAX(0,BI176*(1-INDEX($B$11:$B$63,50))*(1-E176))</f>
        <v/>
      </c>
      <c r="BK177" s="15">
        <f>MAX(0,BJ176*(1-INDEX($B$11:$B$63,51))*(1-E176))</f>
        <v/>
      </c>
      <c r="BL177" s="15">
        <f>MAX(0,(BL176+BK176)*(1-INDEX($B$11:$B$63,53))*(1-E176))</f>
        <v/>
      </c>
    </row>
    <row r="178">
      <c r="A178" s="55" t="n">
        <v>112</v>
      </c>
      <c r="B178" s="15">
        <f>IF(A178&gt;Inputs!$C$62,"",SUM(M178:BK178))</f>
        <v/>
      </c>
      <c r="C178" s="15">
        <f>IF(A178&gt;Inputs!$C$62,"",INDEX(Trajectory!$C$23:$C$2000,A178))</f>
        <v/>
      </c>
      <c r="D178" s="15">
        <f>IF(A178&gt;Inputs!$C$62,"",SUM(L178:BK178))</f>
        <v/>
      </c>
      <c r="E178" s="12">
        <f>IF(A178&gt;Inputs!$C$62,"",INDEX(Trajectory!$AG$23:$AG$2000,A178))</f>
        <v/>
      </c>
      <c r="F178" s="12">
        <f>IF(D178=0,0,SUMPRODUCT(L178:BK178,$B$11:$B$63)/D178)</f>
        <v/>
      </c>
      <c r="G178" s="12">
        <f>IF(D178=0,0,MIN(0.95,1-(1-F178)*(1-E178)))</f>
        <v/>
      </c>
      <c r="H178" s="15">
        <f>IF(D178=0,0,D178*G178)</f>
        <v/>
      </c>
      <c r="I178" s="15">
        <f>IF(D178=0,0,D178-H178)</f>
        <v/>
      </c>
      <c r="L178" s="15">
        <f>C178</f>
        <v/>
      </c>
      <c r="M178" s="15">
        <f>MAX(0,L177*(1-INDEX($B$11:$B$63,1))*(1-E177))</f>
        <v/>
      </c>
      <c r="N178" s="15">
        <f>MAX(0,M177*(1-INDEX($B$11:$B$63,2))*(1-E177))</f>
        <v/>
      </c>
      <c r="O178" s="15">
        <f>MAX(0,N177*(1-INDEX($B$11:$B$63,3))*(1-E177))</f>
        <v/>
      </c>
      <c r="P178" s="15">
        <f>MAX(0,O177*(1-INDEX($B$11:$B$63,4))*(1-E177))</f>
        <v/>
      </c>
      <c r="Q178" s="15">
        <f>MAX(0,P177*(1-INDEX($B$11:$B$63,5))*(1-E177))</f>
        <v/>
      </c>
      <c r="R178" s="15">
        <f>MAX(0,Q177*(1-INDEX($B$11:$B$63,6))*(1-E177))</f>
        <v/>
      </c>
      <c r="S178" s="15">
        <f>MAX(0,R177*(1-INDEX($B$11:$B$63,7))*(1-E177))</f>
        <v/>
      </c>
      <c r="T178" s="15">
        <f>MAX(0,S177*(1-INDEX($B$11:$B$63,8))*(1-E177))</f>
        <v/>
      </c>
      <c r="U178" s="15">
        <f>MAX(0,T177*(1-INDEX($B$11:$B$63,9))*(1-E177))</f>
        <v/>
      </c>
      <c r="V178" s="15">
        <f>MAX(0,U177*(1-INDEX($B$11:$B$63,10))*(1-E177))</f>
        <v/>
      </c>
      <c r="W178" s="15">
        <f>MAX(0,V177*(1-INDEX($B$11:$B$63,11))*(1-E177))</f>
        <v/>
      </c>
      <c r="X178" s="15">
        <f>MAX(0,W177*(1-INDEX($B$11:$B$63,12))*(1-E177))</f>
        <v/>
      </c>
      <c r="Y178" s="15">
        <f>MAX(0,X177*(1-INDEX($B$11:$B$63,13))*(1-E177))</f>
        <v/>
      </c>
      <c r="Z178" s="15">
        <f>MAX(0,Y177*(1-INDEX($B$11:$B$63,14))*(1-E177))</f>
        <v/>
      </c>
      <c r="AA178" s="15">
        <f>MAX(0,Z177*(1-INDEX($B$11:$B$63,15))*(1-E177))</f>
        <v/>
      </c>
      <c r="AB178" s="15">
        <f>MAX(0,AA177*(1-INDEX($B$11:$B$63,16))*(1-E177))</f>
        <v/>
      </c>
      <c r="AC178" s="15">
        <f>MAX(0,AB177*(1-INDEX($B$11:$B$63,17))*(1-E177))</f>
        <v/>
      </c>
      <c r="AD178" s="15">
        <f>MAX(0,AC177*(1-INDEX($B$11:$B$63,18))*(1-E177))</f>
        <v/>
      </c>
      <c r="AE178" s="15">
        <f>MAX(0,AD177*(1-INDEX($B$11:$B$63,19))*(1-E177))</f>
        <v/>
      </c>
      <c r="AF178" s="15">
        <f>MAX(0,AE177*(1-INDEX($B$11:$B$63,20))*(1-E177))</f>
        <v/>
      </c>
      <c r="AG178" s="15">
        <f>MAX(0,AF177*(1-INDEX($B$11:$B$63,21))*(1-E177))</f>
        <v/>
      </c>
      <c r="AH178" s="15">
        <f>MAX(0,AG177*(1-INDEX($B$11:$B$63,22))*(1-E177))</f>
        <v/>
      </c>
      <c r="AI178" s="15">
        <f>MAX(0,AH177*(1-INDEX($B$11:$B$63,23))*(1-E177))</f>
        <v/>
      </c>
      <c r="AJ178" s="15">
        <f>MAX(0,AI177*(1-INDEX($B$11:$B$63,24))*(1-E177))</f>
        <v/>
      </c>
      <c r="AK178" s="15">
        <f>MAX(0,AJ177*(1-INDEX($B$11:$B$63,25))*(1-E177))</f>
        <v/>
      </c>
      <c r="AL178" s="15">
        <f>MAX(0,AK177*(1-INDEX($B$11:$B$63,26))*(1-E177))</f>
        <v/>
      </c>
      <c r="AM178" s="15">
        <f>MAX(0,AL177*(1-INDEX($B$11:$B$63,27))*(1-E177))</f>
        <v/>
      </c>
      <c r="AN178" s="15">
        <f>MAX(0,AM177*(1-INDEX($B$11:$B$63,28))*(1-E177))</f>
        <v/>
      </c>
      <c r="AO178" s="15">
        <f>MAX(0,AN177*(1-INDEX($B$11:$B$63,29))*(1-E177))</f>
        <v/>
      </c>
      <c r="AP178" s="15">
        <f>MAX(0,AO177*(1-INDEX($B$11:$B$63,30))*(1-E177))</f>
        <v/>
      </c>
      <c r="AQ178" s="15">
        <f>MAX(0,AP177*(1-INDEX($B$11:$B$63,31))*(1-E177))</f>
        <v/>
      </c>
      <c r="AR178" s="15">
        <f>MAX(0,AQ177*(1-INDEX($B$11:$B$63,32))*(1-E177))</f>
        <v/>
      </c>
      <c r="AS178" s="15">
        <f>MAX(0,AR177*(1-INDEX($B$11:$B$63,33))*(1-E177))</f>
        <v/>
      </c>
      <c r="AT178" s="15">
        <f>MAX(0,AS177*(1-INDEX($B$11:$B$63,34))*(1-E177))</f>
        <v/>
      </c>
      <c r="AU178" s="15">
        <f>MAX(0,AT177*(1-INDEX($B$11:$B$63,35))*(1-E177))</f>
        <v/>
      </c>
      <c r="AV178" s="15">
        <f>MAX(0,AU177*(1-INDEX($B$11:$B$63,36))*(1-E177))</f>
        <v/>
      </c>
      <c r="AW178" s="15">
        <f>MAX(0,AV177*(1-INDEX($B$11:$B$63,37))*(1-E177))</f>
        <v/>
      </c>
      <c r="AX178" s="15">
        <f>MAX(0,AW177*(1-INDEX($B$11:$B$63,38))*(1-E177))</f>
        <v/>
      </c>
      <c r="AY178" s="15">
        <f>MAX(0,AX177*(1-INDEX($B$11:$B$63,39))*(1-E177))</f>
        <v/>
      </c>
      <c r="AZ178" s="15">
        <f>MAX(0,AY177*(1-INDEX($B$11:$B$63,40))*(1-E177))</f>
        <v/>
      </c>
      <c r="BA178" s="15">
        <f>MAX(0,AZ177*(1-INDEX($B$11:$B$63,41))*(1-E177))</f>
        <v/>
      </c>
      <c r="BB178" s="15">
        <f>MAX(0,BA177*(1-INDEX($B$11:$B$63,42))*(1-E177))</f>
        <v/>
      </c>
      <c r="BC178" s="15">
        <f>MAX(0,BB177*(1-INDEX($B$11:$B$63,43))*(1-E177))</f>
        <v/>
      </c>
      <c r="BD178" s="15">
        <f>MAX(0,BC177*(1-INDEX($B$11:$B$63,44))*(1-E177))</f>
        <v/>
      </c>
      <c r="BE178" s="15">
        <f>MAX(0,BD177*(1-INDEX($B$11:$B$63,45))*(1-E177))</f>
        <v/>
      </c>
      <c r="BF178" s="15">
        <f>MAX(0,BE177*(1-INDEX($B$11:$B$63,46))*(1-E177))</f>
        <v/>
      </c>
      <c r="BG178" s="15">
        <f>MAX(0,BF177*(1-INDEX($B$11:$B$63,47))*(1-E177))</f>
        <v/>
      </c>
      <c r="BH178" s="15">
        <f>MAX(0,BG177*(1-INDEX($B$11:$B$63,48))*(1-E177))</f>
        <v/>
      </c>
      <c r="BI178" s="15">
        <f>MAX(0,BH177*(1-INDEX($B$11:$B$63,49))*(1-E177))</f>
        <v/>
      </c>
      <c r="BJ178" s="15">
        <f>MAX(0,BI177*(1-INDEX($B$11:$B$63,50))*(1-E177))</f>
        <v/>
      </c>
      <c r="BK178" s="15">
        <f>MAX(0,BJ177*(1-INDEX($B$11:$B$63,51))*(1-E177))</f>
        <v/>
      </c>
      <c r="BL178" s="15">
        <f>MAX(0,(BL177+BK177)*(1-INDEX($B$11:$B$63,53))*(1-E177))</f>
        <v/>
      </c>
    </row>
    <row r="179">
      <c r="A179" s="55" t="n">
        <v>113</v>
      </c>
      <c r="B179" s="15">
        <f>IF(A179&gt;Inputs!$C$62,"",SUM(M179:BK179))</f>
        <v/>
      </c>
      <c r="C179" s="15">
        <f>IF(A179&gt;Inputs!$C$62,"",INDEX(Trajectory!$C$23:$C$2000,A179))</f>
        <v/>
      </c>
      <c r="D179" s="15">
        <f>IF(A179&gt;Inputs!$C$62,"",SUM(L179:BK179))</f>
        <v/>
      </c>
      <c r="E179" s="12">
        <f>IF(A179&gt;Inputs!$C$62,"",INDEX(Trajectory!$AG$23:$AG$2000,A179))</f>
        <v/>
      </c>
      <c r="F179" s="12">
        <f>IF(D179=0,0,SUMPRODUCT(L179:BK179,$B$11:$B$63)/D179)</f>
        <v/>
      </c>
      <c r="G179" s="12">
        <f>IF(D179=0,0,MIN(0.95,1-(1-F179)*(1-E179)))</f>
        <v/>
      </c>
      <c r="H179" s="15">
        <f>IF(D179=0,0,D179*G179)</f>
        <v/>
      </c>
      <c r="I179" s="15">
        <f>IF(D179=0,0,D179-H179)</f>
        <v/>
      </c>
      <c r="L179" s="15">
        <f>C179</f>
        <v/>
      </c>
      <c r="M179" s="15">
        <f>MAX(0,L178*(1-INDEX($B$11:$B$63,1))*(1-E178))</f>
        <v/>
      </c>
      <c r="N179" s="15">
        <f>MAX(0,M178*(1-INDEX($B$11:$B$63,2))*(1-E178))</f>
        <v/>
      </c>
      <c r="O179" s="15">
        <f>MAX(0,N178*(1-INDEX($B$11:$B$63,3))*(1-E178))</f>
        <v/>
      </c>
      <c r="P179" s="15">
        <f>MAX(0,O178*(1-INDEX($B$11:$B$63,4))*(1-E178))</f>
        <v/>
      </c>
      <c r="Q179" s="15">
        <f>MAX(0,P178*(1-INDEX($B$11:$B$63,5))*(1-E178))</f>
        <v/>
      </c>
      <c r="R179" s="15">
        <f>MAX(0,Q178*(1-INDEX($B$11:$B$63,6))*(1-E178))</f>
        <v/>
      </c>
      <c r="S179" s="15">
        <f>MAX(0,R178*(1-INDEX($B$11:$B$63,7))*(1-E178))</f>
        <v/>
      </c>
      <c r="T179" s="15">
        <f>MAX(0,S178*(1-INDEX($B$11:$B$63,8))*(1-E178))</f>
        <v/>
      </c>
      <c r="U179" s="15">
        <f>MAX(0,T178*(1-INDEX($B$11:$B$63,9))*(1-E178))</f>
        <v/>
      </c>
      <c r="V179" s="15">
        <f>MAX(0,U178*(1-INDEX($B$11:$B$63,10))*(1-E178))</f>
        <v/>
      </c>
      <c r="W179" s="15">
        <f>MAX(0,V178*(1-INDEX($B$11:$B$63,11))*(1-E178))</f>
        <v/>
      </c>
      <c r="X179" s="15">
        <f>MAX(0,W178*(1-INDEX($B$11:$B$63,12))*(1-E178))</f>
        <v/>
      </c>
      <c r="Y179" s="15">
        <f>MAX(0,X178*(1-INDEX($B$11:$B$63,13))*(1-E178))</f>
        <v/>
      </c>
      <c r="Z179" s="15">
        <f>MAX(0,Y178*(1-INDEX($B$11:$B$63,14))*(1-E178))</f>
        <v/>
      </c>
      <c r="AA179" s="15">
        <f>MAX(0,Z178*(1-INDEX($B$11:$B$63,15))*(1-E178))</f>
        <v/>
      </c>
      <c r="AB179" s="15">
        <f>MAX(0,AA178*(1-INDEX($B$11:$B$63,16))*(1-E178))</f>
        <v/>
      </c>
      <c r="AC179" s="15">
        <f>MAX(0,AB178*(1-INDEX($B$11:$B$63,17))*(1-E178))</f>
        <v/>
      </c>
      <c r="AD179" s="15">
        <f>MAX(0,AC178*(1-INDEX($B$11:$B$63,18))*(1-E178))</f>
        <v/>
      </c>
      <c r="AE179" s="15">
        <f>MAX(0,AD178*(1-INDEX($B$11:$B$63,19))*(1-E178))</f>
        <v/>
      </c>
      <c r="AF179" s="15">
        <f>MAX(0,AE178*(1-INDEX($B$11:$B$63,20))*(1-E178))</f>
        <v/>
      </c>
      <c r="AG179" s="15">
        <f>MAX(0,AF178*(1-INDEX($B$11:$B$63,21))*(1-E178))</f>
        <v/>
      </c>
      <c r="AH179" s="15">
        <f>MAX(0,AG178*(1-INDEX($B$11:$B$63,22))*(1-E178))</f>
        <v/>
      </c>
      <c r="AI179" s="15">
        <f>MAX(0,AH178*(1-INDEX($B$11:$B$63,23))*(1-E178))</f>
        <v/>
      </c>
      <c r="AJ179" s="15">
        <f>MAX(0,AI178*(1-INDEX($B$11:$B$63,24))*(1-E178))</f>
        <v/>
      </c>
      <c r="AK179" s="15">
        <f>MAX(0,AJ178*(1-INDEX($B$11:$B$63,25))*(1-E178))</f>
        <v/>
      </c>
      <c r="AL179" s="15">
        <f>MAX(0,AK178*(1-INDEX($B$11:$B$63,26))*(1-E178))</f>
        <v/>
      </c>
      <c r="AM179" s="15">
        <f>MAX(0,AL178*(1-INDEX($B$11:$B$63,27))*(1-E178))</f>
        <v/>
      </c>
      <c r="AN179" s="15">
        <f>MAX(0,AM178*(1-INDEX($B$11:$B$63,28))*(1-E178))</f>
        <v/>
      </c>
      <c r="AO179" s="15">
        <f>MAX(0,AN178*(1-INDEX($B$11:$B$63,29))*(1-E178))</f>
        <v/>
      </c>
      <c r="AP179" s="15">
        <f>MAX(0,AO178*(1-INDEX($B$11:$B$63,30))*(1-E178))</f>
        <v/>
      </c>
      <c r="AQ179" s="15">
        <f>MAX(0,AP178*(1-INDEX($B$11:$B$63,31))*(1-E178))</f>
        <v/>
      </c>
      <c r="AR179" s="15">
        <f>MAX(0,AQ178*(1-INDEX($B$11:$B$63,32))*(1-E178))</f>
        <v/>
      </c>
      <c r="AS179" s="15">
        <f>MAX(0,AR178*(1-INDEX($B$11:$B$63,33))*(1-E178))</f>
        <v/>
      </c>
      <c r="AT179" s="15">
        <f>MAX(0,AS178*(1-INDEX($B$11:$B$63,34))*(1-E178))</f>
        <v/>
      </c>
      <c r="AU179" s="15">
        <f>MAX(0,AT178*(1-INDEX($B$11:$B$63,35))*(1-E178))</f>
        <v/>
      </c>
      <c r="AV179" s="15">
        <f>MAX(0,AU178*(1-INDEX($B$11:$B$63,36))*(1-E178))</f>
        <v/>
      </c>
      <c r="AW179" s="15">
        <f>MAX(0,AV178*(1-INDEX($B$11:$B$63,37))*(1-E178))</f>
        <v/>
      </c>
      <c r="AX179" s="15">
        <f>MAX(0,AW178*(1-INDEX($B$11:$B$63,38))*(1-E178))</f>
        <v/>
      </c>
      <c r="AY179" s="15">
        <f>MAX(0,AX178*(1-INDEX($B$11:$B$63,39))*(1-E178))</f>
        <v/>
      </c>
      <c r="AZ179" s="15">
        <f>MAX(0,AY178*(1-INDEX($B$11:$B$63,40))*(1-E178))</f>
        <v/>
      </c>
      <c r="BA179" s="15">
        <f>MAX(0,AZ178*(1-INDEX($B$11:$B$63,41))*(1-E178))</f>
        <v/>
      </c>
      <c r="BB179" s="15">
        <f>MAX(0,BA178*(1-INDEX($B$11:$B$63,42))*(1-E178))</f>
        <v/>
      </c>
      <c r="BC179" s="15">
        <f>MAX(0,BB178*(1-INDEX($B$11:$B$63,43))*(1-E178))</f>
        <v/>
      </c>
      <c r="BD179" s="15">
        <f>MAX(0,BC178*(1-INDEX($B$11:$B$63,44))*(1-E178))</f>
        <v/>
      </c>
      <c r="BE179" s="15">
        <f>MAX(0,BD178*(1-INDEX($B$11:$B$63,45))*(1-E178))</f>
        <v/>
      </c>
      <c r="BF179" s="15">
        <f>MAX(0,BE178*(1-INDEX($B$11:$B$63,46))*(1-E178))</f>
        <v/>
      </c>
      <c r="BG179" s="15">
        <f>MAX(0,BF178*(1-INDEX($B$11:$B$63,47))*(1-E178))</f>
        <v/>
      </c>
      <c r="BH179" s="15">
        <f>MAX(0,BG178*(1-INDEX($B$11:$B$63,48))*(1-E178))</f>
        <v/>
      </c>
      <c r="BI179" s="15">
        <f>MAX(0,BH178*(1-INDEX($B$11:$B$63,49))*(1-E178))</f>
        <v/>
      </c>
      <c r="BJ179" s="15">
        <f>MAX(0,BI178*(1-INDEX($B$11:$B$63,50))*(1-E178))</f>
        <v/>
      </c>
      <c r="BK179" s="15">
        <f>MAX(0,BJ178*(1-INDEX($B$11:$B$63,51))*(1-E178))</f>
        <v/>
      </c>
      <c r="BL179" s="15">
        <f>MAX(0,(BL178+BK178)*(1-INDEX($B$11:$B$63,53))*(1-E178))</f>
        <v/>
      </c>
    </row>
    <row r="180">
      <c r="A180" s="55" t="n">
        <v>114</v>
      </c>
      <c r="B180" s="15">
        <f>IF(A180&gt;Inputs!$C$62,"",SUM(M180:BK180))</f>
        <v/>
      </c>
      <c r="C180" s="15">
        <f>IF(A180&gt;Inputs!$C$62,"",INDEX(Trajectory!$C$23:$C$2000,A180))</f>
        <v/>
      </c>
      <c r="D180" s="15">
        <f>IF(A180&gt;Inputs!$C$62,"",SUM(L180:BK180))</f>
        <v/>
      </c>
      <c r="E180" s="12">
        <f>IF(A180&gt;Inputs!$C$62,"",INDEX(Trajectory!$AG$23:$AG$2000,A180))</f>
        <v/>
      </c>
      <c r="F180" s="12">
        <f>IF(D180=0,0,SUMPRODUCT(L180:BK180,$B$11:$B$63)/D180)</f>
        <v/>
      </c>
      <c r="G180" s="12">
        <f>IF(D180=0,0,MIN(0.95,1-(1-F180)*(1-E180)))</f>
        <v/>
      </c>
      <c r="H180" s="15">
        <f>IF(D180=0,0,D180*G180)</f>
        <v/>
      </c>
      <c r="I180" s="15">
        <f>IF(D180=0,0,D180-H180)</f>
        <v/>
      </c>
      <c r="L180" s="15">
        <f>C180</f>
        <v/>
      </c>
      <c r="M180" s="15">
        <f>MAX(0,L179*(1-INDEX($B$11:$B$63,1))*(1-E179))</f>
        <v/>
      </c>
      <c r="N180" s="15">
        <f>MAX(0,M179*(1-INDEX($B$11:$B$63,2))*(1-E179))</f>
        <v/>
      </c>
      <c r="O180" s="15">
        <f>MAX(0,N179*(1-INDEX($B$11:$B$63,3))*(1-E179))</f>
        <v/>
      </c>
      <c r="P180" s="15">
        <f>MAX(0,O179*(1-INDEX($B$11:$B$63,4))*(1-E179))</f>
        <v/>
      </c>
      <c r="Q180" s="15">
        <f>MAX(0,P179*(1-INDEX($B$11:$B$63,5))*(1-E179))</f>
        <v/>
      </c>
      <c r="R180" s="15">
        <f>MAX(0,Q179*(1-INDEX($B$11:$B$63,6))*(1-E179))</f>
        <v/>
      </c>
      <c r="S180" s="15">
        <f>MAX(0,R179*(1-INDEX($B$11:$B$63,7))*(1-E179))</f>
        <v/>
      </c>
      <c r="T180" s="15">
        <f>MAX(0,S179*(1-INDEX($B$11:$B$63,8))*(1-E179))</f>
        <v/>
      </c>
      <c r="U180" s="15">
        <f>MAX(0,T179*(1-INDEX($B$11:$B$63,9))*(1-E179))</f>
        <v/>
      </c>
      <c r="V180" s="15">
        <f>MAX(0,U179*(1-INDEX($B$11:$B$63,10))*(1-E179))</f>
        <v/>
      </c>
      <c r="W180" s="15">
        <f>MAX(0,V179*(1-INDEX($B$11:$B$63,11))*(1-E179))</f>
        <v/>
      </c>
      <c r="X180" s="15">
        <f>MAX(0,W179*(1-INDEX($B$11:$B$63,12))*(1-E179))</f>
        <v/>
      </c>
      <c r="Y180" s="15">
        <f>MAX(0,X179*(1-INDEX($B$11:$B$63,13))*(1-E179))</f>
        <v/>
      </c>
      <c r="Z180" s="15">
        <f>MAX(0,Y179*(1-INDEX($B$11:$B$63,14))*(1-E179))</f>
        <v/>
      </c>
      <c r="AA180" s="15">
        <f>MAX(0,Z179*(1-INDEX($B$11:$B$63,15))*(1-E179))</f>
        <v/>
      </c>
      <c r="AB180" s="15">
        <f>MAX(0,AA179*(1-INDEX($B$11:$B$63,16))*(1-E179))</f>
        <v/>
      </c>
      <c r="AC180" s="15">
        <f>MAX(0,AB179*(1-INDEX($B$11:$B$63,17))*(1-E179))</f>
        <v/>
      </c>
      <c r="AD180" s="15">
        <f>MAX(0,AC179*(1-INDEX($B$11:$B$63,18))*(1-E179))</f>
        <v/>
      </c>
      <c r="AE180" s="15">
        <f>MAX(0,AD179*(1-INDEX($B$11:$B$63,19))*(1-E179))</f>
        <v/>
      </c>
      <c r="AF180" s="15">
        <f>MAX(0,AE179*(1-INDEX($B$11:$B$63,20))*(1-E179))</f>
        <v/>
      </c>
      <c r="AG180" s="15">
        <f>MAX(0,AF179*(1-INDEX($B$11:$B$63,21))*(1-E179))</f>
        <v/>
      </c>
      <c r="AH180" s="15">
        <f>MAX(0,AG179*(1-INDEX($B$11:$B$63,22))*(1-E179))</f>
        <v/>
      </c>
      <c r="AI180" s="15">
        <f>MAX(0,AH179*(1-INDEX($B$11:$B$63,23))*(1-E179))</f>
        <v/>
      </c>
      <c r="AJ180" s="15">
        <f>MAX(0,AI179*(1-INDEX($B$11:$B$63,24))*(1-E179))</f>
        <v/>
      </c>
      <c r="AK180" s="15">
        <f>MAX(0,AJ179*(1-INDEX($B$11:$B$63,25))*(1-E179))</f>
        <v/>
      </c>
      <c r="AL180" s="15">
        <f>MAX(0,AK179*(1-INDEX($B$11:$B$63,26))*(1-E179))</f>
        <v/>
      </c>
      <c r="AM180" s="15">
        <f>MAX(0,AL179*(1-INDEX($B$11:$B$63,27))*(1-E179))</f>
        <v/>
      </c>
      <c r="AN180" s="15">
        <f>MAX(0,AM179*(1-INDEX($B$11:$B$63,28))*(1-E179))</f>
        <v/>
      </c>
      <c r="AO180" s="15">
        <f>MAX(0,AN179*(1-INDEX($B$11:$B$63,29))*(1-E179))</f>
        <v/>
      </c>
      <c r="AP180" s="15">
        <f>MAX(0,AO179*(1-INDEX($B$11:$B$63,30))*(1-E179))</f>
        <v/>
      </c>
      <c r="AQ180" s="15">
        <f>MAX(0,AP179*(1-INDEX($B$11:$B$63,31))*(1-E179))</f>
        <v/>
      </c>
      <c r="AR180" s="15">
        <f>MAX(0,AQ179*(1-INDEX($B$11:$B$63,32))*(1-E179))</f>
        <v/>
      </c>
      <c r="AS180" s="15">
        <f>MAX(0,AR179*(1-INDEX($B$11:$B$63,33))*(1-E179))</f>
        <v/>
      </c>
      <c r="AT180" s="15">
        <f>MAX(0,AS179*(1-INDEX($B$11:$B$63,34))*(1-E179))</f>
        <v/>
      </c>
      <c r="AU180" s="15">
        <f>MAX(0,AT179*(1-INDEX($B$11:$B$63,35))*(1-E179))</f>
        <v/>
      </c>
      <c r="AV180" s="15">
        <f>MAX(0,AU179*(1-INDEX($B$11:$B$63,36))*(1-E179))</f>
        <v/>
      </c>
      <c r="AW180" s="15">
        <f>MAX(0,AV179*(1-INDEX($B$11:$B$63,37))*(1-E179))</f>
        <v/>
      </c>
      <c r="AX180" s="15">
        <f>MAX(0,AW179*(1-INDEX($B$11:$B$63,38))*(1-E179))</f>
        <v/>
      </c>
      <c r="AY180" s="15">
        <f>MAX(0,AX179*(1-INDEX($B$11:$B$63,39))*(1-E179))</f>
        <v/>
      </c>
      <c r="AZ180" s="15">
        <f>MAX(0,AY179*(1-INDEX($B$11:$B$63,40))*(1-E179))</f>
        <v/>
      </c>
      <c r="BA180" s="15">
        <f>MAX(0,AZ179*(1-INDEX($B$11:$B$63,41))*(1-E179))</f>
        <v/>
      </c>
      <c r="BB180" s="15">
        <f>MAX(0,BA179*(1-INDEX($B$11:$B$63,42))*(1-E179))</f>
        <v/>
      </c>
      <c r="BC180" s="15">
        <f>MAX(0,BB179*(1-INDEX($B$11:$B$63,43))*(1-E179))</f>
        <v/>
      </c>
      <c r="BD180" s="15">
        <f>MAX(0,BC179*(1-INDEX($B$11:$B$63,44))*(1-E179))</f>
        <v/>
      </c>
      <c r="BE180" s="15">
        <f>MAX(0,BD179*(1-INDEX($B$11:$B$63,45))*(1-E179))</f>
        <v/>
      </c>
      <c r="BF180" s="15">
        <f>MAX(0,BE179*(1-INDEX($B$11:$B$63,46))*(1-E179))</f>
        <v/>
      </c>
      <c r="BG180" s="15">
        <f>MAX(0,BF179*(1-INDEX($B$11:$B$63,47))*(1-E179))</f>
        <v/>
      </c>
      <c r="BH180" s="15">
        <f>MAX(0,BG179*(1-INDEX($B$11:$B$63,48))*(1-E179))</f>
        <v/>
      </c>
      <c r="BI180" s="15">
        <f>MAX(0,BH179*(1-INDEX($B$11:$B$63,49))*(1-E179))</f>
        <v/>
      </c>
      <c r="BJ180" s="15">
        <f>MAX(0,BI179*(1-INDEX($B$11:$B$63,50))*(1-E179))</f>
        <v/>
      </c>
      <c r="BK180" s="15">
        <f>MAX(0,BJ179*(1-INDEX($B$11:$B$63,51))*(1-E179))</f>
        <v/>
      </c>
      <c r="BL180" s="15">
        <f>MAX(0,(BL179+BK179)*(1-INDEX($B$11:$B$63,53))*(1-E179))</f>
        <v/>
      </c>
    </row>
    <row r="181">
      <c r="A181" s="55" t="n">
        <v>115</v>
      </c>
      <c r="B181" s="15">
        <f>IF(A181&gt;Inputs!$C$62,"",SUM(M181:BK181))</f>
        <v/>
      </c>
      <c r="C181" s="15">
        <f>IF(A181&gt;Inputs!$C$62,"",INDEX(Trajectory!$C$23:$C$2000,A181))</f>
        <v/>
      </c>
      <c r="D181" s="15">
        <f>IF(A181&gt;Inputs!$C$62,"",SUM(L181:BK181))</f>
        <v/>
      </c>
      <c r="E181" s="12">
        <f>IF(A181&gt;Inputs!$C$62,"",INDEX(Trajectory!$AG$23:$AG$2000,A181))</f>
        <v/>
      </c>
      <c r="F181" s="12">
        <f>IF(D181=0,0,SUMPRODUCT(L181:BK181,$B$11:$B$63)/D181)</f>
        <v/>
      </c>
      <c r="G181" s="12">
        <f>IF(D181=0,0,MIN(0.95,1-(1-F181)*(1-E181)))</f>
        <v/>
      </c>
      <c r="H181" s="15">
        <f>IF(D181=0,0,D181*G181)</f>
        <v/>
      </c>
      <c r="I181" s="15">
        <f>IF(D181=0,0,D181-H181)</f>
        <v/>
      </c>
      <c r="L181" s="15">
        <f>C181</f>
        <v/>
      </c>
      <c r="M181" s="15">
        <f>MAX(0,L180*(1-INDEX($B$11:$B$63,1))*(1-E180))</f>
        <v/>
      </c>
      <c r="N181" s="15">
        <f>MAX(0,M180*(1-INDEX($B$11:$B$63,2))*(1-E180))</f>
        <v/>
      </c>
      <c r="O181" s="15">
        <f>MAX(0,N180*(1-INDEX($B$11:$B$63,3))*(1-E180))</f>
        <v/>
      </c>
      <c r="P181" s="15">
        <f>MAX(0,O180*(1-INDEX($B$11:$B$63,4))*(1-E180))</f>
        <v/>
      </c>
      <c r="Q181" s="15">
        <f>MAX(0,P180*(1-INDEX($B$11:$B$63,5))*(1-E180))</f>
        <v/>
      </c>
      <c r="R181" s="15">
        <f>MAX(0,Q180*(1-INDEX($B$11:$B$63,6))*(1-E180))</f>
        <v/>
      </c>
      <c r="S181" s="15">
        <f>MAX(0,R180*(1-INDEX($B$11:$B$63,7))*(1-E180))</f>
        <v/>
      </c>
      <c r="T181" s="15">
        <f>MAX(0,S180*(1-INDEX($B$11:$B$63,8))*(1-E180))</f>
        <v/>
      </c>
      <c r="U181" s="15">
        <f>MAX(0,T180*(1-INDEX($B$11:$B$63,9))*(1-E180))</f>
        <v/>
      </c>
      <c r="V181" s="15">
        <f>MAX(0,U180*(1-INDEX($B$11:$B$63,10))*(1-E180))</f>
        <v/>
      </c>
      <c r="W181" s="15">
        <f>MAX(0,V180*(1-INDEX($B$11:$B$63,11))*(1-E180))</f>
        <v/>
      </c>
      <c r="X181" s="15">
        <f>MAX(0,W180*(1-INDEX($B$11:$B$63,12))*(1-E180))</f>
        <v/>
      </c>
      <c r="Y181" s="15">
        <f>MAX(0,X180*(1-INDEX($B$11:$B$63,13))*(1-E180))</f>
        <v/>
      </c>
      <c r="Z181" s="15">
        <f>MAX(0,Y180*(1-INDEX($B$11:$B$63,14))*(1-E180))</f>
        <v/>
      </c>
      <c r="AA181" s="15">
        <f>MAX(0,Z180*(1-INDEX($B$11:$B$63,15))*(1-E180))</f>
        <v/>
      </c>
      <c r="AB181" s="15">
        <f>MAX(0,AA180*(1-INDEX($B$11:$B$63,16))*(1-E180))</f>
        <v/>
      </c>
      <c r="AC181" s="15">
        <f>MAX(0,AB180*(1-INDEX($B$11:$B$63,17))*(1-E180))</f>
        <v/>
      </c>
      <c r="AD181" s="15">
        <f>MAX(0,AC180*(1-INDEX($B$11:$B$63,18))*(1-E180))</f>
        <v/>
      </c>
      <c r="AE181" s="15">
        <f>MAX(0,AD180*(1-INDEX($B$11:$B$63,19))*(1-E180))</f>
        <v/>
      </c>
      <c r="AF181" s="15">
        <f>MAX(0,AE180*(1-INDEX($B$11:$B$63,20))*(1-E180))</f>
        <v/>
      </c>
      <c r="AG181" s="15">
        <f>MAX(0,AF180*(1-INDEX($B$11:$B$63,21))*(1-E180))</f>
        <v/>
      </c>
      <c r="AH181" s="15">
        <f>MAX(0,AG180*(1-INDEX($B$11:$B$63,22))*(1-E180))</f>
        <v/>
      </c>
      <c r="AI181" s="15">
        <f>MAX(0,AH180*(1-INDEX($B$11:$B$63,23))*(1-E180))</f>
        <v/>
      </c>
      <c r="AJ181" s="15">
        <f>MAX(0,AI180*(1-INDEX($B$11:$B$63,24))*(1-E180))</f>
        <v/>
      </c>
      <c r="AK181" s="15">
        <f>MAX(0,AJ180*(1-INDEX($B$11:$B$63,25))*(1-E180))</f>
        <v/>
      </c>
      <c r="AL181" s="15">
        <f>MAX(0,AK180*(1-INDEX($B$11:$B$63,26))*(1-E180))</f>
        <v/>
      </c>
      <c r="AM181" s="15">
        <f>MAX(0,AL180*(1-INDEX($B$11:$B$63,27))*(1-E180))</f>
        <v/>
      </c>
      <c r="AN181" s="15">
        <f>MAX(0,AM180*(1-INDEX($B$11:$B$63,28))*(1-E180))</f>
        <v/>
      </c>
      <c r="AO181" s="15">
        <f>MAX(0,AN180*(1-INDEX($B$11:$B$63,29))*(1-E180))</f>
        <v/>
      </c>
      <c r="AP181" s="15">
        <f>MAX(0,AO180*(1-INDEX($B$11:$B$63,30))*(1-E180))</f>
        <v/>
      </c>
      <c r="AQ181" s="15">
        <f>MAX(0,AP180*(1-INDEX($B$11:$B$63,31))*(1-E180))</f>
        <v/>
      </c>
      <c r="AR181" s="15">
        <f>MAX(0,AQ180*(1-INDEX($B$11:$B$63,32))*(1-E180))</f>
        <v/>
      </c>
      <c r="AS181" s="15">
        <f>MAX(0,AR180*(1-INDEX($B$11:$B$63,33))*(1-E180))</f>
        <v/>
      </c>
      <c r="AT181" s="15">
        <f>MAX(0,AS180*(1-INDEX($B$11:$B$63,34))*(1-E180))</f>
        <v/>
      </c>
      <c r="AU181" s="15">
        <f>MAX(0,AT180*(1-INDEX($B$11:$B$63,35))*(1-E180))</f>
        <v/>
      </c>
      <c r="AV181" s="15">
        <f>MAX(0,AU180*(1-INDEX($B$11:$B$63,36))*(1-E180))</f>
        <v/>
      </c>
      <c r="AW181" s="15">
        <f>MAX(0,AV180*(1-INDEX($B$11:$B$63,37))*(1-E180))</f>
        <v/>
      </c>
      <c r="AX181" s="15">
        <f>MAX(0,AW180*(1-INDEX($B$11:$B$63,38))*(1-E180))</f>
        <v/>
      </c>
      <c r="AY181" s="15">
        <f>MAX(0,AX180*(1-INDEX($B$11:$B$63,39))*(1-E180))</f>
        <v/>
      </c>
      <c r="AZ181" s="15">
        <f>MAX(0,AY180*(1-INDEX($B$11:$B$63,40))*(1-E180))</f>
        <v/>
      </c>
      <c r="BA181" s="15">
        <f>MAX(0,AZ180*(1-INDEX($B$11:$B$63,41))*(1-E180))</f>
        <v/>
      </c>
      <c r="BB181" s="15">
        <f>MAX(0,BA180*(1-INDEX($B$11:$B$63,42))*(1-E180))</f>
        <v/>
      </c>
      <c r="BC181" s="15">
        <f>MAX(0,BB180*(1-INDEX($B$11:$B$63,43))*(1-E180))</f>
        <v/>
      </c>
      <c r="BD181" s="15">
        <f>MAX(0,BC180*(1-INDEX($B$11:$B$63,44))*(1-E180))</f>
        <v/>
      </c>
      <c r="BE181" s="15">
        <f>MAX(0,BD180*(1-INDEX($B$11:$B$63,45))*(1-E180))</f>
        <v/>
      </c>
      <c r="BF181" s="15">
        <f>MAX(0,BE180*(1-INDEX($B$11:$B$63,46))*(1-E180))</f>
        <v/>
      </c>
      <c r="BG181" s="15">
        <f>MAX(0,BF180*(1-INDEX($B$11:$B$63,47))*(1-E180))</f>
        <v/>
      </c>
      <c r="BH181" s="15">
        <f>MAX(0,BG180*(1-INDEX($B$11:$B$63,48))*(1-E180))</f>
        <v/>
      </c>
      <c r="BI181" s="15">
        <f>MAX(0,BH180*(1-INDEX($B$11:$B$63,49))*(1-E180))</f>
        <v/>
      </c>
      <c r="BJ181" s="15">
        <f>MAX(0,BI180*(1-INDEX($B$11:$B$63,50))*(1-E180))</f>
        <v/>
      </c>
      <c r="BK181" s="15">
        <f>MAX(0,BJ180*(1-INDEX($B$11:$B$63,51))*(1-E180))</f>
        <v/>
      </c>
      <c r="BL181" s="15">
        <f>MAX(0,(BL180+BK180)*(1-INDEX($B$11:$B$63,53))*(1-E180))</f>
        <v/>
      </c>
    </row>
    <row r="182">
      <c r="A182" s="55" t="n">
        <v>116</v>
      </c>
      <c r="B182" s="15">
        <f>IF(A182&gt;Inputs!$C$62,"",SUM(M182:BK182))</f>
        <v/>
      </c>
      <c r="C182" s="15">
        <f>IF(A182&gt;Inputs!$C$62,"",INDEX(Trajectory!$C$23:$C$2000,A182))</f>
        <v/>
      </c>
      <c r="D182" s="15">
        <f>IF(A182&gt;Inputs!$C$62,"",SUM(L182:BK182))</f>
        <v/>
      </c>
      <c r="E182" s="12">
        <f>IF(A182&gt;Inputs!$C$62,"",INDEX(Trajectory!$AG$23:$AG$2000,A182))</f>
        <v/>
      </c>
      <c r="F182" s="12">
        <f>IF(D182=0,0,SUMPRODUCT(L182:BK182,$B$11:$B$63)/D182)</f>
        <v/>
      </c>
      <c r="G182" s="12">
        <f>IF(D182=0,0,MIN(0.95,1-(1-F182)*(1-E182)))</f>
        <v/>
      </c>
      <c r="H182" s="15">
        <f>IF(D182=0,0,D182*G182)</f>
        <v/>
      </c>
      <c r="I182" s="15">
        <f>IF(D182=0,0,D182-H182)</f>
        <v/>
      </c>
      <c r="L182" s="15">
        <f>C182</f>
        <v/>
      </c>
      <c r="M182" s="15">
        <f>MAX(0,L181*(1-INDEX($B$11:$B$63,1))*(1-E181))</f>
        <v/>
      </c>
      <c r="N182" s="15">
        <f>MAX(0,M181*(1-INDEX($B$11:$B$63,2))*(1-E181))</f>
        <v/>
      </c>
      <c r="O182" s="15">
        <f>MAX(0,N181*(1-INDEX($B$11:$B$63,3))*(1-E181))</f>
        <v/>
      </c>
      <c r="P182" s="15">
        <f>MAX(0,O181*(1-INDEX($B$11:$B$63,4))*(1-E181))</f>
        <v/>
      </c>
      <c r="Q182" s="15">
        <f>MAX(0,P181*(1-INDEX($B$11:$B$63,5))*(1-E181))</f>
        <v/>
      </c>
      <c r="R182" s="15">
        <f>MAX(0,Q181*(1-INDEX($B$11:$B$63,6))*(1-E181))</f>
        <v/>
      </c>
      <c r="S182" s="15">
        <f>MAX(0,R181*(1-INDEX($B$11:$B$63,7))*(1-E181))</f>
        <v/>
      </c>
      <c r="T182" s="15">
        <f>MAX(0,S181*(1-INDEX($B$11:$B$63,8))*(1-E181))</f>
        <v/>
      </c>
      <c r="U182" s="15">
        <f>MAX(0,T181*(1-INDEX($B$11:$B$63,9))*(1-E181))</f>
        <v/>
      </c>
      <c r="V182" s="15">
        <f>MAX(0,U181*(1-INDEX($B$11:$B$63,10))*(1-E181))</f>
        <v/>
      </c>
      <c r="W182" s="15">
        <f>MAX(0,V181*(1-INDEX($B$11:$B$63,11))*(1-E181))</f>
        <v/>
      </c>
      <c r="X182" s="15">
        <f>MAX(0,W181*(1-INDEX($B$11:$B$63,12))*(1-E181))</f>
        <v/>
      </c>
      <c r="Y182" s="15">
        <f>MAX(0,X181*(1-INDEX($B$11:$B$63,13))*(1-E181))</f>
        <v/>
      </c>
      <c r="Z182" s="15">
        <f>MAX(0,Y181*(1-INDEX($B$11:$B$63,14))*(1-E181))</f>
        <v/>
      </c>
      <c r="AA182" s="15">
        <f>MAX(0,Z181*(1-INDEX($B$11:$B$63,15))*(1-E181))</f>
        <v/>
      </c>
      <c r="AB182" s="15">
        <f>MAX(0,AA181*(1-INDEX($B$11:$B$63,16))*(1-E181))</f>
        <v/>
      </c>
      <c r="AC182" s="15">
        <f>MAX(0,AB181*(1-INDEX($B$11:$B$63,17))*(1-E181))</f>
        <v/>
      </c>
      <c r="AD182" s="15">
        <f>MAX(0,AC181*(1-INDEX($B$11:$B$63,18))*(1-E181))</f>
        <v/>
      </c>
      <c r="AE182" s="15">
        <f>MAX(0,AD181*(1-INDEX($B$11:$B$63,19))*(1-E181))</f>
        <v/>
      </c>
      <c r="AF182" s="15">
        <f>MAX(0,AE181*(1-INDEX($B$11:$B$63,20))*(1-E181))</f>
        <v/>
      </c>
      <c r="AG182" s="15">
        <f>MAX(0,AF181*(1-INDEX($B$11:$B$63,21))*(1-E181))</f>
        <v/>
      </c>
      <c r="AH182" s="15">
        <f>MAX(0,AG181*(1-INDEX($B$11:$B$63,22))*(1-E181))</f>
        <v/>
      </c>
      <c r="AI182" s="15">
        <f>MAX(0,AH181*(1-INDEX($B$11:$B$63,23))*(1-E181))</f>
        <v/>
      </c>
      <c r="AJ182" s="15">
        <f>MAX(0,AI181*(1-INDEX($B$11:$B$63,24))*(1-E181))</f>
        <v/>
      </c>
      <c r="AK182" s="15">
        <f>MAX(0,AJ181*(1-INDEX($B$11:$B$63,25))*(1-E181))</f>
        <v/>
      </c>
      <c r="AL182" s="15">
        <f>MAX(0,AK181*(1-INDEX($B$11:$B$63,26))*(1-E181))</f>
        <v/>
      </c>
      <c r="AM182" s="15">
        <f>MAX(0,AL181*(1-INDEX($B$11:$B$63,27))*(1-E181))</f>
        <v/>
      </c>
      <c r="AN182" s="15">
        <f>MAX(0,AM181*(1-INDEX($B$11:$B$63,28))*(1-E181))</f>
        <v/>
      </c>
      <c r="AO182" s="15">
        <f>MAX(0,AN181*(1-INDEX($B$11:$B$63,29))*(1-E181))</f>
        <v/>
      </c>
      <c r="AP182" s="15">
        <f>MAX(0,AO181*(1-INDEX($B$11:$B$63,30))*(1-E181))</f>
        <v/>
      </c>
      <c r="AQ182" s="15">
        <f>MAX(0,AP181*(1-INDEX($B$11:$B$63,31))*(1-E181))</f>
        <v/>
      </c>
      <c r="AR182" s="15">
        <f>MAX(0,AQ181*(1-INDEX($B$11:$B$63,32))*(1-E181))</f>
        <v/>
      </c>
      <c r="AS182" s="15">
        <f>MAX(0,AR181*(1-INDEX($B$11:$B$63,33))*(1-E181))</f>
        <v/>
      </c>
      <c r="AT182" s="15">
        <f>MAX(0,AS181*(1-INDEX($B$11:$B$63,34))*(1-E181))</f>
        <v/>
      </c>
      <c r="AU182" s="15">
        <f>MAX(0,AT181*(1-INDEX($B$11:$B$63,35))*(1-E181))</f>
        <v/>
      </c>
      <c r="AV182" s="15">
        <f>MAX(0,AU181*(1-INDEX($B$11:$B$63,36))*(1-E181))</f>
        <v/>
      </c>
      <c r="AW182" s="15">
        <f>MAX(0,AV181*(1-INDEX($B$11:$B$63,37))*(1-E181))</f>
        <v/>
      </c>
      <c r="AX182" s="15">
        <f>MAX(0,AW181*(1-INDEX($B$11:$B$63,38))*(1-E181))</f>
        <v/>
      </c>
      <c r="AY182" s="15">
        <f>MAX(0,AX181*(1-INDEX($B$11:$B$63,39))*(1-E181))</f>
        <v/>
      </c>
      <c r="AZ182" s="15">
        <f>MAX(0,AY181*(1-INDEX($B$11:$B$63,40))*(1-E181))</f>
        <v/>
      </c>
      <c r="BA182" s="15">
        <f>MAX(0,AZ181*(1-INDEX($B$11:$B$63,41))*(1-E181))</f>
        <v/>
      </c>
      <c r="BB182" s="15">
        <f>MAX(0,BA181*(1-INDEX($B$11:$B$63,42))*(1-E181))</f>
        <v/>
      </c>
      <c r="BC182" s="15">
        <f>MAX(0,BB181*(1-INDEX($B$11:$B$63,43))*(1-E181))</f>
        <v/>
      </c>
      <c r="BD182" s="15">
        <f>MAX(0,BC181*(1-INDEX($B$11:$B$63,44))*(1-E181))</f>
        <v/>
      </c>
      <c r="BE182" s="15">
        <f>MAX(0,BD181*(1-INDEX($B$11:$B$63,45))*(1-E181))</f>
        <v/>
      </c>
      <c r="BF182" s="15">
        <f>MAX(0,BE181*(1-INDEX($B$11:$B$63,46))*(1-E181))</f>
        <v/>
      </c>
      <c r="BG182" s="15">
        <f>MAX(0,BF181*(1-INDEX($B$11:$B$63,47))*(1-E181))</f>
        <v/>
      </c>
      <c r="BH182" s="15">
        <f>MAX(0,BG181*(1-INDEX($B$11:$B$63,48))*(1-E181))</f>
        <v/>
      </c>
      <c r="BI182" s="15">
        <f>MAX(0,BH181*(1-INDEX($B$11:$B$63,49))*(1-E181))</f>
        <v/>
      </c>
      <c r="BJ182" s="15">
        <f>MAX(0,BI181*(1-INDEX($B$11:$B$63,50))*(1-E181))</f>
        <v/>
      </c>
      <c r="BK182" s="15">
        <f>MAX(0,BJ181*(1-INDEX($B$11:$B$63,51))*(1-E181))</f>
        <v/>
      </c>
      <c r="BL182" s="15">
        <f>MAX(0,(BL181+BK181)*(1-INDEX($B$11:$B$63,53))*(1-E181))</f>
        <v/>
      </c>
    </row>
    <row r="183">
      <c r="A183" s="55" t="n">
        <v>117</v>
      </c>
      <c r="B183" s="15">
        <f>IF(A183&gt;Inputs!$C$62,"",SUM(M183:BK183))</f>
        <v/>
      </c>
      <c r="C183" s="15">
        <f>IF(A183&gt;Inputs!$C$62,"",INDEX(Trajectory!$C$23:$C$2000,A183))</f>
        <v/>
      </c>
      <c r="D183" s="15">
        <f>IF(A183&gt;Inputs!$C$62,"",SUM(L183:BK183))</f>
        <v/>
      </c>
      <c r="E183" s="12">
        <f>IF(A183&gt;Inputs!$C$62,"",INDEX(Trajectory!$AG$23:$AG$2000,A183))</f>
        <v/>
      </c>
      <c r="F183" s="12">
        <f>IF(D183=0,0,SUMPRODUCT(L183:BK183,$B$11:$B$63)/D183)</f>
        <v/>
      </c>
      <c r="G183" s="12">
        <f>IF(D183=0,0,MIN(0.95,1-(1-F183)*(1-E183)))</f>
        <v/>
      </c>
      <c r="H183" s="15">
        <f>IF(D183=0,0,D183*G183)</f>
        <v/>
      </c>
      <c r="I183" s="15">
        <f>IF(D183=0,0,D183-H183)</f>
        <v/>
      </c>
      <c r="L183" s="15">
        <f>C183</f>
        <v/>
      </c>
      <c r="M183" s="15">
        <f>MAX(0,L182*(1-INDEX($B$11:$B$63,1))*(1-E182))</f>
        <v/>
      </c>
      <c r="N183" s="15">
        <f>MAX(0,M182*(1-INDEX($B$11:$B$63,2))*(1-E182))</f>
        <v/>
      </c>
      <c r="O183" s="15">
        <f>MAX(0,N182*(1-INDEX($B$11:$B$63,3))*(1-E182))</f>
        <v/>
      </c>
      <c r="P183" s="15">
        <f>MAX(0,O182*(1-INDEX($B$11:$B$63,4))*(1-E182))</f>
        <v/>
      </c>
      <c r="Q183" s="15">
        <f>MAX(0,P182*(1-INDEX($B$11:$B$63,5))*(1-E182))</f>
        <v/>
      </c>
      <c r="R183" s="15">
        <f>MAX(0,Q182*(1-INDEX($B$11:$B$63,6))*(1-E182))</f>
        <v/>
      </c>
      <c r="S183" s="15">
        <f>MAX(0,R182*(1-INDEX($B$11:$B$63,7))*(1-E182))</f>
        <v/>
      </c>
      <c r="T183" s="15">
        <f>MAX(0,S182*(1-INDEX($B$11:$B$63,8))*(1-E182))</f>
        <v/>
      </c>
      <c r="U183" s="15">
        <f>MAX(0,T182*(1-INDEX($B$11:$B$63,9))*(1-E182))</f>
        <v/>
      </c>
      <c r="V183" s="15">
        <f>MAX(0,U182*(1-INDEX($B$11:$B$63,10))*(1-E182))</f>
        <v/>
      </c>
      <c r="W183" s="15">
        <f>MAX(0,V182*(1-INDEX($B$11:$B$63,11))*(1-E182))</f>
        <v/>
      </c>
      <c r="X183" s="15">
        <f>MAX(0,W182*(1-INDEX($B$11:$B$63,12))*(1-E182))</f>
        <v/>
      </c>
      <c r="Y183" s="15">
        <f>MAX(0,X182*(1-INDEX($B$11:$B$63,13))*(1-E182))</f>
        <v/>
      </c>
      <c r="Z183" s="15">
        <f>MAX(0,Y182*(1-INDEX($B$11:$B$63,14))*(1-E182))</f>
        <v/>
      </c>
      <c r="AA183" s="15">
        <f>MAX(0,Z182*(1-INDEX($B$11:$B$63,15))*(1-E182))</f>
        <v/>
      </c>
      <c r="AB183" s="15">
        <f>MAX(0,AA182*(1-INDEX($B$11:$B$63,16))*(1-E182))</f>
        <v/>
      </c>
      <c r="AC183" s="15">
        <f>MAX(0,AB182*(1-INDEX($B$11:$B$63,17))*(1-E182))</f>
        <v/>
      </c>
      <c r="AD183" s="15">
        <f>MAX(0,AC182*(1-INDEX($B$11:$B$63,18))*(1-E182))</f>
        <v/>
      </c>
      <c r="AE183" s="15">
        <f>MAX(0,AD182*(1-INDEX($B$11:$B$63,19))*(1-E182))</f>
        <v/>
      </c>
      <c r="AF183" s="15">
        <f>MAX(0,AE182*(1-INDEX($B$11:$B$63,20))*(1-E182))</f>
        <v/>
      </c>
      <c r="AG183" s="15">
        <f>MAX(0,AF182*(1-INDEX($B$11:$B$63,21))*(1-E182))</f>
        <v/>
      </c>
      <c r="AH183" s="15">
        <f>MAX(0,AG182*(1-INDEX($B$11:$B$63,22))*(1-E182))</f>
        <v/>
      </c>
      <c r="AI183" s="15">
        <f>MAX(0,AH182*(1-INDEX($B$11:$B$63,23))*(1-E182))</f>
        <v/>
      </c>
      <c r="AJ183" s="15">
        <f>MAX(0,AI182*(1-INDEX($B$11:$B$63,24))*(1-E182))</f>
        <v/>
      </c>
      <c r="AK183" s="15">
        <f>MAX(0,AJ182*(1-INDEX($B$11:$B$63,25))*(1-E182))</f>
        <v/>
      </c>
      <c r="AL183" s="15">
        <f>MAX(0,AK182*(1-INDEX($B$11:$B$63,26))*(1-E182))</f>
        <v/>
      </c>
      <c r="AM183" s="15">
        <f>MAX(0,AL182*(1-INDEX($B$11:$B$63,27))*(1-E182))</f>
        <v/>
      </c>
      <c r="AN183" s="15">
        <f>MAX(0,AM182*(1-INDEX($B$11:$B$63,28))*(1-E182))</f>
        <v/>
      </c>
      <c r="AO183" s="15">
        <f>MAX(0,AN182*(1-INDEX($B$11:$B$63,29))*(1-E182))</f>
        <v/>
      </c>
      <c r="AP183" s="15">
        <f>MAX(0,AO182*(1-INDEX($B$11:$B$63,30))*(1-E182))</f>
        <v/>
      </c>
      <c r="AQ183" s="15">
        <f>MAX(0,AP182*(1-INDEX($B$11:$B$63,31))*(1-E182))</f>
        <v/>
      </c>
      <c r="AR183" s="15">
        <f>MAX(0,AQ182*(1-INDEX($B$11:$B$63,32))*(1-E182))</f>
        <v/>
      </c>
      <c r="AS183" s="15">
        <f>MAX(0,AR182*(1-INDEX($B$11:$B$63,33))*(1-E182))</f>
        <v/>
      </c>
      <c r="AT183" s="15">
        <f>MAX(0,AS182*(1-INDEX($B$11:$B$63,34))*(1-E182))</f>
        <v/>
      </c>
      <c r="AU183" s="15">
        <f>MAX(0,AT182*(1-INDEX($B$11:$B$63,35))*(1-E182))</f>
        <v/>
      </c>
      <c r="AV183" s="15">
        <f>MAX(0,AU182*(1-INDEX($B$11:$B$63,36))*(1-E182))</f>
        <v/>
      </c>
      <c r="AW183" s="15">
        <f>MAX(0,AV182*(1-INDEX($B$11:$B$63,37))*(1-E182))</f>
        <v/>
      </c>
      <c r="AX183" s="15">
        <f>MAX(0,AW182*(1-INDEX($B$11:$B$63,38))*(1-E182))</f>
        <v/>
      </c>
      <c r="AY183" s="15">
        <f>MAX(0,AX182*(1-INDEX($B$11:$B$63,39))*(1-E182))</f>
        <v/>
      </c>
      <c r="AZ183" s="15">
        <f>MAX(0,AY182*(1-INDEX($B$11:$B$63,40))*(1-E182))</f>
        <v/>
      </c>
      <c r="BA183" s="15">
        <f>MAX(0,AZ182*(1-INDEX($B$11:$B$63,41))*(1-E182))</f>
        <v/>
      </c>
      <c r="BB183" s="15">
        <f>MAX(0,BA182*(1-INDEX($B$11:$B$63,42))*(1-E182))</f>
        <v/>
      </c>
      <c r="BC183" s="15">
        <f>MAX(0,BB182*(1-INDEX($B$11:$B$63,43))*(1-E182))</f>
        <v/>
      </c>
      <c r="BD183" s="15">
        <f>MAX(0,BC182*(1-INDEX($B$11:$B$63,44))*(1-E182))</f>
        <v/>
      </c>
      <c r="BE183" s="15">
        <f>MAX(0,BD182*(1-INDEX($B$11:$B$63,45))*(1-E182))</f>
        <v/>
      </c>
      <c r="BF183" s="15">
        <f>MAX(0,BE182*(1-INDEX($B$11:$B$63,46))*(1-E182))</f>
        <v/>
      </c>
      <c r="BG183" s="15">
        <f>MAX(0,BF182*(1-INDEX($B$11:$B$63,47))*(1-E182))</f>
        <v/>
      </c>
      <c r="BH183" s="15">
        <f>MAX(0,BG182*(1-INDEX($B$11:$B$63,48))*(1-E182))</f>
        <v/>
      </c>
      <c r="BI183" s="15">
        <f>MAX(0,BH182*(1-INDEX($B$11:$B$63,49))*(1-E182))</f>
        <v/>
      </c>
      <c r="BJ183" s="15">
        <f>MAX(0,BI182*(1-INDEX($B$11:$B$63,50))*(1-E182))</f>
        <v/>
      </c>
      <c r="BK183" s="15">
        <f>MAX(0,BJ182*(1-INDEX($B$11:$B$63,51))*(1-E182))</f>
        <v/>
      </c>
      <c r="BL183" s="15">
        <f>MAX(0,(BL182+BK182)*(1-INDEX($B$11:$B$63,53))*(1-E182))</f>
        <v/>
      </c>
    </row>
    <row r="184">
      <c r="A184" s="55" t="n">
        <v>118</v>
      </c>
      <c r="B184" s="15">
        <f>IF(A184&gt;Inputs!$C$62,"",SUM(M184:BK184))</f>
        <v/>
      </c>
      <c r="C184" s="15">
        <f>IF(A184&gt;Inputs!$C$62,"",INDEX(Trajectory!$C$23:$C$2000,A184))</f>
        <v/>
      </c>
      <c r="D184" s="15">
        <f>IF(A184&gt;Inputs!$C$62,"",SUM(L184:BK184))</f>
        <v/>
      </c>
      <c r="E184" s="12">
        <f>IF(A184&gt;Inputs!$C$62,"",INDEX(Trajectory!$AG$23:$AG$2000,A184))</f>
        <v/>
      </c>
      <c r="F184" s="12">
        <f>IF(D184=0,0,SUMPRODUCT(L184:BK184,$B$11:$B$63)/D184)</f>
        <v/>
      </c>
      <c r="G184" s="12">
        <f>IF(D184=0,0,MIN(0.95,1-(1-F184)*(1-E184)))</f>
        <v/>
      </c>
      <c r="H184" s="15">
        <f>IF(D184=0,0,D184*G184)</f>
        <v/>
      </c>
      <c r="I184" s="15">
        <f>IF(D184=0,0,D184-H184)</f>
        <v/>
      </c>
      <c r="L184" s="15">
        <f>C184</f>
        <v/>
      </c>
      <c r="M184" s="15">
        <f>MAX(0,L183*(1-INDEX($B$11:$B$63,1))*(1-E183))</f>
        <v/>
      </c>
      <c r="N184" s="15">
        <f>MAX(0,M183*(1-INDEX($B$11:$B$63,2))*(1-E183))</f>
        <v/>
      </c>
      <c r="O184" s="15">
        <f>MAX(0,N183*(1-INDEX($B$11:$B$63,3))*(1-E183))</f>
        <v/>
      </c>
      <c r="P184" s="15">
        <f>MAX(0,O183*(1-INDEX($B$11:$B$63,4))*(1-E183))</f>
        <v/>
      </c>
      <c r="Q184" s="15">
        <f>MAX(0,P183*(1-INDEX($B$11:$B$63,5))*(1-E183))</f>
        <v/>
      </c>
      <c r="R184" s="15">
        <f>MAX(0,Q183*(1-INDEX($B$11:$B$63,6))*(1-E183))</f>
        <v/>
      </c>
      <c r="S184" s="15">
        <f>MAX(0,R183*(1-INDEX($B$11:$B$63,7))*(1-E183))</f>
        <v/>
      </c>
      <c r="T184" s="15">
        <f>MAX(0,S183*(1-INDEX($B$11:$B$63,8))*(1-E183))</f>
        <v/>
      </c>
      <c r="U184" s="15">
        <f>MAX(0,T183*(1-INDEX($B$11:$B$63,9))*(1-E183))</f>
        <v/>
      </c>
      <c r="V184" s="15">
        <f>MAX(0,U183*(1-INDEX($B$11:$B$63,10))*(1-E183))</f>
        <v/>
      </c>
      <c r="W184" s="15">
        <f>MAX(0,V183*(1-INDEX($B$11:$B$63,11))*(1-E183))</f>
        <v/>
      </c>
      <c r="X184" s="15">
        <f>MAX(0,W183*(1-INDEX($B$11:$B$63,12))*(1-E183))</f>
        <v/>
      </c>
      <c r="Y184" s="15">
        <f>MAX(0,X183*(1-INDEX($B$11:$B$63,13))*(1-E183))</f>
        <v/>
      </c>
      <c r="Z184" s="15">
        <f>MAX(0,Y183*(1-INDEX($B$11:$B$63,14))*(1-E183))</f>
        <v/>
      </c>
      <c r="AA184" s="15">
        <f>MAX(0,Z183*(1-INDEX($B$11:$B$63,15))*(1-E183))</f>
        <v/>
      </c>
      <c r="AB184" s="15">
        <f>MAX(0,AA183*(1-INDEX($B$11:$B$63,16))*(1-E183))</f>
        <v/>
      </c>
      <c r="AC184" s="15">
        <f>MAX(0,AB183*(1-INDEX($B$11:$B$63,17))*(1-E183))</f>
        <v/>
      </c>
      <c r="AD184" s="15">
        <f>MAX(0,AC183*(1-INDEX($B$11:$B$63,18))*(1-E183))</f>
        <v/>
      </c>
      <c r="AE184" s="15">
        <f>MAX(0,AD183*(1-INDEX($B$11:$B$63,19))*(1-E183))</f>
        <v/>
      </c>
      <c r="AF184" s="15">
        <f>MAX(0,AE183*(1-INDEX($B$11:$B$63,20))*(1-E183))</f>
        <v/>
      </c>
      <c r="AG184" s="15">
        <f>MAX(0,AF183*(1-INDEX($B$11:$B$63,21))*(1-E183))</f>
        <v/>
      </c>
      <c r="AH184" s="15">
        <f>MAX(0,AG183*(1-INDEX($B$11:$B$63,22))*(1-E183))</f>
        <v/>
      </c>
      <c r="AI184" s="15">
        <f>MAX(0,AH183*(1-INDEX($B$11:$B$63,23))*(1-E183))</f>
        <v/>
      </c>
      <c r="AJ184" s="15">
        <f>MAX(0,AI183*(1-INDEX($B$11:$B$63,24))*(1-E183))</f>
        <v/>
      </c>
      <c r="AK184" s="15">
        <f>MAX(0,AJ183*(1-INDEX($B$11:$B$63,25))*(1-E183))</f>
        <v/>
      </c>
      <c r="AL184" s="15">
        <f>MAX(0,AK183*(1-INDEX($B$11:$B$63,26))*(1-E183))</f>
        <v/>
      </c>
      <c r="AM184" s="15">
        <f>MAX(0,AL183*(1-INDEX($B$11:$B$63,27))*(1-E183))</f>
        <v/>
      </c>
      <c r="AN184" s="15">
        <f>MAX(0,AM183*(1-INDEX($B$11:$B$63,28))*(1-E183))</f>
        <v/>
      </c>
      <c r="AO184" s="15">
        <f>MAX(0,AN183*(1-INDEX($B$11:$B$63,29))*(1-E183))</f>
        <v/>
      </c>
      <c r="AP184" s="15">
        <f>MAX(0,AO183*(1-INDEX($B$11:$B$63,30))*(1-E183))</f>
        <v/>
      </c>
      <c r="AQ184" s="15">
        <f>MAX(0,AP183*(1-INDEX($B$11:$B$63,31))*(1-E183))</f>
        <v/>
      </c>
      <c r="AR184" s="15">
        <f>MAX(0,AQ183*(1-INDEX($B$11:$B$63,32))*(1-E183))</f>
        <v/>
      </c>
      <c r="AS184" s="15">
        <f>MAX(0,AR183*(1-INDEX($B$11:$B$63,33))*(1-E183))</f>
        <v/>
      </c>
      <c r="AT184" s="15">
        <f>MAX(0,AS183*(1-INDEX($B$11:$B$63,34))*(1-E183))</f>
        <v/>
      </c>
      <c r="AU184" s="15">
        <f>MAX(0,AT183*(1-INDEX($B$11:$B$63,35))*(1-E183))</f>
        <v/>
      </c>
      <c r="AV184" s="15">
        <f>MAX(0,AU183*(1-INDEX($B$11:$B$63,36))*(1-E183))</f>
        <v/>
      </c>
      <c r="AW184" s="15">
        <f>MAX(0,AV183*(1-INDEX($B$11:$B$63,37))*(1-E183))</f>
        <v/>
      </c>
      <c r="AX184" s="15">
        <f>MAX(0,AW183*(1-INDEX($B$11:$B$63,38))*(1-E183))</f>
        <v/>
      </c>
      <c r="AY184" s="15">
        <f>MAX(0,AX183*(1-INDEX($B$11:$B$63,39))*(1-E183))</f>
        <v/>
      </c>
      <c r="AZ184" s="15">
        <f>MAX(0,AY183*(1-INDEX($B$11:$B$63,40))*(1-E183))</f>
        <v/>
      </c>
      <c r="BA184" s="15">
        <f>MAX(0,AZ183*(1-INDEX($B$11:$B$63,41))*(1-E183))</f>
        <v/>
      </c>
      <c r="BB184" s="15">
        <f>MAX(0,BA183*(1-INDEX($B$11:$B$63,42))*(1-E183))</f>
        <v/>
      </c>
      <c r="BC184" s="15">
        <f>MAX(0,BB183*(1-INDEX($B$11:$B$63,43))*(1-E183))</f>
        <v/>
      </c>
      <c r="BD184" s="15">
        <f>MAX(0,BC183*(1-INDEX($B$11:$B$63,44))*(1-E183))</f>
        <v/>
      </c>
      <c r="BE184" s="15">
        <f>MAX(0,BD183*(1-INDEX($B$11:$B$63,45))*(1-E183))</f>
        <v/>
      </c>
      <c r="BF184" s="15">
        <f>MAX(0,BE183*(1-INDEX($B$11:$B$63,46))*(1-E183))</f>
        <v/>
      </c>
      <c r="BG184" s="15">
        <f>MAX(0,BF183*(1-INDEX($B$11:$B$63,47))*(1-E183))</f>
        <v/>
      </c>
      <c r="BH184" s="15">
        <f>MAX(0,BG183*(1-INDEX($B$11:$B$63,48))*(1-E183))</f>
        <v/>
      </c>
      <c r="BI184" s="15">
        <f>MAX(0,BH183*(1-INDEX($B$11:$B$63,49))*(1-E183))</f>
        <v/>
      </c>
      <c r="BJ184" s="15">
        <f>MAX(0,BI183*(1-INDEX($B$11:$B$63,50))*(1-E183))</f>
        <v/>
      </c>
      <c r="BK184" s="15">
        <f>MAX(0,BJ183*(1-INDEX($B$11:$B$63,51))*(1-E183))</f>
        <v/>
      </c>
      <c r="BL184" s="15">
        <f>MAX(0,(BL183+BK183)*(1-INDEX($B$11:$B$63,53))*(1-E183))</f>
        <v/>
      </c>
    </row>
    <row r="185">
      <c r="A185" s="55" t="n">
        <v>119</v>
      </c>
      <c r="B185" s="15">
        <f>IF(A185&gt;Inputs!$C$62,"",SUM(M185:BK185))</f>
        <v/>
      </c>
      <c r="C185" s="15">
        <f>IF(A185&gt;Inputs!$C$62,"",INDEX(Trajectory!$C$23:$C$2000,A185))</f>
        <v/>
      </c>
      <c r="D185" s="15">
        <f>IF(A185&gt;Inputs!$C$62,"",SUM(L185:BK185))</f>
        <v/>
      </c>
      <c r="E185" s="12">
        <f>IF(A185&gt;Inputs!$C$62,"",INDEX(Trajectory!$AG$23:$AG$2000,A185))</f>
        <v/>
      </c>
      <c r="F185" s="12">
        <f>IF(D185=0,0,SUMPRODUCT(L185:BK185,$B$11:$B$63)/D185)</f>
        <v/>
      </c>
      <c r="G185" s="12">
        <f>IF(D185=0,0,MIN(0.95,1-(1-F185)*(1-E185)))</f>
        <v/>
      </c>
      <c r="H185" s="15">
        <f>IF(D185=0,0,D185*G185)</f>
        <v/>
      </c>
      <c r="I185" s="15">
        <f>IF(D185=0,0,D185-H185)</f>
        <v/>
      </c>
      <c r="L185" s="15">
        <f>C185</f>
        <v/>
      </c>
      <c r="M185" s="15">
        <f>MAX(0,L184*(1-INDEX($B$11:$B$63,1))*(1-E184))</f>
        <v/>
      </c>
      <c r="N185" s="15">
        <f>MAX(0,M184*(1-INDEX($B$11:$B$63,2))*(1-E184))</f>
        <v/>
      </c>
      <c r="O185" s="15">
        <f>MAX(0,N184*(1-INDEX($B$11:$B$63,3))*(1-E184))</f>
        <v/>
      </c>
      <c r="P185" s="15">
        <f>MAX(0,O184*(1-INDEX($B$11:$B$63,4))*(1-E184))</f>
        <v/>
      </c>
      <c r="Q185" s="15">
        <f>MAX(0,P184*(1-INDEX($B$11:$B$63,5))*(1-E184))</f>
        <v/>
      </c>
      <c r="R185" s="15">
        <f>MAX(0,Q184*(1-INDEX($B$11:$B$63,6))*(1-E184))</f>
        <v/>
      </c>
      <c r="S185" s="15">
        <f>MAX(0,R184*(1-INDEX($B$11:$B$63,7))*(1-E184))</f>
        <v/>
      </c>
      <c r="T185" s="15">
        <f>MAX(0,S184*(1-INDEX($B$11:$B$63,8))*(1-E184))</f>
        <v/>
      </c>
      <c r="U185" s="15">
        <f>MAX(0,T184*(1-INDEX($B$11:$B$63,9))*(1-E184))</f>
        <v/>
      </c>
      <c r="V185" s="15">
        <f>MAX(0,U184*(1-INDEX($B$11:$B$63,10))*(1-E184))</f>
        <v/>
      </c>
      <c r="W185" s="15">
        <f>MAX(0,V184*(1-INDEX($B$11:$B$63,11))*(1-E184))</f>
        <v/>
      </c>
      <c r="X185" s="15">
        <f>MAX(0,W184*(1-INDEX($B$11:$B$63,12))*(1-E184))</f>
        <v/>
      </c>
      <c r="Y185" s="15">
        <f>MAX(0,X184*(1-INDEX($B$11:$B$63,13))*(1-E184))</f>
        <v/>
      </c>
      <c r="Z185" s="15">
        <f>MAX(0,Y184*(1-INDEX($B$11:$B$63,14))*(1-E184))</f>
        <v/>
      </c>
      <c r="AA185" s="15">
        <f>MAX(0,Z184*(1-INDEX($B$11:$B$63,15))*(1-E184))</f>
        <v/>
      </c>
      <c r="AB185" s="15">
        <f>MAX(0,AA184*(1-INDEX($B$11:$B$63,16))*(1-E184))</f>
        <v/>
      </c>
      <c r="AC185" s="15">
        <f>MAX(0,AB184*(1-INDEX($B$11:$B$63,17))*(1-E184))</f>
        <v/>
      </c>
      <c r="AD185" s="15">
        <f>MAX(0,AC184*(1-INDEX($B$11:$B$63,18))*(1-E184))</f>
        <v/>
      </c>
      <c r="AE185" s="15">
        <f>MAX(0,AD184*(1-INDEX($B$11:$B$63,19))*(1-E184))</f>
        <v/>
      </c>
      <c r="AF185" s="15">
        <f>MAX(0,AE184*(1-INDEX($B$11:$B$63,20))*(1-E184))</f>
        <v/>
      </c>
      <c r="AG185" s="15">
        <f>MAX(0,AF184*(1-INDEX($B$11:$B$63,21))*(1-E184))</f>
        <v/>
      </c>
      <c r="AH185" s="15">
        <f>MAX(0,AG184*(1-INDEX($B$11:$B$63,22))*(1-E184))</f>
        <v/>
      </c>
      <c r="AI185" s="15">
        <f>MAX(0,AH184*(1-INDEX($B$11:$B$63,23))*(1-E184))</f>
        <v/>
      </c>
      <c r="AJ185" s="15">
        <f>MAX(0,AI184*(1-INDEX($B$11:$B$63,24))*(1-E184))</f>
        <v/>
      </c>
      <c r="AK185" s="15">
        <f>MAX(0,AJ184*(1-INDEX($B$11:$B$63,25))*(1-E184))</f>
        <v/>
      </c>
      <c r="AL185" s="15">
        <f>MAX(0,AK184*(1-INDEX($B$11:$B$63,26))*(1-E184))</f>
        <v/>
      </c>
      <c r="AM185" s="15">
        <f>MAX(0,AL184*(1-INDEX($B$11:$B$63,27))*(1-E184))</f>
        <v/>
      </c>
      <c r="AN185" s="15">
        <f>MAX(0,AM184*(1-INDEX($B$11:$B$63,28))*(1-E184))</f>
        <v/>
      </c>
      <c r="AO185" s="15">
        <f>MAX(0,AN184*(1-INDEX($B$11:$B$63,29))*(1-E184))</f>
        <v/>
      </c>
      <c r="AP185" s="15">
        <f>MAX(0,AO184*(1-INDEX($B$11:$B$63,30))*(1-E184))</f>
        <v/>
      </c>
      <c r="AQ185" s="15">
        <f>MAX(0,AP184*(1-INDEX($B$11:$B$63,31))*(1-E184))</f>
        <v/>
      </c>
      <c r="AR185" s="15">
        <f>MAX(0,AQ184*(1-INDEX($B$11:$B$63,32))*(1-E184))</f>
        <v/>
      </c>
      <c r="AS185" s="15">
        <f>MAX(0,AR184*(1-INDEX($B$11:$B$63,33))*(1-E184))</f>
        <v/>
      </c>
      <c r="AT185" s="15">
        <f>MAX(0,AS184*(1-INDEX($B$11:$B$63,34))*(1-E184))</f>
        <v/>
      </c>
      <c r="AU185" s="15">
        <f>MAX(0,AT184*(1-INDEX($B$11:$B$63,35))*(1-E184))</f>
        <v/>
      </c>
      <c r="AV185" s="15">
        <f>MAX(0,AU184*(1-INDEX($B$11:$B$63,36))*(1-E184))</f>
        <v/>
      </c>
      <c r="AW185" s="15">
        <f>MAX(0,AV184*(1-INDEX($B$11:$B$63,37))*(1-E184))</f>
        <v/>
      </c>
      <c r="AX185" s="15">
        <f>MAX(0,AW184*(1-INDEX($B$11:$B$63,38))*(1-E184))</f>
        <v/>
      </c>
      <c r="AY185" s="15">
        <f>MAX(0,AX184*(1-INDEX($B$11:$B$63,39))*(1-E184))</f>
        <v/>
      </c>
      <c r="AZ185" s="15">
        <f>MAX(0,AY184*(1-INDEX($B$11:$B$63,40))*(1-E184))</f>
        <v/>
      </c>
      <c r="BA185" s="15">
        <f>MAX(0,AZ184*(1-INDEX($B$11:$B$63,41))*(1-E184))</f>
        <v/>
      </c>
      <c r="BB185" s="15">
        <f>MAX(0,BA184*(1-INDEX($B$11:$B$63,42))*(1-E184))</f>
        <v/>
      </c>
      <c r="BC185" s="15">
        <f>MAX(0,BB184*(1-INDEX($B$11:$B$63,43))*(1-E184))</f>
        <v/>
      </c>
      <c r="BD185" s="15">
        <f>MAX(0,BC184*(1-INDEX($B$11:$B$63,44))*(1-E184))</f>
        <v/>
      </c>
      <c r="BE185" s="15">
        <f>MAX(0,BD184*(1-INDEX($B$11:$B$63,45))*(1-E184))</f>
        <v/>
      </c>
      <c r="BF185" s="15">
        <f>MAX(0,BE184*(1-INDEX($B$11:$B$63,46))*(1-E184))</f>
        <v/>
      </c>
      <c r="BG185" s="15">
        <f>MAX(0,BF184*(1-INDEX($B$11:$B$63,47))*(1-E184))</f>
        <v/>
      </c>
      <c r="BH185" s="15">
        <f>MAX(0,BG184*(1-INDEX($B$11:$B$63,48))*(1-E184))</f>
        <v/>
      </c>
      <c r="BI185" s="15">
        <f>MAX(0,BH184*(1-INDEX($B$11:$B$63,49))*(1-E184))</f>
        <v/>
      </c>
      <c r="BJ185" s="15">
        <f>MAX(0,BI184*(1-INDEX($B$11:$B$63,50))*(1-E184))</f>
        <v/>
      </c>
      <c r="BK185" s="15">
        <f>MAX(0,BJ184*(1-INDEX($B$11:$B$63,51))*(1-E184))</f>
        <v/>
      </c>
      <c r="BL185" s="15">
        <f>MAX(0,(BL184+BK184)*(1-INDEX($B$11:$B$63,53))*(1-E184))</f>
        <v/>
      </c>
    </row>
    <row r="186">
      <c r="A186" s="55" t="n">
        <v>120</v>
      </c>
      <c r="B186" s="15">
        <f>IF(A186&gt;Inputs!$C$62,"",SUM(M186:BK186))</f>
        <v/>
      </c>
      <c r="C186" s="15">
        <f>IF(A186&gt;Inputs!$C$62,"",INDEX(Trajectory!$C$23:$C$2000,A186))</f>
        <v/>
      </c>
      <c r="D186" s="15">
        <f>IF(A186&gt;Inputs!$C$62,"",SUM(L186:BK186))</f>
        <v/>
      </c>
      <c r="E186" s="12">
        <f>IF(A186&gt;Inputs!$C$62,"",INDEX(Trajectory!$AG$23:$AG$2000,A186))</f>
        <v/>
      </c>
      <c r="F186" s="12">
        <f>IF(D186=0,0,SUMPRODUCT(L186:BK186,$B$11:$B$63)/D186)</f>
        <v/>
      </c>
      <c r="G186" s="12">
        <f>IF(D186=0,0,MIN(0.95,1-(1-F186)*(1-E186)))</f>
        <v/>
      </c>
      <c r="H186" s="15">
        <f>IF(D186=0,0,D186*G186)</f>
        <v/>
      </c>
      <c r="I186" s="15">
        <f>IF(D186=0,0,D186-H186)</f>
        <v/>
      </c>
      <c r="L186" s="15">
        <f>C186</f>
        <v/>
      </c>
      <c r="M186" s="15">
        <f>MAX(0,L185*(1-INDEX($B$11:$B$63,1))*(1-E185))</f>
        <v/>
      </c>
      <c r="N186" s="15">
        <f>MAX(0,M185*(1-INDEX($B$11:$B$63,2))*(1-E185))</f>
        <v/>
      </c>
      <c r="O186" s="15">
        <f>MAX(0,N185*(1-INDEX($B$11:$B$63,3))*(1-E185))</f>
        <v/>
      </c>
      <c r="P186" s="15">
        <f>MAX(0,O185*(1-INDEX($B$11:$B$63,4))*(1-E185))</f>
        <v/>
      </c>
      <c r="Q186" s="15">
        <f>MAX(0,P185*(1-INDEX($B$11:$B$63,5))*(1-E185))</f>
        <v/>
      </c>
      <c r="R186" s="15">
        <f>MAX(0,Q185*(1-INDEX($B$11:$B$63,6))*(1-E185))</f>
        <v/>
      </c>
      <c r="S186" s="15">
        <f>MAX(0,R185*(1-INDEX($B$11:$B$63,7))*(1-E185))</f>
        <v/>
      </c>
      <c r="T186" s="15">
        <f>MAX(0,S185*(1-INDEX($B$11:$B$63,8))*(1-E185))</f>
        <v/>
      </c>
      <c r="U186" s="15">
        <f>MAX(0,T185*(1-INDEX($B$11:$B$63,9))*(1-E185))</f>
        <v/>
      </c>
      <c r="V186" s="15">
        <f>MAX(0,U185*(1-INDEX($B$11:$B$63,10))*(1-E185))</f>
        <v/>
      </c>
      <c r="W186" s="15">
        <f>MAX(0,V185*(1-INDEX($B$11:$B$63,11))*(1-E185))</f>
        <v/>
      </c>
      <c r="X186" s="15">
        <f>MAX(0,W185*(1-INDEX($B$11:$B$63,12))*(1-E185))</f>
        <v/>
      </c>
      <c r="Y186" s="15">
        <f>MAX(0,X185*(1-INDEX($B$11:$B$63,13))*(1-E185))</f>
        <v/>
      </c>
      <c r="Z186" s="15">
        <f>MAX(0,Y185*(1-INDEX($B$11:$B$63,14))*(1-E185))</f>
        <v/>
      </c>
      <c r="AA186" s="15">
        <f>MAX(0,Z185*(1-INDEX($B$11:$B$63,15))*(1-E185))</f>
        <v/>
      </c>
      <c r="AB186" s="15">
        <f>MAX(0,AA185*(1-INDEX($B$11:$B$63,16))*(1-E185))</f>
        <v/>
      </c>
      <c r="AC186" s="15">
        <f>MAX(0,AB185*(1-INDEX($B$11:$B$63,17))*(1-E185))</f>
        <v/>
      </c>
      <c r="AD186" s="15">
        <f>MAX(0,AC185*(1-INDEX($B$11:$B$63,18))*(1-E185))</f>
        <v/>
      </c>
      <c r="AE186" s="15">
        <f>MAX(0,AD185*(1-INDEX($B$11:$B$63,19))*(1-E185))</f>
        <v/>
      </c>
      <c r="AF186" s="15">
        <f>MAX(0,AE185*(1-INDEX($B$11:$B$63,20))*(1-E185))</f>
        <v/>
      </c>
      <c r="AG186" s="15">
        <f>MAX(0,AF185*(1-INDEX($B$11:$B$63,21))*(1-E185))</f>
        <v/>
      </c>
      <c r="AH186" s="15">
        <f>MAX(0,AG185*(1-INDEX($B$11:$B$63,22))*(1-E185))</f>
        <v/>
      </c>
      <c r="AI186" s="15">
        <f>MAX(0,AH185*(1-INDEX($B$11:$B$63,23))*(1-E185))</f>
        <v/>
      </c>
      <c r="AJ186" s="15">
        <f>MAX(0,AI185*(1-INDEX($B$11:$B$63,24))*(1-E185))</f>
        <v/>
      </c>
      <c r="AK186" s="15">
        <f>MAX(0,AJ185*(1-INDEX($B$11:$B$63,25))*(1-E185))</f>
        <v/>
      </c>
      <c r="AL186" s="15">
        <f>MAX(0,AK185*(1-INDEX($B$11:$B$63,26))*(1-E185))</f>
        <v/>
      </c>
      <c r="AM186" s="15">
        <f>MAX(0,AL185*(1-INDEX($B$11:$B$63,27))*(1-E185))</f>
        <v/>
      </c>
      <c r="AN186" s="15">
        <f>MAX(0,AM185*(1-INDEX($B$11:$B$63,28))*(1-E185))</f>
        <v/>
      </c>
      <c r="AO186" s="15">
        <f>MAX(0,AN185*(1-INDEX($B$11:$B$63,29))*(1-E185))</f>
        <v/>
      </c>
      <c r="AP186" s="15">
        <f>MAX(0,AO185*(1-INDEX($B$11:$B$63,30))*(1-E185))</f>
        <v/>
      </c>
      <c r="AQ186" s="15">
        <f>MAX(0,AP185*(1-INDEX($B$11:$B$63,31))*(1-E185))</f>
        <v/>
      </c>
      <c r="AR186" s="15">
        <f>MAX(0,AQ185*(1-INDEX($B$11:$B$63,32))*(1-E185))</f>
        <v/>
      </c>
      <c r="AS186" s="15">
        <f>MAX(0,AR185*(1-INDEX($B$11:$B$63,33))*(1-E185))</f>
        <v/>
      </c>
      <c r="AT186" s="15">
        <f>MAX(0,AS185*(1-INDEX($B$11:$B$63,34))*(1-E185))</f>
        <v/>
      </c>
      <c r="AU186" s="15">
        <f>MAX(0,AT185*(1-INDEX($B$11:$B$63,35))*(1-E185))</f>
        <v/>
      </c>
      <c r="AV186" s="15">
        <f>MAX(0,AU185*(1-INDEX($B$11:$B$63,36))*(1-E185))</f>
        <v/>
      </c>
      <c r="AW186" s="15">
        <f>MAX(0,AV185*(1-INDEX($B$11:$B$63,37))*(1-E185))</f>
        <v/>
      </c>
      <c r="AX186" s="15">
        <f>MAX(0,AW185*(1-INDEX($B$11:$B$63,38))*(1-E185))</f>
        <v/>
      </c>
      <c r="AY186" s="15">
        <f>MAX(0,AX185*(1-INDEX($B$11:$B$63,39))*(1-E185))</f>
        <v/>
      </c>
      <c r="AZ186" s="15">
        <f>MAX(0,AY185*(1-INDEX($B$11:$B$63,40))*(1-E185))</f>
        <v/>
      </c>
      <c r="BA186" s="15">
        <f>MAX(0,AZ185*(1-INDEX($B$11:$B$63,41))*(1-E185))</f>
        <v/>
      </c>
      <c r="BB186" s="15">
        <f>MAX(0,BA185*(1-INDEX($B$11:$B$63,42))*(1-E185))</f>
        <v/>
      </c>
      <c r="BC186" s="15">
        <f>MAX(0,BB185*(1-INDEX($B$11:$B$63,43))*(1-E185))</f>
        <v/>
      </c>
      <c r="BD186" s="15">
        <f>MAX(0,BC185*(1-INDEX($B$11:$B$63,44))*(1-E185))</f>
        <v/>
      </c>
      <c r="BE186" s="15">
        <f>MAX(0,BD185*(1-INDEX($B$11:$B$63,45))*(1-E185))</f>
        <v/>
      </c>
      <c r="BF186" s="15">
        <f>MAX(0,BE185*(1-INDEX($B$11:$B$63,46))*(1-E185))</f>
        <v/>
      </c>
      <c r="BG186" s="15">
        <f>MAX(0,BF185*(1-INDEX($B$11:$B$63,47))*(1-E185))</f>
        <v/>
      </c>
      <c r="BH186" s="15">
        <f>MAX(0,BG185*(1-INDEX($B$11:$B$63,48))*(1-E185))</f>
        <v/>
      </c>
      <c r="BI186" s="15">
        <f>MAX(0,BH185*(1-INDEX($B$11:$B$63,49))*(1-E185))</f>
        <v/>
      </c>
      <c r="BJ186" s="15">
        <f>MAX(0,BI185*(1-INDEX($B$11:$B$63,50))*(1-E185))</f>
        <v/>
      </c>
      <c r="BK186" s="15">
        <f>MAX(0,BJ185*(1-INDEX($B$11:$B$63,51))*(1-E185))</f>
        <v/>
      </c>
      <c r="BL186" s="15">
        <f>MAX(0,(BL185+BK185)*(1-INDEX($B$11:$B$63,53))*(1-E185))</f>
        <v/>
      </c>
    </row>
    <row r="187">
      <c r="A187" s="55" t="n">
        <v>121</v>
      </c>
      <c r="B187" s="15">
        <f>IF(A187&gt;Inputs!$C$62,"",SUM(M187:BK187))</f>
        <v/>
      </c>
      <c r="C187" s="15">
        <f>IF(A187&gt;Inputs!$C$62,"",INDEX(Trajectory!$C$23:$C$2000,A187))</f>
        <v/>
      </c>
      <c r="D187" s="15">
        <f>IF(A187&gt;Inputs!$C$62,"",SUM(L187:BK187))</f>
        <v/>
      </c>
      <c r="E187" s="12">
        <f>IF(A187&gt;Inputs!$C$62,"",INDEX(Trajectory!$AG$23:$AG$2000,A187))</f>
        <v/>
      </c>
      <c r="F187" s="12">
        <f>IF(D187=0,0,SUMPRODUCT(L187:BK187,$B$11:$B$63)/D187)</f>
        <v/>
      </c>
      <c r="G187" s="12">
        <f>IF(D187=0,0,MIN(0.95,1-(1-F187)*(1-E187)))</f>
        <v/>
      </c>
      <c r="H187" s="15">
        <f>IF(D187=0,0,D187*G187)</f>
        <v/>
      </c>
      <c r="I187" s="15">
        <f>IF(D187=0,0,D187-H187)</f>
        <v/>
      </c>
      <c r="L187" s="15">
        <f>C187</f>
        <v/>
      </c>
      <c r="M187" s="15">
        <f>MAX(0,L186*(1-INDEX($B$11:$B$63,1))*(1-E186))</f>
        <v/>
      </c>
      <c r="N187" s="15">
        <f>MAX(0,M186*(1-INDEX($B$11:$B$63,2))*(1-E186))</f>
        <v/>
      </c>
      <c r="O187" s="15">
        <f>MAX(0,N186*(1-INDEX($B$11:$B$63,3))*(1-E186))</f>
        <v/>
      </c>
      <c r="P187" s="15">
        <f>MAX(0,O186*(1-INDEX($B$11:$B$63,4))*(1-E186))</f>
        <v/>
      </c>
      <c r="Q187" s="15">
        <f>MAX(0,P186*(1-INDEX($B$11:$B$63,5))*(1-E186))</f>
        <v/>
      </c>
      <c r="R187" s="15">
        <f>MAX(0,Q186*(1-INDEX($B$11:$B$63,6))*(1-E186))</f>
        <v/>
      </c>
      <c r="S187" s="15">
        <f>MAX(0,R186*(1-INDEX($B$11:$B$63,7))*(1-E186))</f>
        <v/>
      </c>
      <c r="T187" s="15">
        <f>MAX(0,S186*(1-INDEX($B$11:$B$63,8))*(1-E186))</f>
        <v/>
      </c>
      <c r="U187" s="15">
        <f>MAX(0,T186*(1-INDEX($B$11:$B$63,9))*(1-E186))</f>
        <v/>
      </c>
      <c r="V187" s="15">
        <f>MAX(0,U186*(1-INDEX($B$11:$B$63,10))*(1-E186))</f>
        <v/>
      </c>
      <c r="W187" s="15">
        <f>MAX(0,V186*(1-INDEX($B$11:$B$63,11))*(1-E186))</f>
        <v/>
      </c>
      <c r="X187" s="15">
        <f>MAX(0,W186*(1-INDEX($B$11:$B$63,12))*(1-E186))</f>
        <v/>
      </c>
      <c r="Y187" s="15">
        <f>MAX(0,X186*(1-INDEX($B$11:$B$63,13))*(1-E186))</f>
        <v/>
      </c>
      <c r="Z187" s="15">
        <f>MAX(0,Y186*(1-INDEX($B$11:$B$63,14))*(1-E186))</f>
        <v/>
      </c>
      <c r="AA187" s="15">
        <f>MAX(0,Z186*(1-INDEX($B$11:$B$63,15))*(1-E186))</f>
        <v/>
      </c>
      <c r="AB187" s="15">
        <f>MAX(0,AA186*(1-INDEX($B$11:$B$63,16))*(1-E186))</f>
        <v/>
      </c>
      <c r="AC187" s="15">
        <f>MAX(0,AB186*(1-INDEX($B$11:$B$63,17))*(1-E186))</f>
        <v/>
      </c>
      <c r="AD187" s="15">
        <f>MAX(0,AC186*(1-INDEX($B$11:$B$63,18))*(1-E186))</f>
        <v/>
      </c>
      <c r="AE187" s="15">
        <f>MAX(0,AD186*(1-INDEX($B$11:$B$63,19))*(1-E186))</f>
        <v/>
      </c>
      <c r="AF187" s="15">
        <f>MAX(0,AE186*(1-INDEX($B$11:$B$63,20))*(1-E186))</f>
        <v/>
      </c>
      <c r="AG187" s="15">
        <f>MAX(0,AF186*(1-INDEX($B$11:$B$63,21))*(1-E186))</f>
        <v/>
      </c>
      <c r="AH187" s="15">
        <f>MAX(0,AG186*(1-INDEX($B$11:$B$63,22))*(1-E186))</f>
        <v/>
      </c>
      <c r="AI187" s="15">
        <f>MAX(0,AH186*(1-INDEX($B$11:$B$63,23))*(1-E186))</f>
        <v/>
      </c>
      <c r="AJ187" s="15">
        <f>MAX(0,AI186*(1-INDEX($B$11:$B$63,24))*(1-E186))</f>
        <v/>
      </c>
      <c r="AK187" s="15">
        <f>MAX(0,AJ186*(1-INDEX($B$11:$B$63,25))*(1-E186))</f>
        <v/>
      </c>
      <c r="AL187" s="15">
        <f>MAX(0,AK186*(1-INDEX($B$11:$B$63,26))*(1-E186))</f>
        <v/>
      </c>
      <c r="AM187" s="15">
        <f>MAX(0,AL186*(1-INDEX($B$11:$B$63,27))*(1-E186))</f>
        <v/>
      </c>
      <c r="AN187" s="15">
        <f>MAX(0,AM186*(1-INDEX($B$11:$B$63,28))*(1-E186))</f>
        <v/>
      </c>
      <c r="AO187" s="15">
        <f>MAX(0,AN186*(1-INDEX($B$11:$B$63,29))*(1-E186))</f>
        <v/>
      </c>
      <c r="AP187" s="15">
        <f>MAX(0,AO186*(1-INDEX($B$11:$B$63,30))*(1-E186))</f>
        <v/>
      </c>
      <c r="AQ187" s="15">
        <f>MAX(0,AP186*(1-INDEX($B$11:$B$63,31))*(1-E186))</f>
        <v/>
      </c>
      <c r="AR187" s="15">
        <f>MAX(0,AQ186*(1-INDEX($B$11:$B$63,32))*(1-E186))</f>
        <v/>
      </c>
      <c r="AS187" s="15">
        <f>MAX(0,AR186*(1-INDEX($B$11:$B$63,33))*(1-E186))</f>
        <v/>
      </c>
      <c r="AT187" s="15">
        <f>MAX(0,AS186*(1-INDEX($B$11:$B$63,34))*(1-E186))</f>
        <v/>
      </c>
      <c r="AU187" s="15">
        <f>MAX(0,AT186*(1-INDEX($B$11:$B$63,35))*(1-E186))</f>
        <v/>
      </c>
      <c r="AV187" s="15">
        <f>MAX(0,AU186*(1-INDEX($B$11:$B$63,36))*(1-E186))</f>
        <v/>
      </c>
      <c r="AW187" s="15">
        <f>MAX(0,AV186*(1-INDEX($B$11:$B$63,37))*(1-E186))</f>
        <v/>
      </c>
      <c r="AX187" s="15">
        <f>MAX(0,AW186*(1-INDEX($B$11:$B$63,38))*(1-E186))</f>
        <v/>
      </c>
      <c r="AY187" s="15">
        <f>MAX(0,AX186*(1-INDEX($B$11:$B$63,39))*(1-E186))</f>
        <v/>
      </c>
      <c r="AZ187" s="15">
        <f>MAX(0,AY186*(1-INDEX($B$11:$B$63,40))*(1-E186))</f>
        <v/>
      </c>
      <c r="BA187" s="15">
        <f>MAX(0,AZ186*(1-INDEX($B$11:$B$63,41))*(1-E186))</f>
        <v/>
      </c>
      <c r="BB187" s="15">
        <f>MAX(0,BA186*(1-INDEX($B$11:$B$63,42))*(1-E186))</f>
        <v/>
      </c>
      <c r="BC187" s="15">
        <f>MAX(0,BB186*(1-INDEX($B$11:$B$63,43))*(1-E186))</f>
        <v/>
      </c>
      <c r="BD187" s="15">
        <f>MAX(0,BC186*(1-INDEX($B$11:$B$63,44))*(1-E186))</f>
        <v/>
      </c>
      <c r="BE187" s="15">
        <f>MAX(0,BD186*(1-INDEX($B$11:$B$63,45))*(1-E186))</f>
        <v/>
      </c>
      <c r="BF187" s="15">
        <f>MAX(0,BE186*(1-INDEX($B$11:$B$63,46))*(1-E186))</f>
        <v/>
      </c>
      <c r="BG187" s="15">
        <f>MAX(0,BF186*(1-INDEX($B$11:$B$63,47))*(1-E186))</f>
        <v/>
      </c>
      <c r="BH187" s="15">
        <f>MAX(0,BG186*(1-INDEX($B$11:$B$63,48))*(1-E186))</f>
        <v/>
      </c>
      <c r="BI187" s="15">
        <f>MAX(0,BH186*(1-INDEX($B$11:$B$63,49))*(1-E186))</f>
        <v/>
      </c>
      <c r="BJ187" s="15">
        <f>MAX(0,BI186*(1-INDEX($B$11:$B$63,50))*(1-E186))</f>
        <v/>
      </c>
      <c r="BK187" s="15">
        <f>MAX(0,BJ186*(1-INDEX($B$11:$B$63,51))*(1-E186))</f>
        <v/>
      </c>
      <c r="BL187" s="15">
        <f>MAX(0,(BL186+BK186)*(1-INDEX($B$11:$B$63,53))*(1-E186))</f>
        <v/>
      </c>
    </row>
    <row r="188">
      <c r="A188" s="55" t="n">
        <v>122</v>
      </c>
      <c r="B188" s="15">
        <f>IF(A188&gt;Inputs!$C$62,"",SUM(M188:BK188))</f>
        <v/>
      </c>
      <c r="C188" s="15">
        <f>IF(A188&gt;Inputs!$C$62,"",INDEX(Trajectory!$C$23:$C$2000,A188))</f>
        <v/>
      </c>
      <c r="D188" s="15">
        <f>IF(A188&gt;Inputs!$C$62,"",SUM(L188:BK188))</f>
        <v/>
      </c>
      <c r="E188" s="12">
        <f>IF(A188&gt;Inputs!$C$62,"",INDEX(Trajectory!$AG$23:$AG$2000,A188))</f>
        <v/>
      </c>
      <c r="F188" s="12">
        <f>IF(D188=0,0,SUMPRODUCT(L188:BK188,$B$11:$B$63)/D188)</f>
        <v/>
      </c>
      <c r="G188" s="12">
        <f>IF(D188=0,0,MIN(0.95,1-(1-F188)*(1-E188)))</f>
        <v/>
      </c>
      <c r="H188" s="15">
        <f>IF(D188=0,0,D188*G188)</f>
        <v/>
      </c>
      <c r="I188" s="15">
        <f>IF(D188=0,0,D188-H188)</f>
        <v/>
      </c>
      <c r="L188" s="15">
        <f>C188</f>
        <v/>
      </c>
      <c r="M188" s="15">
        <f>MAX(0,L187*(1-INDEX($B$11:$B$63,1))*(1-E187))</f>
        <v/>
      </c>
      <c r="N188" s="15">
        <f>MAX(0,M187*(1-INDEX($B$11:$B$63,2))*(1-E187))</f>
        <v/>
      </c>
      <c r="O188" s="15">
        <f>MAX(0,N187*(1-INDEX($B$11:$B$63,3))*(1-E187))</f>
        <v/>
      </c>
      <c r="P188" s="15">
        <f>MAX(0,O187*(1-INDEX($B$11:$B$63,4))*(1-E187))</f>
        <v/>
      </c>
      <c r="Q188" s="15">
        <f>MAX(0,P187*(1-INDEX($B$11:$B$63,5))*(1-E187))</f>
        <v/>
      </c>
      <c r="R188" s="15">
        <f>MAX(0,Q187*(1-INDEX($B$11:$B$63,6))*(1-E187))</f>
        <v/>
      </c>
      <c r="S188" s="15">
        <f>MAX(0,R187*(1-INDEX($B$11:$B$63,7))*(1-E187))</f>
        <v/>
      </c>
      <c r="T188" s="15">
        <f>MAX(0,S187*(1-INDEX($B$11:$B$63,8))*(1-E187))</f>
        <v/>
      </c>
      <c r="U188" s="15">
        <f>MAX(0,T187*(1-INDEX($B$11:$B$63,9))*(1-E187))</f>
        <v/>
      </c>
      <c r="V188" s="15">
        <f>MAX(0,U187*(1-INDEX($B$11:$B$63,10))*(1-E187))</f>
        <v/>
      </c>
      <c r="W188" s="15">
        <f>MAX(0,V187*(1-INDEX($B$11:$B$63,11))*(1-E187))</f>
        <v/>
      </c>
      <c r="X188" s="15">
        <f>MAX(0,W187*(1-INDEX($B$11:$B$63,12))*(1-E187))</f>
        <v/>
      </c>
      <c r="Y188" s="15">
        <f>MAX(0,X187*(1-INDEX($B$11:$B$63,13))*(1-E187))</f>
        <v/>
      </c>
      <c r="Z188" s="15">
        <f>MAX(0,Y187*(1-INDEX($B$11:$B$63,14))*(1-E187))</f>
        <v/>
      </c>
      <c r="AA188" s="15">
        <f>MAX(0,Z187*(1-INDEX($B$11:$B$63,15))*(1-E187))</f>
        <v/>
      </c>
      <c r="AB188" s="15">
        <f>MAX(0,AA187*(1-INDEX($B$11:$B$63,16))*(1-E187))</f>
        <v/>
      </c>
      <c r="AC188" s="15">
        <f>MAX(0,AB187*(1-INDEX($B$11:$B$63,17))*(1-E187))</f>
        <v/>
      </c>
      <c r="AD188" s="15">
        <f>MAX(0,AC187*(1-INDEX($B$11:$B$63,18))*(1-E187))</f>
        <v/>
      </c>
      <c r="AE188" s="15">
        <f>MAX(0,AD187*(1-INDEX($B$11:$B$63,19))*(1-E187))</f>
        <v/>
      </c>
      <c r="AF188" s="15">
        <f>MAX(0,AE187*(1-INDEX($B$11:$B$63,20))*(1-E187))</f>
        <v/>
      </c>
      <c r="AG188" s="15">
        <f>MAX(0,AF187*(1-INDEX($B$11:$B$63,21))*(1-E187))</f>
        <v/>
      </c>
      <c r="AH188" s="15">
        <f>MAX(0,AG187*(1-INDEX($B$11:$B$63,22))*(1-E187))</f>
        <v/>
      </c>
      <c r="AI188" s="15">
        <f>MAX(0,AH187*(1-INDEX($B$11:$B$63,23))*(1-E187))</f>
        <v/>
      </c>
      <c r="AJ188" s="15">
        <f>MAX(0,AI187*(1-INDEX($B$11:$B$63,24))*(1-E187))</f>
        <v/>
      </c>
      <c r="AK188" s="15">
        <f>MAX(0,AJ187*(1-INDEX($B$11:$B$63,25))*(1-E187))</f>
        <v/>
      </c>
      <c r="AL188" s="15">
        <f>MAX(0,AK187*(1-INDEX($B$11:$B$63,26))*(1-E187))</f>
        <v/>
      </c>
      <c r="AM188" s="15">
        <f>MAX(0,AL187*(1-INDEX($B$11:$B$63,27))*(1-E187))</f>
        <v/>
      </c>
      <c r="AN188" s="15">
        <f>MAX(0,AM187*(1-INDEX($B$11:$B$63,28))*(1-E187))</f>
        <v/>
      </c>
      <c r="AO188" s="15">
        <f>MAX(0,AN187*(1-INDEX($B$11:$B$63,29))*(1-E187))</f>
        <v/>
      </c>
      <c r="AP188" s="15">
        <f>MAX(0,AO187*(1-INDEX($B$11:$B$63,30))*(1-E187))</f>
        <v/>
      </c>
      <c r="AQ188" s="15">
        <f>MAX(0,AP187*(1-INDEX($B$11:$B$63,31))*(1-E187))</f>
        <v/>
      </c>
      <c r="AR188" s="15">
        <f>MAX(0,AQ187*(1-INDEX($B$11:$B$63,32))*(1-E187))</f>
        <v/>
      </c>
      <c r="AS188" s="15">
        <f>MAX(0,AR187*(1-INDEX($B$11:$B$63,33))*(1-E187))</f>
        <v/>
      </c>
      <c r="AT188" s="15">
        <f>MAX(0,AS187*(1-INDEX($B$11:$B$63,34))*(1-E187))</f>
        <v/>
      </c>
      <c r="AU188" s="15">
        <f>MAX(0,AT187*(1-INDEX($B$11:$B$63,35))*(1-E187))</f>
        <v/>
      </c>
      <c r="AV188" s="15">
        <f>MAX(0,AU187*(1-INDEX($B$11:$B$63,36))*(1-E187))</f>
        <v/>
      </c>
      <c r="AW188" s="15">
        <f>MAX(0,AV187*(1-INDEX($B$11:$B$63,37))*(1-E187))</f>
        <v/>
      </c>
      <c r="AX188" s="15">
        <f>MAX(0,AW187*(1-INDEX($B$11:$B$63,38))*(1-E187))</f>
        <v/>
      </c>
      <c r="AY188" s="15">
        <f>MAX(0,AX187*(1-INDEX($B$11:$B$63,39))*(1-E187))</f>
        <v/>
      </c>
      <c r="AZ188" s="15">
        <f>MAX(0,AY187*(1-INDEX($B$11:$B$63,40))*(1-E187))</f>
        <v/>
      </c>
      <c r="BA188" s="15">
        <f>MAX(0,AZ187*(1-INDEX($B$11:$B$63,41))*(1-E187))</f>
        <v/>
      </c>
      <c r="BB188" s="15">
        <f>MAX(0,BA187*(1-INDEX($B$11:$B$63,42))*(1-E187))</f>
        <v/>
      </c>
      <c r="BC188" s="15">
        <f>MAX(0,BB187*(1-INDEX($B$11:$B$63,43))*(1-E187))</f>
        <v/>
      </c>
      <c r="BD188" s="15">
        <f>MAX(0,BC187*(1-INDEX($B$11:$B$63,44))*(1-E187))</f>
        <v/>
      </c>
      <c r="BE188" s="15">
        <f>MAX(0,BD187*(1-INDEX($B$11:$B$63,45))*(1-E187))</f>
        <v/>
      </c>
      <c r="BF188" s="15">
        <f>MAX(0,BE187*(1-INDEX($B$11:$B$63,46))*(1-E187))</f>
        <v/>
      </c>
      <c r="BG188" s="15">
        <f>MAX(0,BF187*(1-INDEX($B$11:$B$63,47))*(1-E187))</f>
        <v/>
      </c>
      <c r="BH188" s="15">
        <f>MAX(0,BG187*(1-INDEX($B$11:$B$63,48))*(1-E187))</f>
        <v/>
      </c>
      <c r="BI188" s="15">
        <f>MAX(0,BH187*(1-INDEX($B$11:$B$63,49))*(1-E187))</f>
        <v/>
      </c>
      <c r="BJ188" s="15">
        <f>MAX(0,BI187*(1-INDEX($B$11:$B$63,50))*(1-E187))</f>
        <v/>
      </c>
      <c r="BK188" s="15">
        <f>MAX(0,BJ187*(1-INDEX($B$11:$B$63,51))*(1-E187))</f>
        <v/>
      </c>
      <c r="BL188" s="15">
        <f>MAX(0,(BL187+BK187)*(1-INDEX($B$11:$B$63,53))*(1-E187))</f>
        <v/>
      </c>
    </row>
    <row r="189">
      <c r="A189" s="55" t="n">
        <v>123</v>
      </c>
      <c r="B189" s="15">
        <f>IF(A189&gt;Inputs!$C$62,"",SUM(M189:BK189))</f>
        <v/>
      </c>
      <c r="C189" s="15">
        <f>IF(A189&gt;Inputs!$C$62,"",INDEX(Trajectory!$C$23:$C$2000,A189))</f>
        <v/>
      </c>
      <c r="D189" s="15">
        <f>IF(A189&gt;Inputs!$C$62,"",SUM(L189:BK189))</f>
        <v/>
      </c>
      <c r="E189" s="12">
        <f>IF(A189&gt;Inputs!$C$62,"",INDEX(Trajectory!$AG$23:$AG$2000,A189))</f>
        <v/>
      </c>
      <c r="F189" s="12">
        <f>IF(D189=0,0,SUMPRODUCT(L189:BK189,$B$11:$B$63)/D189)</f>
        <v/>
      </c>
      <c r="G189" s="12">
        <f>IF(D189=0,0,MIN(0.95,1-(1-F189)*(1-E189)))</f>
        <v/>
      </c>
      <c r="H189" s="15">
        <f>IF(D189=0,0,D189*G189)</f>
        <v/>
      </c>
      <c r="I189" s="15">
        <f>IF(D189=0,0,D189-H189)</f>
        <v/>
      </c>
      <c r="L189" s="15">
        <f>C189</f>
        <v/>
      </c>
      <c r="M189" s="15">
        <f>MAX(0,L188*(1-INDEX($B$11:$B$63,1))*(1-E188))</f>
        <v/>
      </c>
      <c r="N189" s="15">
        <f>MAX(0,M188*(1-INDEX($B$11:$B$63,2))*(1-E188))</f>
        <v/>
      </c>
      <c r="O189" s="15">
        <f>MAX(0,N188*(1-INDEX($B$11:$B$63,3))*(1-E188))</f>
        <v/>
      </c>
      <c r="P189" s="15">
        <f>MAX(0,O188*(1-INDEX($B$11:$B$63,4))*(1-E188))</f>
        <v/>
      </c>
      <c r="Q189" s="15">
        <f>MAX(0,P188*(1-INDEX($B$11:$B$63,5))*(1-E188))</f>
        <v/>
      </c>
      <c r="R189" s="15">
        <f>MAX(0,Q188*(1-INDEX($B$11:$B$63,6))*(1-E188))</f>
        <v/>
      </c>
      <c r="S189" s="15">
        <f>MAX(0,R188*(1-INDEX($B$11:$B$63,7))*(1-E188))</f>
        <v/>
      </c>
      <c r="T189" s="15">
        <f>MAX(0,S188*(1-INDEX($B$11:$B$63,8))*(1-E188))</f>
        <v/>
      </c>
      <c r="U189" s="15">
        <f>MAX(0,T188*(1-INDEX($B$11:$B$63,9))*(1-E188))</f>
        <v/>
      </c>
      <c r="V189" s="15">
        <f>MAX(0,U188*(1-INDEX($B$11:$B$63,10))*(1-E188))</f>
        <v/>
      </c>
      <c r="W189" s="15">
        <f>MAX(0,V188*(1-INDEX($B$11:$B$63,11))*(1-E188))</f>
        <v/>
      </c>
      <c r="X189" s="15">
        <f>MAX(0,W188*(1-INDEX($B$11:$B$63,12))*(1-E188))</f>
        <v/>
      </c>
      <c r="Y189" s="15">
        <f>MAX(0,X188*(1-INDEX($B$11:$B$63,13))*(1-E188))</f>
        <v/>
      </c>
      <c r="Z189" s="15">
        <f>MAX(0,Y188*(1-INDEX($B$11:$B$63,14))*(1-E188))</f>
        <v/>
      </c>
      <c r="AA189" s="15">
        <f>MAX(0,Z188*(1-INDEX($B$11:$B$63,15))*(1-E188))</f>
        <v/>
      </c>
      <c r="AB189" s="15">
        <f>MAX(0,AA188*(1-INDEX($B$11:$B$63,16))*(1-E188))</f>
        <v/>
      </c>
      <c r="AC189" s="15">
        <f>MAX(0,AB188*(1-INDEX($B$11:$B$63,17))*(1-E188))</f>
        <v/>
      </c>
      <c r="AD189" s="15">
        <f>MAX(0,AC188*(1-INDEX($B$11:$B$63,18))*(1-E188))</f>
        <v/>
      </c>
      <c r="AE189" s="15">
        <f>MAX(0,AD188*(1-INDEX($B$11:$B$63,19))*(1-E188))</f>
        <v/>
      </c>
      <c r="AF189" s="15">
        <f>MAX(0,AE188*(1-INDEX($B$11:$B$63,20))*(1-E188))</f>
        <v/>
      </c>
      <c r="AG189" s="15">
        <f>MAX(0,AF188*(1-INDEX($B$11:$B$63,21))*(1-E188))</f>
        <v/>
      </c>
      <c r="AH189" s="15">
        <f>MAX(0,AG188*(1-INDEX($B$11:$B$63,22))*(1-E188))</f>
        <v/>
      </c>
      <c r="AI189" s="15">
        <f>MAX(0,AH188*(1-INDEX($B$11:$B$63,23))*(1-E188))</f>
        <v/>
      </c>
      <c r="AJ189" s="15">
        <f>MAX(0,AI188*(1-INDEX($B$11:$B$63,24))*(1-E188))</f>
        <v/>
      </c>
      <c r="AK189" s="15">
        <f>MAX(0,AJ188*(1-INDEX($B$11:$B$63,25))*(1-E188))</f>
        <v/>
      </c>
      <c r="AL189" s="15">
        <f>MAX(0,AK188*(1-INDEX($B$11:$B$63,26))*(1-E188))</f>
        <v/>
      </c>
      <c r="AM189" s="15">
        <f>MAX(0,AL188*(1-INDEX($B$11:$B$63,27))*(1-E188))</f>
        <v/>
      </c>
      <c r="AN189" s="15">
        <f>MAX(0,AM188*(1-INDEX($B$11:$B$63,28))*(1-E188))</f>
        <v/>
      </c>
      <c r="AO189" s="15">
        <f>MAX(0,AN188*(1-INDEX($B$11:$B$63,29))*(1-E188))</f>
        <v/>
      </c>
      <c r="AP189" s="15">
        <f>MAX(0,AO188*(1-INDEX($B$11:$B$63,30))*(1-E188))</f>
        <v/>
      </c>
      <c r="AQ189" s="15">
        <f>MAX(0,AP188*(1-INDEX($B$11:$B$63,31))*(1-E188))</f>
        <v/>
      </c>
      <c r="AR189" s="15">
        <f>MAX(0,AQ188*(1-INDEX($B$11:$B$63,32))*(1-E188))</f>
        <v/>
      </c>
      <c r="AS189" s="15">
        <f>MAX(0,AR188*(1-INDEX($B$11:$B$63,33))*(1-E188))</f>
        <v/>
      </c>
      <c r="AT189" s="15">
        <f>MAX(0,AS188*(1-INDEX($B$11:$B$63,34))*(1-E188))</f>
        <v/>
      </c>
      <c r="AU189" s="15">
        <f>MAX(0,AT188*(1-INDEX($B$11:$B$63,35))*(1-E188))</f>
        <v/>
      </c>
      <c r="AV189" s="15">
        <f>MAX(0,AU188*(1-INDEX($B$11:$B$63,36))*(1-E188))</f>
        <v/>
      </c>
      <c r="AW189" s="15">
        <f>MAX(0,AV188*(1-INDEX($B$11:$B$63,37))*(1-E188))</f>
        <v/>
      </c>
      <c r="AX189" s="15">
        <f>MAX(0,AW188*(1-INDEX($B$11:$B$63,38))*(1-E188))</f>
        <v/>
      </c>
      <c r="AY189" s="15">
        <f>MAX(0,AX188*(1-INDEX($B$11:$B$63,39))*(1-E188))</f>
        <v/>
      </c>
      <c r="AZ189" s="15">
        <f>MAX(0,AY188*(1-INDEX($B$11:$B$63,40))*(1-E188))</f>
        <v/>
      </c>
      <c r="BA189" s="15">
        <f>MAX(0,AZ188*(1-INDEX($B$11:$B$63,41))*(1-E188))</f>
        <v/>
      </c>
      <c r="BB189" s="15">
        <f>MAX(0,BA188*(1-INDEX($B$11:$B$63,42))*(1-E188))</f>
        <v/>
      </c>
      <c r="BC189" s="15">
        <f>MAX(0,BB188*(1-INDEX($B$11:$B$63,43))*(1-E188))</f>
        <v/>
      </c>
      <c r="BD189" s="15">
        <f>MAX(0,BC188*(1-INDEX($B$11:$B$63,44))*(1-E188))</f>
        <v/>
      </c>
      <c r="BE189" s="15">
        <f>MAX(0,BD188*(1-INDEX($B$11:$B$63,45))*(1-E188))</f>
        <v/>
      </c>
      <c r="BF189" s="15">
        <f>MAX(0,BE188*(1-INDEX($B$11:$B$63,46))*(1-E188))</f>
        <v/>
      </c>
      <c r="BG189" s="15">
        <f>MAX(0,BF188*(1-INDEX($B$11:$B$63,47))*(1-E188))</f>
        <v/>
      </c>
      <c r="BH189" s="15">
        <f>MAX(0,BG188*(1-INDEX($B$11:$B$63,48))*(1-E188))</f>
        <v/>
      </c>
      <c r="BI189" s="15">
        <f>MAX(0,BH188*(1-INDEX($B$11:$B$63,49))*(1-E188))</f>
        <v/>
      </c>
      <c r="BJ189" s="15">
        <f>MAX(0,BI188*(1-INDEX($B$11:$B$63,50))*(1-E188))</f>
        <v/>
      </c>
      <c r="BK189" s="15">
        <f>MAX(0,BJ188*(1-INDEX($B$11:$B$63,51))*(1-E188))</f>
        <v/>
      </c>
      <c r="BL189" s="15">
        <f>MAX(0,(BL188+BK188)*(1-INDEX($B$11:$B$63,53))*(1-E188))</f>
        <v/>
      </c>
    </row>
    <row r="190">
      <c r="A190" s="55" t="n">
        <v>124</v>
      </c>
      <c r="B190" s="15">
        <f>IF(A190&gt;Inputs!$C$62,"",SUM(M190:BK190))</f>
        <v/>
      </c>
      <c r="C190" s="15">
        <f>IF(A190&gt;Inputs!$C$62,"",INDEX(Trajectory!$C$23:$C$2000,A190))</f>
        <v/>
      </c>
      <c r="D190" s="15">
        <f>IF(A190&gt;Inputs!$C$62,"",SUM(L190:BK190))</f>
        <v/>
      </c>
      <c r="E190" s="12">
        <f>IF(A190&gt;Inputs!$C$62,"",INDEX(Trajectory!$AG$23:$AG$2000,A190))</f>
        <v/>
      </c>
      <c r="F190" s="12">
        <f>IF(D190=0,0,SUMPRODUCT(L190:BK190,$B$11:$B$63)/D190)</f>
        <v/>
      </c>
      <c r="G190" s="12">
        <f>IF(D190=0,0,MIN(0.95,1-(1-F190)*(1-E190)))</f>
        <v/>
      </c>
      <c r="H190" s="15">
        <f>IF(D190=0,0,D190*G190)</f>
        <v/>
      </c>
      <c r="I190" s="15">
        <f>IF(D190=0,0,D190-H190)</f>
        <v/>
      </c>
      <c r="L190" s="15">
        <f>C190</f>
        <v/>
      </c>
      <c r="M190" s="15">
        <f>MAX(0,L189*(1-INDEX($B$11:$B$63,1))*(1-E189))</f>
        <v/>
      </c>
      <c r="N190" s="15">
        <f>MAX(0,M189*(1-INDEX($B$11:$B$63,2))*(1-E189))</f>
        <v/>
      </c>
      <c r="O190" s="15">
        <f>MAX(0,N189*(1-INDEX($B$11:$B$63,3))*(1-E189))</f>
        <v/>
      </c>
      <c r="P190" s="15">
        <f>MAX(0,O189*(1-INDEX($B$11:$B$63,4))*(1-E189))</f>
        <v/>
      </c>
      <c r="Q190" s="15">
        <f>MAX(0,P189*(1-INDEX($B$11:$B$63,5))*(1-E189))</f>
        <v/>
      </c>
      <c r="R190" s="15">
        <f>MAX(0,Q189*(1-INDEX($B$11:$B$63,6))*(1-E189))</f>
        <v/>
      </c>
      <c r="S190" s="15">
        <f>MAX(0,R189*(1-INDEX($B$11:$B$63,7))*(1-E189))</f>
        <v/>
      </c>
      <c r="T190" s="15">
        <f>MAX(0,S189*(1-INDEX($B$11:$B$63,8))*(1-E189))</f>
        <v/>
      </c>
      <c r="U190" s="15">
        <f>MAX(0,T189*(1-INDEX($B$11:$B$63,9))*(1-E189))</f>
        <v/>
      </c>
      <c r="V190" s="15">
        <f>MAX(0,U189*(1-INDEX($B$11:$B$63,10))*(1-E189))</f>
        <v/>
      </c>
      <c r="W190" s="15">
        <f>MAX(0,V189*(1-INDEX($B$11:$B$63,11))*(1-E189))</f>
        <v/>
      </c>
      <c r="X190" s="15">
        <f>MAX(0,W189*(1-INDEX($B$11:$B$63,12))*(1-E189))</f>
        <v/>
      </c>
      <c r="Y190" s="15">
        <f>MAX(0,X189*(1-INDEX($B$11:$B$63,13))*(1-E189))</f>
        <v/>
      </c>
      <c r="Z190" s="15">
        <f>MAX(0,Y189*(1-INDEX($B$11:$B$63,14))*(1-E189))</f>
        <v/>
      </c>
      <c r="AA190" s="15">
        <f>MAX(0,Z189*(1-INDEX($B$11:$B$63,15))*(1-E189))</f>
        <v/>
      </c>
      <c r="AB190" s="15">
        <f>MAX(0,AA189*(1-INDEX($B$11:$B$63,16))*(1-E189))</f>
        <v/>
      </c>
      <c r="AC190" s="15">
        <f>MAX(0,AB189*(1-INDEX($B$11:$B$63,17))*(1-E189))</f>
        <v/>
      </c>
      <c r="AD190" s="15">
        <f>MAX(0,AC189*(1-INDEX($B$11:$B$63,18))*(1-E189))</f>
        <v/>
      </c>
      <c r="AE190" s="15">
        <f>MAX(0,AD189*(1-INDEX($B$11:$B$63,19))*(1-E189))</f>
        <v/>
      </c>
      <c r="AF190" s="15">
        <f>MAX(0,AE189*(1-INDEX($B$11:$B$63,20))*(1-E189))</f>
        <v/>
      </c>
      <c r="AG190" s="15">
        <f>MAX(0,AF189*(1-INDEX($B$11:$B$63,21))*(1-E189))</f>
        <v/>
      </c>
      <c r="AH190" s="15">
        <f>MAX(0,AG189*(1-INDEX($B$11:$B$63,22))*(1-E189))</f>
        <v/>
      </c>
      <c r="AI190" s="15">
        <f>MAX(0,AH189*(1-INDEX($B$11:$B$63,23))*(1-E189))</f>
        <v/>
      </c>
      <c r="AJ190" s="15">
        <f>MAX(0,AI189*(1-INDEX($B$11:$B$63,24))*(1-E189))</f>
        <v/>
      </c>
      <c r="AK190" s="15">
        <f>MAX(0,AJ189*(1-INDEX($B$11:$B$63,25))*(1-E189))</f>
        <v/>
      </c>
      <c r="AL190" s="15">
        <f>MAX(0,AK189*(1-INDEX($B$11:$B$63,26))*(1-E189))</f>
        <v/>
      </c>
      <c r="AM190" s="15">
        <f>MAX(0,AL189*(1-INDEX($B$11:$B$63,27))*(1-E189))</f>
        <v/>
      </c>
      <c r="AN190" s="15">
        <f>MAX(0,AM189*(1-INDEX($B$11:$B$63,28))*(1-E189))</f>
        <v/>
      </c>
      <c r="AO190" s="15">
        <f>MAX(0,AN189*(1-INDEX($B$11:$B$63,29))*(1-E189))</f>
        <v/>
      </c>
      <c r="AP190" s="15">
        <f>MAX(0,AO189*(1-INDEX($B$11:$B$63,30))*(1-E189))</f>
        <v/>
      </c>
      <c r="AQ190" s="15">
        <f>MAX(0,AP189*(1-INDEX($B$11:$B$63,31))*(1-E189))</f>
        <v/>
      </c>
      <c r="AR190" s="15">
        <f>MAX(0,AQ189*(1-INDEX($B$11:$B$63,32))*(1-E189))</f>
        <v/>
      </c>
      <c r="AS190" s="15">
        <f>MAX(0,AR189*(1-INDEX($B$11:$B$63,33))*(1-E189))</f>
        <v/>
      </c>
      <c r="AT190" s="15">
        <f>MAX(0,AS189*(1-INDEX($B$11:$B$63,34))*(1-E189))</f>
        <v/>
      </c>
      <c r="AU190" s="15">
        <f>MAX(0,AT189*(1-INDEX($B$11:$B$63,35))*(1-E189))</f>
        <v/>
      </c>
      <c r="AV190" s="15">
        <f>MAX(0,AU189*(1-INDEX($B$11:$B$63,36))*(1-E189))</f>
        <v/>
      </c>
      <c r="AW190" s="15">
        <f>MAX(0,AV189*(1-INDEX($B$11:$B$63,37))*(1-E189))</f>
        <v/>
      </c>
      <c r="AX190" s="15">
        <f>MAX(0,AW189*(1-INDEX($B$11:$B$63,38))*(1-E189))</f>
        <v/>
      </c>
      <c r="AY190" s="15">
        <f>MAX(0,AX189*(1-INDEX($B$11:$B$63,39))*(1-E189))</f>
        <v/>
      </c>
      <c r="AZ190" s="15">
        <f>MAX(0,AY189*(1-INDEX($B$11:$B$63,40))*(1-E189))</f>
        <v/>
      </c>
      <c r="BA190" s="15">
        <f>MAX(0,AZ189*(1-INDEX($B$11:$B$63,41))*(1-E189))</f>
        <v/>
      </c>
      <c r="BB190" s="15">
        <f>MAX(0,BA189*(1-INDEX($B$11:$B$63,42))*(1-E189))</f>
        <v/>
      </c>
      <c r="BC190" s="15">
        <f>MAX(0,BB189*(1-INDEX($B$11:$B$63,43))*(1-E189))</f>
        <v/>
      </c>
      <c r="BD190" s="15">
        <f>MAX(0,BC189*(1-INDEX($B$11:$B$63,44))*(1-E189))</f>
        <v/>
      </c>
      <c r="BE190" s="15">
        <f>MAX(0,BD189*(1-INDEX($B$11:$B$63,45))*(1-E189))</f>
        <v/>
      </c>
      <c r="BF190" s="15">
        <f>MAX(0,BE189*(1-INDEX($B$11:$B$63,46))*(1-E189))</f>
        <v/>
      </c>
      <c r="BG190" s="15">
        <f>MAX(0,BF189*(1-INDEX($B$11:$B$63,47))*(1-E189))</f>
        <v/>
      </c>
      <c r="BH190" s="15">
        <f>MAX(0,BG189*(1-INDEX($B$11:$B$63,48))*(1-E189))</f>
        <v/>
      </c>
      <c r="BI190" s="15">
        <f>MAX(0,BH189*(1-INDEX($B$11:$B$63,49))*(1-E189))</f>
        <v/>
      </c>
      <c r="BJ190" s="15">
        <f>MAX(0,BI189*(1-INDEX($B$11:$B$63,50))*(1-E189))</f>
        <v/>
      </c>
      <c r="BK190" s="15">
        <f>MAX(0,BJ189*(1-INDEX($B$11:$B$63,51))*(1-E189))</f>
        <v/>
      </c>
      <c r="BL190" s="15">
        <f>MAX(0,(BL189+BK189)*(1-INDEX($B$11:$B$63,53))*(1-E189))</f>
        <v/>
      </c>
    </row>
    <row r="191">
      <c r="A191" s="55" t="n">
        <v>125</v>
      </c>
      <c r="B191" s="15">
        <f>IF(A191&gt;Inputs!$C$62,"",SUM(M191:BK191))</f>
        <v/>
      </c>
      <c r="C191" s="15">
        <f>IF(A191&gt;Inputs!$C$62,"",INDEX(Trajectory!$C$23:$C$2000,A191))</f>
        <v/>
      </c>
      <c r="D191" s="15">
        <f>IF(A191&gt;Inputs!$C$62,"",SUM(L191:BK191))</f>
        <v/>
      </c>
      <c r="E191" s="12">
        <f>IF(A191&gt;Inputs!$C$62,"",INDEX(Trajectory!$AG$23:$AG$2000,A191))</f>
        <v/>
      </c>
      <c r="F191" s="12">
        <f>IF(D191=0,0,SUMPRODUCT(L191:BK191,$B$11:$B$63)/D191)</f>
        <v/>
      </c>
      <c r="G191" s="12">
        <f>IF(D191=0,0,MIN(0.95,1-(1-F191)*(1-E191)))</f>
        <v/>
      </c>
      <c r="H191" s="15">
        <f>IF(D191=0,0,D191*G191)</f>
        <v/>
      </c>
      <c r="I191" s="15">
        <f>IF(D191=0,0,D191-H191)</f>
        <v/>
      </c>
      <c r="L191" s="15">
        <f>C191</f>
        <v/>
      </c>
      <c r="M191" s="15">
        <f>MAX(0,L190*(1-INDEX($B$11:$B$63,1))*(1-E190))</f>
        <v/>
      </c>
      <c r="N191" s="15">
        <f>MAX(0,M190*(1-INDEX($B$11:$B$63,2))*(1-E190))</f>
        <v/>
      </c>
      <c r="O191" s="15">
        <f>MAX(0,N190*(1-INDEX($B$11:$B$63,3))*(1-E190))</f>
        <v/>
      </c>
      <c r="P191" s="15">
        <f>MAX(0,O190*(1-INDEX($B$11:$B$63,4))*(1-E190))</f>
        <v/>
      </c>
      <c r="Q191" s="15">
        <f>MAX(0,P190*(1-INDEX($B$11:$B$63,5))*(1-E190))</f>
        <v/>
      </c>
      <c r="R191" s="15">
        <f>MAX(0,Q190*(1-INDEX($B$11:$B$63,6))*(1-E190))</f>
        <v/>
      </c>
      <c r="S191" s="15">
        <f>MAX(0,R190*(1-INDEX($B$11:$B$63,7))*(1-E190))</f>
        <v/>
      </c>
      <c r="T191" s="15">
        <f>MAX(0,S190*(1-INDEX($B$11:$B$63,8))*(1-E190))</f>
        <v/>
      </c>
      <c r="U191" s="15">
        <f>MAX(0,T190*(1-INDEX($B$11:$B$63,9))*(1-E190))</f>
        <v/>
      </c>
      <c r="V191" s="15">
        <f>MAX(0,U190*(1-INDEX($B$11:$B$63,10))*(1-E190))</f>
        <v/>
      </c>
      <c r="W191" s="15">
        <f>MAX(0,V190*(1-INDEX($B$11:$B$63,11))*(1-E190))</f>
        <v/>
      </c>
      <c r="X191" s="15">
        <f>MAX(0,W190*(1-INDEX($B$11:$B$63,12))*(1-E190))</f>
        <v/>
      </c>
      <c r="Y191" s="15">
        <f>MAX(0,X190*(1-INDEX($B$11:$B$63,13))*(1-E190))</f>
        <v/>
      </c>
      <c r="Z191" s="15">
        <f>MAX(0,Y190*(1-INDEX($B$11:$B$63,14))*(1-E190))</f>
        <v/>
      </c>
      <c r="AA191" s="15">
        <f>MAX(0,Z190*(1-INDEX($B$11:$B$63,15))*(1-E190))</f>
        <v/>
      </c>
      <c r="AB191" s="15">
        <f>MAX(0,AA190*(1-INDEX($B$11:$B$63,16))*(1-E190))</f>
        <v/>
      </c>
      <c r="AC191" s="15">
        <f>MAX(0,AB190*(1-INDEX($B$11:$B$63,17))*(1-E190))</f>
        <v/>
      </c>
      <c r="AD191" s="15">
        <f>MAX(0,AC190*(1-INDEX($B$11:$B$63,18))*(1-E190))</f>
        <v/>
      </c>
      <c r="AE191" s="15">
        <f>MAX(0,AD190*(1-INDEX($B$11:$B$63,19))*(1-E190))</f>
        <v/>
      </c>
      <c r="AF191" s="15">
        <f>MAX(0,AE190*(1-INDEX($B$11:$B$63,20))*(1-E190))</f>
        <v/>
      </c>
      <c r="AG191" s="15">
        <f>MAX(0,AF190*(1-INDEX($B$11:$B$63,21))*(1-E190))</f>
        <v/>
      </c>
      <c r="AH191" s="15">
        <f>MAX(0,AG190*(1-INDEX($B$11:$B$63,22))*(1-E190))</f>
        <v/>
      </c>
      <c r="AI191" s="15">
        <f>MAX(0,AH190*(1-INDEX($B$11:$B$63,23))*(1-E190))</f>
        <v/>
      </c>
      <c r="AJ191" s="15">
        <f>MAX(0,AI190*(1-INDEX($B$11:$B$63,24))*(1-E190))</f>
        <v/>
      </c>
      <c r="AK191" s="15">
        <f>MAX(0,AJ190*(1-INDEX($B$11:$B$63,25))*(1-E190))</f>
        <v/>
      </c>
      <c r="AL191" s="15">
        <f>MAX(0,AK190*(1-INDEX($B$11:$B$63,26))*(1-E190))</f>
        <v/>
      </c>
      <c r="AM191" s="15">
        <f>MAX(0,AL190*(1-INDEX($B$11:$B$63,27))*(1-E190))</f>
        <v/>
      </c>
      <c r="AN191" s="15">
        <f>MAX(0,AM190*(1-INDEX($B$11:$B$63,28))*(1-E190))</f>
        <v/>
      </c>
      <c r="AO191" s="15">
        <f>MAX(0,AN190*(1-INDEX($B$11:$B$63,29))*(1-E190))</f>
        <v/>
      </c>
      <c r="AP191" s="15">
        <f>MAX(0,AO190*(1-INDEX($B$11:$B$63,30))*(1-E190))</f>
        <v/>
      </c>
      <c r="AQ191" s="15">
        <f>MAX(0,AP190*(1-INDEX($B$11:$B$63,31))*(1-E190))</f>
        <v/>
      </c>
      <c r="AR191" s="15">
        <f>MAX(0,AQ190*(1-INDEX($B$11:$B$63,32))*(1-E190))</f>
        <v/>
      </c>
      <c r="AS191" s="15">
        <f>MAX(0,AR190*(1-INDEX($B$11:$B$63,33))*(1-E190))</f>
        <v/>
      </c>
      <c r="AT191" s="15">
        <f>MAX(0,AS190*(1-INDEX($B$11:$B$63,34))*(1-E190))</f>
        <v/>
      </c>
      <c r="AU191" s="15">
        <f>MAX(0,AT190*(1-INDEX($B$11:$B$63,35))*(1-E190))</f>
        <v/>
      </c>
      <c r="AV191" s="15">
        <f>MAX(0,AU190*(1-INDEX($B$11:$B$63,36))*(1-E190))</f>
        <v/>
      </c>
      <c r="AW191" s="15">
        <f>MAX(0,AV190*(1-INDEX($B$11:$B$63,37))*(1-E190))</f>
        <v/>
      </c>
      <c r="AX191" s="15">
        <f>MAX(0,AW190*(1-INDEX($B$11:$B$63,38))*(1-E190))</f>
        <v/>
      </c>
      <c r="AY191" s="15">
        <f>MAX(0,AX190*(1-INDEX($B$11:$B$63,39))*(1-E190))</f>
        <v/>
      </c>
      <c r="AZ191" s="15">
        <f>MAX(0,AY190*(1-INDEX($B$11:$B$63,40))*(1-E190))</f>
        <v/>
      </c>
      <c r="BA191" s="15">
        <f>MAX(0,AZ190*(1-INDEX($B$11:$B$63,41))*(1-E190))</f>
        <v/>
      </c>
      <c r="BB191" s="15">
        <f>MAX(0,BA190*(1-INDEX($B$11:$B$63,42))*(1-E190))</f>
        <v/>
      </c>
      <c r="BC191" s="15">
        <f>MAX(0,BB190*(1-INDEX($B$11:$B$63,43))*(1-E190))</f>
        <v/>
      </c>
      <c r="BD191" s="15">
        <f>MAX(0,BC190*(1-INDEX($B$11:$B$63,44))*(1-E190))</f>
        <v/>
      </c>
      <c r="BE191" s="15">
        <f>MAX(0,BD190*(1-INDEX($B$11:$B$63,45))*(1-E190))</f>
        <v/>
      </c>
      <c r="BF191" s="15">
        <f>MAX(0,BE190*(1-INDEX($B$11:$B$63,46))*(1-E190))</f>
        <v/>
      </c>
      <c r="BG191" s="15">
        <f>MAX(0,BF190*(1-INDEX($B$11:$B$63,47))*(1-E190))</f>
        <v/>
      </c>
      <c r="BH191" s="15">
        <f>MAX(0,BG190*(1-INDEX($B$11:$B$63,48))*(1-E190))</f>
        <v/>
      </c>
      <c r="BI191" s="15">
        <f>MAX(0,BH190*(1-INDEX($B$11:$B$63,49))*(1-E190))</f>
        <v/>
      </c>
      <c r="BJ191" s="15">
        <f>MAX(0,BI190*(1-INDEX($B$11:$B$63,50))*(1-E190))</f>
        <v/>
      </c>
      <c r="BK191" s="15">
        <f>MAX(0,BJ190*(1-INDEX($B$11:$B$63,51))*(1-E190))</f>
        <v/>
      </c>
      <c r="BL191" s="15">
        <f>MAX(0,(BL190+BK190)*(1-INDEX($B$11:$B$63,53))*(1-E190))</f>
        <v/>
      </c>
    </row>
    <row r="192">
      <c r="A192" s="55" t="n">
        <v>126</v>
      </c>
      <c r="B192" s="15">
        <f>IF(A192&gt;Inputs!$C$62,"",SUM(M192:BK192))</f>
        <v/>
      </c>
      <c r="C192" s="15">
        <f>IF(A192&gt;Inputs!$C$62,"",INDEX(Trajectory!$C$23:$C$2000,A192))</f>
        <v/>
      </c>
      <c r="D192" s="15">
        <f>IF(A192&gt;Inputs!$C$62,"",SUM(L192:BK192))</f>
        <v/>
      </c>
      <c r="E192" s="12">
        <f>IF(A192&gt;Inputs!$C$62,"",INDEX(Trajectory!$AG$23:$AG$2000,A192))</f>
        <v/>
      </c>
      <c r="F192" s="12">
        <f>IF(D192=0,0,SUMPRODUCT(L192:BK192,$B$11:$B$63)/D192)</f>
        <v/>
      </c>
      <c r="G192" s="12">
        <f>IF(D192=0,0,MIN(0.95,1-(1-F192)*(1-E192)))</f>
        <v/>
      </c>
      <c r="H192" s="15">
        <f>IF(D192=0,0,D192*G192)</f>
        <v/>
      </c>
      <c r="I192" s="15">
        <f>IF(D192=0,0,D192-H192)</f>
        <v/>
      </c>
      <c r="L192" s="15">
        <f>C192</f>
        <v/>
      </c>
      <c r="M192" s="15">
        <f>MAX(0,L191*(1-INDEX($B$11:$B$63,1))*(1-E191))</f>
        <v/>
      </c>
      <c r="N192" s="15">
        <f>MAX(0,M191*(1-INDEX($B$11:$B$63,2))*(1-E191))</f>
        <v/>
      </c>
      <c r="O192" s="15">
        <f>MAX(0,N191*(1-INDEX($B$11:$B$63,3))*(1-E191))</f>
        <v/>
      </c>
      <c r="P192" s="15">
        <f>MAX(0,O191*(1-INDEX($B$11:$B$63,4))*(1-E191))</f>
        <v/>
      </c>
      <c r="Q192" s="15">
        <f>MAX(0,P191*(1-INDEX($B$11:$B$63,5))*(1-E191))</f>
        <v/>
      </c>
      <c r="R192" s="15">
        <f>MAX(0,Q191*(1-INDEX($B$11:$B$63,6))*(1-E191))</f>
        <v/>
      </c>
      <c r="S192" s="15">
        <f>MAX(0,R191*(1-INDEX($B$11:$B$63,7))*(1-E191))</f>
        <v/>
      </c>
      <c r="T192" s="15">
        <f>MAX(0,S191*(1-INDEX($B$11:$B$63,8))*(1-E191))</f>
        <v/>
      </c>
      <c r="U192" s="15">
        <f>MAX(0,T191*(1-INDEX($B$11:$B$63,9))*(1-E191))</f>
        <v/>
      </c>
      <c r="V192" s="15">
        <f>MAX(0,U191*(1-INDEX($B$11:$B$63,10))*(1-E191))</f>
        <v/>
      </c>
      <c r="W192" s="15">
        <f>MAX(0,V191*(1-INDEX($B$11:$B$63,11))*(1-E191))</f>
        <v/>
      </c>
      <c r="X192" s="15">
        <f>MAX(0,W191*(1-INDEX($B$11:$B$63,12))*(1-E191))</f>
        <v/>
      </c>
      <c r="Y192" s="15">
        <f>MAX(0,X191*(1-INDEX($B$11:$B$63,13))*(1-E191))</f>
        <v/>
      </c>
      <c r="Z192" s="15">
        <f>MAX(0,Y191*(1-INDEX($B$11:$B$63,14))*(1-E191))</f>
        <v/>
      </c>
      <c r="AA192" s="15">
        <f>MAX(0,Z191*(1-INDEX($B$11:$B$63,15))*(1-E191))</f>
        <v/>
      </c>
      <c r="AB192" s="15">
        <f>MAX(0,AA191*(1-INDEX($B$11:$B$63,16))*(1-E191))</f>
        <v/>
      </c>
      <c r="AC192" s="15">
        <f>MAX(0,AB191*(1-INDEX($B$11:$B$63,17))*(1-E191))</f>
        <v/>
      </c>
      <c r="AD192" s="15">
        <f>MAX(0,AC191*(1-INDEX($B$11:$B$63,18))*(1-E191))</f>
        <v/>
      </c>
      <c r="AE192" s="15">
        <f>MAX(0,AD191*(1-INDEX($B$11:$B$63,19))*(1-E191))</f>
        <v/>
      </c>
      <c r="AF192" s="15">
        <f>MAX(0,AE191*(1-INDEX($B$11:$B$63,20))*(1-E191))</f>
        <v/>
      </c>
      <c r="AG192" s="15">
        <f>MAX(0,AF191*(1-INDEX($B$11:$B$63,21))*(1-E191))</f>
        <v/>
      </c>
      <c r="AH192" s="15">
        <f>MAX(0,AG191*(1-INDEX($B$11:$B$63,22))*(1-E191))</f>
        <v/>
      </c>
      <c r="AI192" s="15">
        <f>MAX(0,AH191*(1-INDEX($B$11:$B$63,23))*(1-E191))</f>
        <v/>
      </c>
      <c r="AJ192" s="15">
        <f>MAX(0,AI191*(1-INDEX($B$11:$B$63,24))*(1-E191))</f>
        <v/>
      </c>
      <c r="AK192" s="15">
        <f>MAX(0,AJ191*(1-INDEX($B$11:$B$63,25))*(1-E191))</f>
        <v/>
      </c>
      <c r="AL192" s="15">
        <f>MAX(0,AK191*(1-INDEX($B$11:$B$63,26))*(1-E191))</f>
        <v/>
      </c>
      <c r="AM192" s="15">
        <f>MAX(0,AL191*(1-INDEX($B$11:$B$63,27))*(1-E191))</f>
        <v/>
      </c>
      <c r="AN192" s="15">
        <f>MAX(0,AM191*(1-INDEX($B$11:$B$63,28))*(1-E191))</f>
        <v/>
      </c>
      <c r="AO192" s="15">
        <f>MAX(0,AN191*(1-INDEX($B$11:$B$63,29))*(1-E191))</f>
        <v/>
      </c>
      <c r="AP192" s="15">
        <f>MAX(0,AO191*(1-INDEX($B$11:$B$63,30))*(1-E191))</f>
        <v/>
      </c>
      <c r="AQ192" s="15">
        <f>MAX(0,AP191*(1-INDEX($B$11:$B$63,31))*(1-E191))</f>
        <v/>
      </c>
      <c r="AR192" s="15">
        <f>MAX(0,AQ191*(1-INDEX($B$11:$B$63,32))*(1-E191))</f>
        <v/>
      </c>
      <c r="AS192" s="15">
        <f>MAX(0,AR191*(1-INDEX($B$11:$B$63,33))*(1-E191))</f>
        <v/>
      </c>
      <c r="AT192" s="15">
        <f>MAX(0,AS191*(1-INDEX($B$11:$B$63,34))*(1-E191))</f>
        <v/>
      </c>
      <c r="AU192" s="15">
        <f>MAX(0,AT191*(1-INDEX($B$11:$B$63,35))*(1-E191))</f>
        <v/>
      </c>
      <c r="AV192" s="15">
        <f>MAX(0,AU191*(1-INDEX($B$11:$B$63,36))*(1-E191))</f>
        <v/>
      </c>
      <c r="AW192" s="15">
        <f>MAX(0,AV191*(1-INDEX($B$11:$B$63,37))*(1-E191))</f>
        <v/>
      </c>
      <c r="AX192" s="15">
        <f>MAX(0,AW191*(1-INDEX($B$11:$B$63,38))*(1-E191))</f>
        <v/>
      </c>
      <c r="AY192" s="15">
        <f>MAX(0,AX191*(1-INDEX($B$11:$B$63,39))*(1-E191))</f>
        <v/>
      </c>
      <c r="AZ192" s="15">
        <f>MAX(0,AY191*(1-INDEX($B$11:$B$63,40))*(1-E191))</f>
        <v/>
      </c>
      <c r="BA192" s="15">
        <f>MAX(0,AZ191*(1-INDEX($B$11:$B$63,41))*(1-E191))</f>
        <v/>
      </c>
      <c r="BB192" s="15">
        <f>MAX(0,BA191*(1-INDEX($B$11:$B$63,42))*(1-E191))</f>
        <v/>
      </c>
      <c r="BC192" s="15">
        <f>MAX(0,BB191*(1-INDEX($B$11:$B$63,43))*(1-E191))</f>
        <v/>
      </c>
      <c r="BD192" s="15">
        <f>MAX(0,BC191*(1-INDEX($B$11:$B$63,44))*(1-E191))</f>
        <v/>
      </c>
      <c r="BE192" s="15">
        <f>MAX(0,BD191*(1-INDEX($B$11:$B$63,45))*(1-E191))</f>
        <v/>
      </c>
      <c r="BF192" s="15">
        <f>MAX(0,BE191*(1-INDEX($B$11:$B$63,46))*(1-E191))</f>
        <v/>
      </c>
      <c r="BG192" s="15">
        <f>MAX(0,BF191*(1-INDEX($B$11:$B$63,47))*(1-E191))</f>
        <v/>
      </c>
      <c r="BH192" s="15">
        <f>MAX(0,BG191*(1-INDEX($B$11:$B$63,48))*(1-E191))</f>
        <v/>
      </c>
      <c r="BI192" s="15">
        <f>MAX(0,BH191*(1-INDEX($B$11:$B$63,49))*(1-E191))</f>
        <v/>
      </c>
      <c r="BJ192" s="15">
        <f>MAX(0,BI191*(1-INDEX($B$11:$B$63,50))*(1-E191))</f>
        <v/>
      </c>
      <c r="BK192" s="15">
        <f>MAX(0,BJ191*(1-INDEX($B$11:$B$63,51))*(1-E191))</f>
        <v/>
      </c>
      <c r="BL192" s="15">
        <f>MAX(0,(BL191+BK191)*(1-INDEX($B$11:$B$63,53))*(1-E191))</f>
        <v/>
      </c>
    </row>
    <row r="193">
      <c r="A193" s="55" t="n">
        <v>127</v>
      </c>
      <c r="B193" s="15">
        <f>IF(A193&gt;Inputs!$C$62,"",SUM(M193:BK193))</f>
        <v/>
      </c>
      <c r="C193" s="15">
        <f>IF(A193&gt;Inputs!$C$62,"",INDEX(Trajectory!$C$23:$C$2000,A193))</f>
        <v/>
      </c>
      <c r="D193" s="15">
        <f>IF(A193&gt;Inputs!$C$62,"",SUM(L193:BK193))</f>
        <v/>
      </c>
      <c r="E193" s="12">
        <f>IF(A193&gt;Inputs!$C$62,"",INDEX(Trajectory!$AG$23:$AG$2000,A193))</f>
        <v/>
      </c>
      <c r="F193" s="12">
        <f>IF(D193=0,0,SUMPRODUCT(L193:BK193,$B$11:$B$63)/D193)</f>
        <v/>
      </c>
      <c r="G193" s="12">
        <f>IF(D193=0,0,MIN(0.95,1-(1-F193)*(1-E193)))</f>
        <v/>
      </c>
      <c r="H193" s="15">
        <f>IF(D193=0,0,D193*G193)</f>
        <v/>
      </c>
      <c r="I193" s="15">
        <f>IF(D193=0,0,D193-H193)</f>
        <v/>
      </c>
      <c r="L193" s="15">
        <f>C193</f>
        <v/>
      </c>
      <c r="M193" s="15">
        <f>MAX(0,L192*(1-INDEX($B$11:$B$63,1))*(1-E192))</f>
        <v/>
      </c>
      <c r="N193" s="15">
        <f>MAX(0,M192*(1-INDEX($B$11:$B$63,2))*(1-E192))</f>
        <v/>
      </c>
      <c r="O193" s="15">
        <f>MAX(0,N192*(1-INDEX($B$11:$B$63,3))*(1-E192))</f>
        <v/>
      </c>
      <c r="P193" s="15">
        <f>MAX(0,O192*(1-INDEX($B$11:$B$63,4))*(1-E192))</f>
        <v/>
      </c>
      <c r="Q193" s="15">
        <f>MAX(0,P192*(1-INDEX($B$11:$B$63,5))*(1-E192))</f>
        <v/>
      </c>
      <c r="R193" s="15">
        <f>MAX(0,Q192*(1-INDEX($B$11:$B$63,6))*(1-E192))</f>
        <v/>
      </c>
      <c r="S193" s="15">
        <f>MAX(0,R192*(1-INDEX($B$11:$B$63,7))*(1-E192))</f>
        <v/>
      </c>
      <c r="T193" s="15">
        <f>MAX(0,S192*(1-INDEX($B$11:$B$63,8))*(1-E192))</f>
        <v/>
      </c>
      <c r="U193" s="15">
        <f>MAX(0,T192*(1-INDEX($B$11:$B$63,9))*(1-E192))</f>
        <v/>
      </c>
      <c r="V193" s="15">
        <f>MAX(0,U192*(1-INDEX($B$11:$B$63,10))*(1-E192))</f>
        <v/>
      </c>
      <c r="W193" s="15">
        <f>MAX(0,V192*(1-INDEX($B$11:$B$63,11))*(1-E192))</f>
        <v/>
      </c>
      <c r="X193" s="15">
        <f>MAX(0,W192*(1-INDEX($B$11:$B$63,12))*(1-E192))</f>
        <v/>
      </c>
      <c r="Y193" s="15">
        <f>MAX(0,X192*(1-INDEX($B$11:$B$63,13))*(1-E192))</f>
        <v/>
      </c>
      <c r="Z193" s="15">
        <f>MAX(0,Y192*(1-INDEX($B$11:$B$63,14))*(1-E192))</f>
        <v/>
      </c>
      <c r="AA193" s="15">
        <f>MAX(0,Z192*(1-INDEX($B$11:$B$63,15))*(1-E192))</f>
        <v/>
      </c>
      <c r="AB193" s="15">
        <f>MAX(0,AA192*(1-INDEX($B$11:$B$63,16))*(1-E192))</f>
        <v/>
      </c>
      <c r="AC193" s="15">
        <f>MAX(0,AB192*(1-INDEX($B$11:$B$63,17))*(1-E192))</f>
        <v/>
      </c>
      <c r="AD193" s="15">
        <f>MAX(0,AC192*(1-INDEX($B$11:$B$63,18))*(1-E192))</f>
        <v/>
      </c>
      <c r="AE193" s="15">
        <f>MAX(0,AD192*(1-INDEX($B$11:$B$63,19))*(1-E192))</f>
        <v/>
      </c>
      <c r="AF193" s="15">
        <f>MAX(0,AE192*(1-INDEX($B$11:$B$63,20))*(1-E192))</f>
        <v/>
      </c>
      <c r="AG193" s="15">
        <f>MAX(0,AF192*(1-INDEX($B$11:$B$63,21))*(1-E192))</f>
        <v/>
      </c>
      <c r="AH193" s="15">
        <f>MAX(0,AG192*(1-INDEX($B$11:$B$63,22))*(1-E192))</f>
        <v/>
      </c>
      <c r="AI193" s="15">
        <f>MAX(0,AH192*(1-INDEX($B$11:$B$63,23))*(1-E192))</f>
        <v/>
      </c>
      <c r="AJ193" s="15">
        <f>MAX(0,AI192*(1-INDEX($B$11:$B$63,24))*(1-E192))</f>
        <v/>
      </c>
      <c r="AK193" s="15">
        <f>MAX(0,AJ192*(1-INDEX($B$11:$B$63,25))*(1-E192))</f>
        <v/>
      </c>
      <c r="AL193" s="15">
        <f>MAX(0,AK192*(1-INDEX($B$11:$B$63,26))*(1-E192))</f>
        <v/>
      </c>
      <c r="AM193" s="15">
        <f>MAX(0,AL192*(1-INDEX($B$11:$B$63,27))*(1-E192))</f>
        <v/>
      </c>
      <c r="AN193" s="15">
        <f>MAX(0,AM192*(1-INDEX($B$11:$B$63,28))*(1-E192))</f>
        <v/>
      </c>
      <c r="AO193" s="15">
        <f>MAX(0,AN192*(1-INDEX($B$11:$B$63,29))*(1-E192))</f>
        <v/>
      </c>
      <c r="AP193" s="15">
        <f>MAX(0,AO192*(1-INDEX($B$11:$B$63,30))*(1-E192))</f>
        <v/>
      </c>
      <c r="AQ193" s="15">
        <f>MAX(0,AP192*(1-INDEX($B$11:$B$63,31))*(1-E192))</f>
        <v/>
      </c>
      <c r="AR193" s="15">
        <f>MAX(0,AQ192*(1-INDEX($B$11:$B$63,32))*(1-E192))</f>
        <v/>
      </c>
      <c r="AS193" s="15">
        <f>MAX(0,AR192*(1-INDEX($B$11:$B$63,33))*(1-E192))</f>
        <v/>
      </c>
      <c r="AT193" s="15">
        <f>MAX(0,AS192*(1-INDEX($B$11:$B$63,34))*(1-E192))</f>
        <v/>
      </c>
      <c r="AU193" s="15">
        <f>MAX(0,AT192*(1-INDEX($B$11:$B$63,35))*(1-E192))</f>
        <v/>
      </c>
      <c r="AV193" s="15">
        <f>MAX(0,AU192*(1-INDEX($B$11:$B$63,36))*(1-E192))</f>
        <v/>
      </c>
      <c r="AW193" s="15">
        <f>MAX(0,AV192*(1-INDEX($B$11:$B$63,37))*(1-E192))</f>
        <v/>
      </c>
      <c r="AX193" s="15">
        <f>MAX(0,AW192*(1-INDEX($B$11:$B$63,38))*(1-E192))</f>
        <v/>
      </c>
      <c r="AY193" s="15">
        <f>MAX(0,AX192*(1-INDEX($B$11:$B$63,39))*(1-E192))</f>
        <v/>
      </c>
      <c r="AZ193" s="15">
        <f>MAX(0,AY192*(1-INDEX($B$11:$B$63,40))*(1-E192))</f>
        <v/>
      </c>
      <c r="BA193" s="15">
        <f>MAX(0,AZ192*(1-INDEX($B$11:$B$63,41))*(1-E192))</f>
        <v/>
      </c>
      <c r="BB193" s="15">
        <f>MAX(0,BA192*(1-INDEX($B$11:$B$63,42))*(1-E192))</f>
        <v/>
      </c>
      <c r="BC193" s="15">
        <f>MAX(0,BB192*(1-INDEX($B$11:$B$63,43))*(1-E192))</f>
        <v/>
      </c>
      <c r="BD193" s="15">
        <f>MAX(0,BC192*(1-INDEX($B$11:$B$63,44))*(1-E192))</f>
        <v/>
      </c>
      <c r="BE193" s="15">
        <f>MAX(0,BD192*(1-INDEX($B$11:$B$63,45))*(1-E192))</f>
        <v/>
      </c>
      <c r="BF193" s="15">
        <f>MAX(0,BE192*(1-INDEX($B$11:$B$63,46))*(1-E192))</f>
        <v/>
      </c>
      <c r="BG193" s="15">
        <f>MAX(0,BF192*(1-INDEX($B$11:$B$63,47))*(1-E192))</f>
        <v/>
      </c>
      <c r="BH193" s="15">
        <f>MAX(0,BG192*(1-INDEX($B$11:$B$63,48))*(1-E192))</f>
        <v/>
      </c>
      <c r="BI193" s="15">
        <f>MAX(0,BH192*(1-INDEX($B$11:$B$63,49))*(1-E192))</f>
        <v/>
      </c>
      <c r="BJ193" s="15">
        <f>MAX(0,BI192*(1-INDEX($B$11:$B$63,50))*(1-E192))</f>
        <v/>
      </c>
      <c r="BK193" s="15">
        <f>MAX(0,BJ192*(1-INDEX($B$11:$B$63,51))*(1-E192))</f>
        <v/>
      </c>
      <c r="BL193" s="15">
        <f>MAX(0,(BL192+BK192)*(1-INDEX($B$11:$B$63,53))*(1-E192))</f>
        <v/>
      </c>
    </row>
    <row r="194">
      <c r="A194" s="55" t="n">
        <v>128</v>
      </c>
      <c r="B194" s="15">
        <f>IF(A194&gt;Inputs!$C$62,"",SUM(M194:BK194))</f>
        <v/>
      </c>
      <c r="C194" s="15">
        <f>IF(A194&gt;Inputs!$C$62,"",INDEX(Trajectory!$C$23:$C$2000,A194))</f>
        <v/>
      </c>
      <c r="D194" s="15">
        <f>IF(A194&gt;Inputs!$C$62,"",SUM(L194:BK194))</f>
        <v/>
      </c>
      <c r="E194" s="12">
        <f>IF(A194&gt;Inputs!$C$62,"",INDEX(Trajectory!$AG$23:$AG$2000,A194))</f>
        <v/>
      </c>
      <c r="F194" s="12">
        <f>IF(D194=0,0,SUMPRODUCT(L194:BK194,$B$11:$B$63)/D194)</f>
        <v/>
      </c>
      <c r="G194" s="12">
        <f>IF(D194=0,0,MIN(0.95,1-(1-F194)*(1-E194)))</f>
        <v/>
      </c>
      <c r="H194" s="15">
        <f>IF(D194=0,0,D194*G194)</f>
        <v/>
      </c>
      <c r="I194" s="15">
        <f>IF(D194=0,0,D194-H194)</f>
        <v/>
      </c>
      <c r="L194" s="15">
        <f>C194</f>
        <v/>
      </c>
      <c r="M194" s="15">
        <f>MAX(0,L193*(1-INDEX($B$11:$B$63,1))*(1-E193))</f>
        <v/>
      </c>
      <c r="N194" s="15">
        <f>MAX(0,M193*(1-INDEX($B$11:$B$63,2))*(1-E193))</f>
        <v/>
      </c>
      <c r="O194" s="15">
        <f>MAX(0,N193*(1-INDEX($B$11:$B$63,3))*(1-E193))</f>
        <v/>
      </c>
      <c r="P194" s="15">
        <f>MAX(0,O193*(1-INDEX($B$11:$B$63,4))*(1-E193))</f>
        <v/>
      </c>
      <c r="Q194" s="15">
        <f>MAX(0,P193*(1-INDEX($B$11:$B$63,5))*(1-E193))</f>
        <v/>
      </c>
      <c r="R194" s="15">
        <f>MAX(0,Q193*(1-INDEX($B$11:$B$63,6))*(1-E193))</f>
        <v/>
      </c>
      <c r="S194" s="15">
        <f>MAX(0,R193*(1-INDEX($B$11:$B$63,7))*(1-E193))</f>
        <v/>
      </c>
      <c r="T194" s="15">
        <f>MAX(0,S193*(1-INDEX($B$11:$B$63,8))*(1-E193))</f>
        <v/>
      </c>
      <c r="U194" s="15">
        <f>MAX(0,T193*(1-INDEX($B$11:$B$63,9))*(1-E193))</f>
        <v/>
      </c>
      <c r="V194" s="15">
        <f>MAX(0,U193*(1-INDEX($B$11:$B$63,10))*(1-E193))</f>
        <v/>
      </c>
      <c r="W194" s="15">
        <f>MAX(0,V193*(1-INDEX($B$11:$B$63,11))*(1-E193))</f>
        <v/>
      </c>
      <c r="X194" s="15">
        <f>MAX(0,W193*(1-INDEX($B$11:$B$63,12))*(1-E193))</f>
        <v/>
      </c>
      <c r="Y194" s="15">
        <f>MAX(0,X193*(1-INDEX($B$11:$B$63,13))*(1-E193))</f>
        <v/>
      </c>
      <c r="Z194" s="15">
        <f>MAX(0,Y193*(1-INDEX($B$11:$B$63,14))*(1-E193))</f>
        <v/>
      </c>
      <c r="AA194" s="15">
        <f>MAX(0,Z193*(1-INDEX($B$11:$B$63,15))*(1-E193))</f>
        <v/>
      </c>
      <c r="AB194" s="15">
        <f>MAX(0,AA193*(1-INDEX($B$11:$B$63,16))*(1-E193))</f>
        <v/>
      </c>
      <c r="AC194" s="15">
        <f>MAX(0,AB193*(1-INDEX($B$11:$B$63,17))*(1-E193))</f>
        <v/>
      </c>
      <c r="AD194" s="15">
        <f>MAX(0,AC193*(1-INDEX($B$11:$B$63,18))*(1-E193))</f>
        <v/>
      </c>
      <c r="AE194" s="15">
        <f>MAX(0,AD193*(1-INDEX($B$11:$B$63,19))*(1-E193))</f>
        <v/>
      </c>
      <c r="AF194" s="15">
        <f>MAX(0,AE193*(1-INDEX($B$11:$B$63,20))*(1-E193))</f>
        <v/>
      </c>
      <c r="AG194" s="15">
        <f>MAX(0,AF193*(1-INDEX($B$11:$B$63,21))*(1-E193))</f>
        <v/>
      </c>
      <c r="AH194" s="15">
        <f>MAX(0,AG193*(1-INDEX($B$11:$B$63,22))*(1-E193))</f>
        <v/>
      </c>
      <c r="AI194" s="15">
        <f>MAX(0,AH193*(1-INDEX($B$11:$B$63,23))*(1-E193))</f>
        <v/>
      </c>
      <c r="AJ194" s="15">
        <f>MAX(0,AI193*(1-INDEX($B$11:$B$63,24))*(1-E193))</f>
        <v/>
      </c>
      <c r="AK194" s="15">
        <f>MAX(0,AJ193*(1-INDEX($B$11:$B$63,25))*(1-E193))</f>
        <v/>
      </c>
      <c r="AL194" s="15">
        <f>MAX(0,AK193*(1-INDEX($B$11:$B$63,26))*(1-E193))</f>
        <v/>
      </c>
      <c r="AM194" s="15">
        <f>MAX(0,AL193*(1-INDEX($B$11:$B$63,27))*(1-E193))</f>
        <v/>
      </c>
      <c r="AN194" s="15">
        <f>MAX(0,AM193*(1-INDEX($B$11:$B$63,28))*(1-E193))</f>
        <v/>
      </c>
      <c r="AO194" s="15">
        <f>MAX(0,AN193*(1-INDEX($B$11:$B$63,29))*(1-E193))</f>
        <v/>
      </c>
      <c r="AP194" s="15">
        <f>MAX(0,AO193*(1-INDEX($B$11:$B$63,30))*(1-E193))</f>
        <v/>
      </c>
      <c r="AQ194" s="15">
        <f>MAX(0,AP193*(1-INDEX($B$11:$B$63,31))*(1-E193))</f>
        <v/>
      </c>
      <c r="AR194" s="15">
        <f>MAX(0,AQ193*(1-INDEX($B$11:$B$63,32))*(1-E193))</f>
        <v/>
      </c>
      <c r="AS194" s="15">
        <f>MAX(0,AR193*(1-INDEX($B$11:$B$63,33))*(1-E193))</f>
        <v/>
      </c>
      <c r="AT194" s="15">
        <f>MAX(0,AS193*(1-INDEX($B$11:$B$63,34))*(1-E193))</f>
        <v/>
      </c>
      <c r="AU194" s="15">
        <f>MAX(0,AT193*(1-INDEX($B$11:$B$63,35))*(1-E193))</f>
        <v/>
      </c>
      <c r="AV194" s="15">
        <f>MAX(0,AU193*(1-INDEX($B$11:$B$63,36))*(1-E193))</f>
        <v/>
      </c>
      <c r="AW194" s="15">
        <f>MAX(0,AV193*(1-INDEX($B$11:$B$63,37))*(1-E193))</f>
        <v/>
      </c>
      <c r="AX194" s="15">
        <f>MAX(0,AW193*(1-INDEX($B$11:$B$63,38))*(1-E193))</f>
        <v/>
      </c>
      <c r="AY194" s="15">
        <f>MAX(0,AX193*(1-INDEX($B$11:$B$63,39))*(1-E193))</f>
        <v/>
      </c>
      <c r="AZ194" s="15">
        <f>MAX(0,AY193*(1-INDEX($B$11:$B$63,40))*(1-E193))</f>
        <v/>
      </c>
      <c r="BA194" s="15">
        <f>MAX(0,AZ193*(1-INDEX($B$11:$B$63,41))*(1-E193))</f>
        <v/>
      </c>
      <c r="BB194" s="15">
        <f>MAX(0,BA193*(1-INDEX($B$11:$B$63,42))*(1-E193))</f>
        <v/>
      </c>
      <c r="BC194" s="15">
        <f>MAX(0,BB193*(1-INDEX($B$11:$B$63,43))*(1-E193))</f>
        <v/>
      </c>
      <c r="BD194" s="15">
        <f>MAX(0,BC193*(1-INDEX($B$11:$B$63,44))*(1-E193))</f>
        <v/>
      </c>
      <c r="BE194" s="15">
        <f>MAX(0,BD193*(1-INDEX($B$11:$B$63,45))*(1-E193))</f>
        <v/>
      </c>
      <c r="BF194" s="15">
        <f>MAX(0,BE193*(1-INDEX($B$11:$B$63,46))*(1-E193))</f>
        <v/>
      </c>
      <c r="BG194" s="15">
        <f>MAX(0,BF193*(1-INDEX($B$11:$B$63,47))*(1-E193))</f>
        <v/>
      </c>
      <c r="BH194" s="15">
        <f>MAX(0,BG193*(1-INDEX($B$11:$B$63,48))*(1-E193))</f>
        <v/>
      </c>
      <c r="BI194" s="15">
        <f>MAX(0,BH193*(1-INDEX($B$11:$B$63,49))*(1-E193))</f>
        <v/>
      </c>
      <c r="BJ194" s="15">
        <f>MAX(0,BI193*(1-INDEX($B$11:$B$63,50))*(1-E193))</f>
        <v/>
      </c>
      <c r="BK194" s="15">
        <f>MAX(0,BJ193*(1-INDEX($B$11:$B$63,51))*(1-E193))</f>
        <v/>
      </c>
      <c r="BL194" s="15">
        <f>MAX(0,(BL193+BK193)*(1-INDEX($B$11:$B$63,53))*(1-E193))</f>
        <v/>
      </c>
    </row>
    <row r="195">
      <c r="A195" s="55" t="n">
        <v>129</v>
      </c>
      <c r="B195" s="15">
        <f>IF(A195&gt;Inputs!$C$62,"",SUM(M195:BK195))</f>
        <v/>
      </c>
      <c r="C195" s="15">
        <f>IF(A195&gt;Inputs!$C$62,"",INDEX(Trajectory!$C$23:$C$2000,A195))</f>
        <v/>
      </c>
      <c r="D195" s="15">
        <f>IF(A195&gt;Inputs!$C$62,"",SUM(L195:BK195))</f>
        <v/>
      </c>
      <c r="E195" s="12">
        <f>IF(A195&gt;Inputs!$C$62,"",INDEX(Trajectory!$AG$23:$AG$2000,A195))</f>
        <v/>
      </c>
      <c r="F195" s="12">
        <f>IF(D195=0,0,SUMPRODUCT(L195:BK195,$B$11:$B$63)/D195)</f>
        <v/>
      </c>
      <c r="G195" s="12">
        <f>IF(D195=0,0,MIN(0.95,1-(1-F195)*(1-E195)))</f>
        <v/>
      </c>
      <c r="H195" s="15">
        <f>IF(D195=0,0,D195*G195)</f>
        <v/>
      </c>
      <c r="I195" s="15">
        <f>IF(D195=0,0,D195-H195)</f>
        <v/>
      </c>
      <c r="L195" s="15">
        <f>C195</f>
        <v/>
      </c>
      <c r="M195" s="15">
        <f>MAX(0,L194*(1-INDEX($B$11:$B$63,1))*(1-E194))</f>
        <v/>
      </c>
      <c r="N195" s="15">
        <f>MAX(0,M194*(1-INDEX($B$11:$B$63,2))*(1-E194))</f>
        <v/>
      </c>
      <c r="O195" s="15">
        <f>MAX(0,N194*(1-INDEX($B$11:$B$63,3))*(1-E194))</f>
        <v/>
      </c>
      <c r="P195" s="15">
        <f>MAX(0,O194*(1-INDEX($B$11:$B$63,4))*(1-E194))</f>
        <v/>
      </c>
      <c r="Q195" s="15">
        <f>MAX(0,P194*(1-INDEX($B$11:$B$63,5))*(1-E194))</f>
        <v/>
      </c>
      <c r="R195" s="15">
        <f>MAX(0,Q194*(1-INDEX($B$11:$B$63,6))*(1-E194))</f>
        <v/>
      </c>
      <c r="S195" s="15">
        <f>MAX(0,R194*(1-INDEX($B$11:$B$63,7))*(1-E194))</f>
        <v/>
      </c>
      <c r="T195" s="15">
        <f>MAX(0,S194*(1-INDEX($B$11:$B$63,8))*(1-E194))</f>
        <v/>
      </c>
      <c r="U195" s="15">
        <f>MAX(0,T194*(1-INDEX($B$11:$B$63,9))*(1-E194))</f>
        <v/>
      </c>
      <c r="V195" s="15">
        <f>MAX(0,U194*(1-INDEX($B$11:$B$63,10))*(1-E194))</f>
        <v/>
      </c>
      <c r="W195" s="15">
        <f>MAX(0,V194*(1-INDEX($B$11:$B$63,11))*(1-E194))</f>
        <v/>
      </c>
      <c r="X195" s="15">
        <f>MAX(0,W194*(1-INDEX($B$11:$B$63,12))*(1-E194))</f>
        <v/>
      </c>
      <c r="Y195" s="15">
        <f>MAX(0,X194*(1-INDEX($B$11:$B$63,13))*(1-E194))</f>
        <v/>
      </c>
      <c r="Z195" s="15">
        <f>MAX(0,Y194*(1-INDEX($B$11:$B$63,14))*(1-E194))</f>
        <v/>
      </c>
      <c r="AA195" s="15">
        <f>MAX(0,Z194*(1-INDEX($B$11:$B$63,15))*(1-E194))</f>
        <v/>
      </c>
      <c r="AB195" s="15">
        <f>MAX(0,AA194*(1-INDEX($B$11:$B$63,16))*(1-E194))</f>
        <v/>
      </c>
      <c r="AC195" s="15">
        <f>MAX(0,AB194*(1-INDEX($B$11:$B$63,17))*(1-E194))</f>
        <v/>
      </c>
      <c r="AD195" s="15">
        <f>MAX(0,AC194*(1-INDEX($B$11:$B$63,18))*(1-E194))</f>
        <v/>
      </c>
      <c r="AE195" s="15">
        <f>MAX(0,AD194*(1-INDEX($B$11:$B$63,19))*(1-E194))</f>
        <v/>
      </c>
      <c r="AF195" s="15">
        <f>MAX(0,AE194*(1-INDEX($B$11:$B$63,20))*(1-E194))</f>
        <v/>
      </c>
      <c r="AG195" s="15">
        <f>MAX(0,AF194*(1-INDEX($B$11:$B$63,21))*(1-E194))</f>
        <v/>
      </c>
      <c r="AH195" s="15">
        <f>MAX(0,AG194*(1-INDEX($B$11:$B$63,22))*(1-E194))</f>
        <v/>
      </c>
      <c r="AI195" s="15">
        <f>MAX(0,AH194*(1-INDEX($B$11:$B$63,23))*(1-E194))</f>
        <v/>
      </c>
      <c r="AJ195" s="15">
        <f>MAX(0,AI194*(1-INDEX($B$11:$B$63,24))*(1-E194))</f>
        <v/>
      </c>
      <c r="AK195" s="15">
        <f>MAX(0,AJ194*(1-INDEX($B$11:$B$63,25))*(1-E194))</f>
        <v/>
      </c>
      <c r="AL195" s="15">
        <f>MAX(0,AK194*(1-INDEX($B$11:$B$63,26))*(1-E194))</f>
        <v/>
      </c>
      <c r="AM195" s="15">
        <f>MAX(0,AL194*(1-INDEX($B$11:$B$63,27))*(1-E194))</f>
        <v/>
      </c>
      <c r="AN195" s="15">
        <f>MAX(0,AM194*(1-INDEX($B$11:$B$63,28))*(1-E194))</f>
        <v/>
      </c>
      <c r="AO195" s="15">
        <f>MAX(0,AN194*(1-INDEX($B$11:$B$63,29))*(1-E194))</f>
        <v/>
      </c>
      <c r="AP195" s="15">
        <f>MAX(0,AO194*(1-INDEX($B$11:$B$63,30))*(1-E194))</f>
        <v/>
      </c>
      <c r="AQ195" s="15">
        <f>MAX(0,AP194*(1-INDEX($B$11:$B$63,31))*(1-E194))</f>
        <v/>
      </c>
      <c r="AR195" s="15">
        <f>MAX(0,AQ194*(1-INDEX($B$11:$B$63,32))*(1-E194))</f>
        <v/>
      </c>
      <c r="AS195" s="15">
        <f>MAX(0,AR194*(1-INDEX($B$11:$B$63,33))*(1-E194))</f>
        <v/>
      </c>
      <c r="AT195" s="15">
        <f>MAX(0,AS194*(1-INDEX($B$11:$B$63,34))*(1-E194))</f>
        <v/>
      </c>
      <c r="AU195" s="15">
        <f>MAX(0,AT194*(1-INDEX($B$11:$B$63,35))*(1-E194))</f>
        <v/>
      </c>
      <c r="AV195" s="15">
        <f>MAX(0,AU194*(1-INDEX($B$11:$B$63,36))*(1-E194))</f>
        <v/>
      </c>
      <c r="AW195" s="15">
        <f>MAX(0,AV194*(1-INDEX($B$11:$B$63,37))*(1-E194))</f>
        <v/>
      </c>
      <c r="AX195" s="15">
        <f>MAX(0,AW194*(1-INDEX($B$11:$B$63,38))*(1-E194))</f>
        <v/>
      </c>
      <c r="AY195" s="15">
        <f>MAX(0,AX194*(1-INDEX($B$11:$B$63,39))*(1-E194))</f>
        <v/>
      </c>
      <c r="AZ195" s="15">
        <f>MAX(0,AY194*(1-INDEX($B$11:$B$63,40))*(1-E194))</f>
        <v/>
      </c>
      <c r="BA195" s="15">
        <f>MAX(0,AZ194*(1-INDEX($B$11:$B$63,41))*(1-E194))</f>
        <v/>
      </c>
      <c r="BB195" s="15">
        <f>MAX(0,BA194*(1-INDEX($B$11:$B$63,42))*(1-E194))</f>
        <v/>
      </c>
      <c r="BC195" s="15">
        <f>MAX(0,BB194*(1-INDEX($B$11:$B$63,43))*(1-E194))</f>
        <v/>
      </c>
      <c r="BD195" s="15">
        <f>MAX(0,BC194*(1-INDEX($B$11:$B$63,44))*(1-E194))</f>
        <v/>
      </c>
      <c r="BE195" s="15">
        <f>MAX(0,BD194*(1-INDEX($B$11:$B$63,45))*(1-E194))</f>
        <v/>
      </c>
      <c r="BF195" s="15">
        <f>MAX(0,BE194*(1-INDEX($B$11:$B$63,46))*(1-E194))</f>
        <v/>
      </c>
      <c r="BG195" s="15">
        <f>MAX(0,BF194*(1-INDEX($B$11:$B$63,47))*(1-E194))</f>
        <v/>
      </c>
      <c r="BH195" s="15">
        <f>MAX(0,BG194*(1-INDEX($B$11:$B$63,48))*(1-E194))</f>
        <v/>
      </c>
      <c r="BI195" s="15">
        <f>MAX(0,BH194*(1-INDEX($B$11:$B$63,49))*(1-E194))</f>
        <v/>
      </c>
      <c r="BJ195" s="15">
        <f>MAX(0,BI194*(1-INDEX($B$11:$B$63,50))*(1-E194))</f>
        <v/>
      </c>
      <c r="BK195" s="15">
        <f>MAX(0,BJ194*(1-INDEX($B$11:$B$63,51))*(1-E194))</f>
        <v/>
      </c>
      <c r="BL195" s="15">
        <f>MAX(0,(BL194+BK194)*(1-INDEX($B$11:$B$63,53))*(1-E194))</f>
        <v/>
      </c>
    </row>
    <row r="196">
      <c r="A196" s="55" t="n">
        <v>130</v>
      </c>
      <c r="B196" s="15">
        <f>IF(A196&gt;Inputs!$C$62,"",SUM(M196:BK196))</f>
        <v/>
      </c>
      <c r="C196" s="15">
        <f>IF(A196&gt;Inputs!$C$62,"",INDEX(Trajectory!$C$23:$C$2000,A196))</f>
        <v/>
      </c>
      <c r="D196" s="15">
        <f>IF(A196&gt;Inputs!$C$62,"",SUM(L196:BK196))</f>
        <v/>
      </c>
      <c r="E196" s="12">
        <f>IF(A196&gt;Inputs!$C$62,"",INDEX(Trajectory!$AG$23:$AG$2000,A196))</f>
        <v/>
      </c>
      <c r="F196" s="12">
        <f>IF(D196=0,0,SUMPRODUCT(L196:BK196,$B$11:$B$63)/D196)</f>
        <v/>
      </c>
      <c r="G196" s="12">
        <f>IF(D196=0,0,MIN(0.95,1-(1-F196)*(1-E196)))</f>
        <v/>
      </c>
      <c r="H196" s="15">
        <f>IF(D196=0,0,D196*G196)</f>
        <v/>
      </c>
      <c r="I196" s="15">
        <f>IF(D196=0,0,D196-H196)</f>
        <v/>
      </c>
      <c r="L196" s="15">
        <f>C196</f>
        <v/>
      </c>
      <c r="M196" s="15">
        <f>MAX(0,L195*(1-INDEX($B$11:$B$63,1))*(1-E195))</f>
        <v/>
      </c>
      <c r="N196" s="15">
        <f>MAX(0,M195*(1-INDEX($B$11:$B$63,2))*(1-E195))</f>
        <v/>
      </c>
      <c r="O196" s="15">
        <f>MAX(0,N195*(1-INDEX($B$11:$B$63,3))*(1-E195))</f>
        <v/>
      </c>
      <c r="P196" s="15">
        <f>MAX(0,O195*(1-INDEX($B$11:$B$63,4))*(1-E195))</f>
        <v/>
      </c>
      <c r="Q196" s="15">
        <f>MAX(0,P195*(1-INDEX($B$11:$B$63,5))*(1-E195))</f>
        <v/>
      </c>
      <c r="R196" s="15">
        <f>MAX(0,Q195*(1-INDEX($B$11:$B$63,6))*(1-E195))</f>
        <v/>
      </c>
      <c r="S196" s="15">
        <f>MAX(0,R195*(1-INDEX($B$11:$B$63,7))*(1-E195))</f>
        <v/>
      </c>
      <c r="T196" s="15">
        <f>MAX(0,S195*(1-INDEX($B$11:$B$63,8))*(1-E195))</f>
        <v/>
      </c>
      <c r="U196" s="15">
        <f>MAX(0,T195*(1-INDEX($B$11:$B$63,9))*(1-E195))</f>
        <v/>
      </c>
      <c r="V196" s="15">
        <f>MAX(0,U195*(1-INDEX($B$11:$B$63,10))*(1-E195))</f>
        <v/>
      </c>
      <c r="W196" s="15">
        <f>MAX(0,V195*(1-INDEX($B$11:$B$63,11))*(1-E195))</f>
        <v/>
      </c>
      <c r="X196" s="15">
        <f>MAX(0,W195*(1-INDEX($B$11:$B$63,12))*(1-E195))</f>
        <v/>
      </c>
      <c r="Y196" s="15">
        <f>MAX(0,X195*(1-INDEX($B$11:$B$63,13))*(1-E195))</f>
        <v/>
      </c>
      <c r="Z196" s="15">
        <f>MAX(0,Y195*(1-INDEX($B$11:$B$63,14))*(1-E195))</f>
        <v/>
      </c>
      <c r="AA196" s="15">
        <f>MAX(0,Z195*(1-INDEX($B$11:$B$63,15))*(1-E195))</f>
        <v/>
      </c>
      <c r="AB196" s="15">
        <f>MAX(0,AA195*(1-INDEX($B$11:$B$63,16))*(1-E195))</f>
        <v/>
      </c>
      <c r="AC196" s="15">
        <f>MAX(0,AB195*(1-INDEX($B$11:$B$63,17))*(1-E195))</f>
        <v/>
      </c>
      <c r="AD196" s="15">
        <f>MAX(0,AC195*(1-INDEX($B$11:$B$63,18))*(1-E195))</f>
        <v/>
      </c>
      <c r="AE196" s="15">
        <f>MAX(0,AD195*(1-INDEX($B$11:$B$63,19))*(1-E195))</f>
        <v/>
      </c>
      <c r="AF196" s="15">
        <f>MAX(0,AE195*(1-INDEX($B$11:$B$63,20))*(1-E195))</f>
        <v/>
      </c>
      <c r="AG196" s="15">
        <f>MAX(0,AF195*(1-INDEX($B$11:$B$63,21))*(1-E195))</f>
        <v/>
      </c>
      <c r="AH196" s="15">
        <f>MAX(0,AG195*(1-INDEX($B$11:$B$63,22))*(1-E195))</f>
        <v/>
      </c>
      <c r="AI196" s="15">
        <f>MAX(0,AH195*(1-INDEX($B$11:$B$63,23))*(1-E195))</f>
        <v/>
      </c>
      <c r="AJ196" s="15">
        <f>MAX(0,AI195*(1-INDEX($B$11:$B$63,24))*(1-E195))</f>
        <v/>
      </c>
      <c r="AK196" s="15">
        <f>MAX(0,AJ195*(1-INDEX($B$11:$B$63,25))*(1-E195))</f>
        <v/>
      </c>
      <c r="AL196" s="15">
        <f>MAX(0,AK195*(1-INDEX($B$11:$B$63,26))*(1-E195))</f>
        <v/>
      </c>
      <c r="AM196" s="15">
        <f>MAX(0,AL195*(1-INDEX($B$11:$B$63,27))*(1-E195))</f>
        <v/>
      </c>
      <c r="AN196" s="15">
        <f>MAX(0,AM195*(1-INDEX($B$11:$B$63,28))*(1-E195))</f>
        <v/>
      </c>
      <c r="AO196" s="15">
        <f>MAX(0,AN195*(1-INDEX($B$11:$B$63,29))*(1-E195))</f>
        <v/>
      </c>
      <c r="AP196" s="15">
        <f>MAX(0,AO195*(1-INDEX($B$11:$B$63,30))*(1-E195))</f>
        <v/>
      </c>
      <c r="AQ196" s="15">
        <f>MAX(0,AP195*(1-INDEX($B$11:$B$63,31))*(1-E195))</f>
        <v/>
      </c>
      <c r="AR196" s="15">
        <f>MAX(0,AQ195*(1-INDEX($B$11:$B$63,32))*(1-E195))</f>
        <v/>
      </c>
      <c r="AS196" s="15">
        <f>MAX(0,AR195*(1-INDEX($B$11:$B$63,33))*(1-E195))</f>
        <v/>
      </c>
      <c r="AT196" s="15">
        <f>MAX(0,AS195*(1-INDEX($B$11:$B$63,34))*(1-E195))</f>
        <v/>
      </c>
      <c r="AU196" s="15">
        <f>MAX(0,AT195*(1-INDEX($B$11:$B$63,35))*(1-E195))</f>
        <v/>
      </c>
      <c r="AV196" s="15">
        <f>MAX(0,AU195*(1-INDEX($B$11:$B$63,36))*(1-E195))</f>
        <v/>
      </c>
      <c r="AW196" s="15">
        <f>MAX(0,AV195*(1-INDEX($B$11:$B$63,37))*(1-E195))</f>
        <v/>
      </c>
      <c r="AX196" s="15">
        <f>MAX(0,AW195*(1-INDEX($B$11:$B$63,38))*(1-E195))</f>
        <v/>
      </c>
      <c r="AY196" s="15">
        <f>MAX(0,AX195*(1-INDEX($B$11:$B$63,39))*(1-E195))</f>
        <v/>
      </c>
      <c r="AZ196" s="15">
        <f>MAX(0,AY195*(1-INDEX($B$11:$B$63,40))*(1-E195))</f>
        <v/>
      </c>
      <c r="BA196" s="15">
        <f>MAX(0,AZ195*(1-INDEX($B$11:$B$63,41))*(1-E195))</f>
        <v/>
      </c>
      <c r="BB196" s="15">
        <f>MAX(0,BA195*(1-INDEX($B$11:$B$63,42))*(1-E195))</f>
        <v/>
      </c>
      <c r="BC196" s="15">
        <f>MAX(0,BB195*(1-INDEX($B$11:$B$63,43))*(1-E195))</f>
        <v/>
      </c>
      <c r="BD196" s="15">
        <f>MAX(0,BC195*(1-INDEX($B$11:$B$63,44))*(1-E195))</f>
        <v/>
      </c>
      <c r="BE196" s="15">
        <f>MAX(0,BD195*(1-INDEX($B$11:$B$63,45))*(1-E195))</f>
        <v/>
      </c>
      <c r="BF196" s="15">
        <f>MAX(0,BE195*(1-INDEX($B$11:$B$63,46))*(1-E195))</f>
        <v/>
      </c>
      <c r="BG196" s="15">
        <f>MAX(0,BF195*(1-INDEX($B$11:$B$63,47))*(1-E195))</f>
        <v/>
      </c>
      <c r="BH196" s="15">
        <f>MAX(0,BG195*(1-INDEX($B$11:$B$63,48))*(1-E195))</f>
        <v/>
      </c>
      <c r="BI196" s="15">
        <f>MAX(0,BH195*(1-INDEX($B$11:$B$63,49))*(1-E195))</f>
        <v/>
      </c>
      <c r="BJ196" s="15">
        <f>MAX(0,BI195*(1-INDEX($B$11:$B$63,50))*(1-E195))</f>
        <v/>
      </c>
      <c r="BK196" s="15">
        <f>MAX(0,BJ195*(1-INDEX($B$11:$B$63,51))*(1-E195))</f>
        <v/>
      </c>
      <c r="BL196" s="15">
        <f>MAX(0,(BL195+BK195)*(1-INDEX($B$11:$B$63,53))*(1-E195))</f>
        <v/>
      </c>
    </row>
    <row r="197">
      <c r="A197" s="55" t="n">
        <v>131</v>
      </c>
      <c r="B197" s="15">
        <f>IF(A197&gt;Inputs!$C$62,"",SUM(M197:BK197))</f>
        <v/>
      </c>
      <c r="C197" s="15">
        <f>IF(A197&gt;Inputs!$C$62,"",INDEX(Trajectory!$C$23:$C$2000,A197))</f>
        <v/>
      </c>
      <c r="D197" s="15">
        <f>IF(A197&gt;Inputs!$C$62,"",SUM(L197:BK197))</f>
        <v/>
      </c>
      <c r="E197" s="12">
        <f>IF(A197&gt;Inputs!$C$62,"",INDEX(Trajectory!$AG$23:$AG$2000,A197))</f>
        <v/>
      </c>
      <c r="F197" s="12">
        <f>IF(D197=0,0,SUMPRODUCT(L197:BK197,$B$11:$B$63)/D197)</f>
        <v/>
      </c>
      <c r="G197" s="12">
        <f>IF(D197=0,0,MIN(0.95,1-(1-F197)*(1-E197)))</f>
        <v/>
      </c>
      <c r="H197" s="15">
        <f>IF(D197=0,0,D197*G197)</f>
        <v/>
      </c>
      <c r="I197" s="15">
        <f>IF(D197=0,0,D197-H197)</f>
        <v/>
      </c>
      <c r="L197" s="15">
        <f>C197</f>
        <v/>
      </c>
      <c r="M197" s="15">
        <f>MAX(0,L196*(1-INDEX($B$11:$B$63,1))*(1-E196))</f>
        <v/>
      </c>
      <c r="N197" s="15">
        <f>MAX(0,M196*(1-INDEX($B$11:$B$63,2))*(1-E196))</f>
        <v/>
      </c>
      <c r="O197" s="15">
        <f>MAX(0,N196*(1-INDEX($B$11:$B$63,3))*(1-E196))</f>
        <v/>
      </c>
      <c r="P197" s="15">
        <f>MAX(0,O196*(1-INDEX($B$11:$B$63,4))*(1-E196))</f>
        <v/>
      </c>
      <c r="Q197" s="15">
        <f>MAX(0,P196*(1-INDEX($B$11:$B$63,5))*(1-E196))</f>
        <v/>
      </c>
      <c r="R197" s="15">
        <f>MAX(0,Q196*(1-INDEX($B$11:$B$63,6))*(1-E196))</f>
        <v/>
      </c>
      <c r="S197" s="15">
        <f>MAX(0,R196*(1-INDEX($B$11:$B$63,7))*(1-E196))</f>
        <v/>
      </c>
      <c r="T197" s="15">
        <f>MAX(0,S196*(1-INDEX($B$11:$B$63,8))*(1-E196))</f>
        <v/>
      </c>
      <c r="U197" s="15">
        <f>MAX(0,T196*(1-INDEX($B$11:$B$63,9))*(1-E196))</f>
        <v/>
      </c>
      <c r="V197" s="15">
        <f>MAX(0,U196*(1-INDEX($B$11:$B$63,10))*(1-E196))</f>
        <v/>
      </c>
      <c r="W197" s="15">
        <f>MAX(0,V196*(1-INDEX($B$11:$B$63,11))*(1-E196))</f>
        <v/>
      </c>
      <c r="X197" s="15">
        <f>MAX(0,W196*(1-INDEX($B$11:$B$63,12))*(1-E196))</f>
        <v/>
      </c>
      <c r="Y197" s="15">
        <f>MAX(0,X196*(1-INDEX($B$11:$B$63,13))*(1-E196))</f>
        <v/>
      </c>
      <c r="Z197" s="15">
        <f>MAX(0,Y196*(1-INDEX($B$11:$B$63,14))*(1-E196))</f>
        <v/>
      </c>
      <c r="AA197" s="15">
        <f>MAX(0,Z196*(1-INDEX($B$11:$B$63,15))*(1-E196))</f>
        <v/>
      </c>
      <c r="AB197" s="15">
        <f>MAX(0,AA196*(1-INDEX($B$11:$B$63,16))*(1-E196))</f>
        <v/>
      </c>
      <c r="AC197" s="15">
        <f>MAX(0,AB196*(1-INDEX($B$11:$B$63,17))*(1-E196))</f>
        <v/>
      </c>
      <c r="AD197" s="15">
        <f>MAX(0,AC196*(1-INDEX($B$11:$B$63,18))*(1-E196))</f>
        <v/>
      </c>
      <c r="AE197" s="15">
        <f>MAX(0,AD196*(1-INDEX($B$11:$B$63,19))*(1-E196))</f>
        <v/>
      </c>
      <c r="AF197" s="15">
        <f>MAX(0,AE196*(1-INDEX($B$11:$B$63,20))*(1-E196))</f>
        <v/>
      </c>
      <c r="AG197" s="15">
        <f>MAX(0,AF196*(1-INDEX($B$11:$B$63,21))*(1-E196))</f>
        <v/>
      </c>
      <c r="AH197" s="15">
        <f>MAX(0,AG196*(1-INDEX($B$11:$B$63,22))*(1-E196))</f>
        <v/>
      </c>
      <c r="AI197" s="15">
        <f>MAX(0,AH196*(1-INDEX($B$11:$B$63,23))*(1-E196))</f>
        <v/>
      </c>
      <c r="AJ197" s="15">
        <f>MAX(0,AI196*(1-INDEX($B$11:$B$63,24))*(1-E196))</f>
        <v/>
      </c>
      <c r="AK197" s="15">
        <f>MAX(0,AJ196*(1-INDEX($B$11:$B$63,25))*(1-E196))</f>
        <v/>
      </c>
      <c r="AL197" s="15">
        <f>MAX(0,AK196*(1-INDEX($B$11:$B$63,26))*(1-E196))</f>
        <v/>
      </c>
      <c r="AM197" s="15">
        <f>MAX(0,AL196*(1-INDEX($B$11:$B$63,27))*(1-E196))</f>
        <v/>
      </c>
      <c r="AN197" s="15">
        <f>MAX(0,AM196*(1-INDEX($B$11:$B$63,28))*(1-E196))</f>
        <v/>
      </c>
      <c r="AO197" s="15">
        <f>MAX(0,AN196*(1-INDEX($B$11:$B$63,29))*(1-E196))</f>
        <v/>
      </c>
      <c r="AP197" s="15">
        <f>MAX(0,AO196*(1-INDEX($B$11:$B$63,30))*(1-E196))</f>
        <v/>
      </c>
      <c r="AQ197" s="15">
        <f>MAX(0,AP196*(1-INDEX($B$11:$B$63,31))*(1-E196))</f>
        <v/>
      </c>
      <c r="AR197" s="15">
        <f>MAX(0,AQ196*(1-INDEX($B$11:$B$63,32))*(1-E196))</f>
        <v/>
      </c>
      <c r="AS197" s="15">
        <f>MAX(0,AR196*(1-INDEX($B$11:$B$63,33))*(1-E196))</f>
        <v/>
      </c>
      <c r="AT197" s="15">
        <f>MAX(0,AS196*(1-INDEX($B$11:$B$63,34))*(1-E196))</f>
        <v/>
      </c>
      <c r="AU197" s="15">
        <f>MAX(0,AT196*(1-INDEX($B$11:$B$63,35))*(1-E196))</f>
        <v/>
      </c>
      <c r="AV197" s="15">
        <f>MAX(0,AU196*(1-INDEX($B$11:$B$63,36))*(1-E196))</f>
        <v/>
      </c>
      <c r="AW197" s="15">
        <f>MAX(0,AV196*(1-INDEX($B$11:$B$63,37))*(1-E196))</f>
        <v/>
      </c>
      <c r="AX197" s="15">
        <f>MAX(0,AW196*(1-INDEX($B$11:$B$63,38))*(1-E196))</f>
        <v/>
      </c>
      <c r="AY197" s="15">
        <f>MAX(0,AX196*(1-INDEX($B$11:$B$63,39))*(1-E196))</f>
        <v/>
      </c>
      <c r="AZ197" s="15">
        <f>MAX(0,AY196*(1-INDEX($B$11:$B$63,40))*(1-E196))</f>
        <v/>
      </c>
      <c r="BA197" s="15">
        <f>MAX(0,AZ196*(1-INDEX($B$11:$B$63,41))*(1-E196))</f>
        <v/>
      </c>
      <c r="BB197" s="15">
        <f>MAX(0,BA196*(1-INDEX($B$11:$B$63,42))*(1-E196))</f>
        <v/>
      </c>
      <c r="BC197" s="15">
        <f>MAX(0,BB196*(1-INDEX($B$11:$B$63,43))*(1-E196))</f>
        <v/>
      </c>
      <c r="BD197" s="15">
        <f>MAX(0,BC196*(1-INDEX($B$11:$B$63,44))*(1-E196))</f>
        <v/>
      </c>
      <c r="BE197" s="15">
        <f>MAX(0,BD196*(1-INDEX($B$11:$B$63,45))*(1-E196))</f>
        <v/>
      </c>
      <c r="BF197" s="15">
        <f>MAX(0,BE196*(1-INDEX($B$11:$B$63,46))*(1-E196))</f>
        <v/>
      </c>
      <c r="BG197" s="15">
        <f>MAX(0,BF196*(1-INDEX($B$11:$B$63,47))*(1-E196))</f>
        <v/>
      </c>
      <c r="BH197" s="15">
        <f>MAX(0,BG196*(1-INDEX($B$11:$B$63,48))*(1-E196))</f>
        <v/>
      </c>
      <c r="BI197" s="15">
        <f>MAX(0,BH196*(1-INDEX($B$11:$B$63,49))*(1-E196))</f>
        <v/>
      </c>
      <c r="BJ197" s="15">
        <f>MAX(0,BI196*(1-INDEX($B$11:$B$63,50))*(1-E196))</f>
        <v/>
      </c>
      <c r="BK197" s="15">
        <f>MAX(0,BJ196*(1-INDEX($B$11:$B$63,51))*(1-E196))</f>
        <v/>
      </c>
      <c r="BL197" s="15">
        <f>MAX(0,(BL196+BK196)*(1-INDEX($B$11:$B$63,53))*(1-E196))</f>
        <v/>
      </c>
    </row>
    <row r="198">
      <c r="A198" s="55" t="n">
        <v>132</v>
      </c>
      <c r="B198" s="15">
        <f>IF(A198&gt;Inputs!$C$62,"",SUM(M198:BK198))</f>
        <v/>
      </c>
      <c r="C198" s="15">
        <f>IF(A198&gt;Inputs!$C$62,"",INDEX(Trajectory!$C$23:$C$2000,A198))</f>
        <v/>
      </c>
      <c r="D198" s="15">
        <f>IF(A198&gt;Inputs!$C$62,"",SUM(L198:BK198))</f>
        <v/>
      </c>
      <c r="E198" s="12">
        <f>IF(A198&gt;Inputs!$C$62,"",INDEX(Trajectory!$AG$23:$AG$2000,A198))</f>
        <v/>
      </c>
      <c r="F198" s="12">
        <f>IF(D198=0,0,SUMPRODUCT(L198:BK198,$B$11:$B$63)/D198)</f>
        <v/>
      </c>
      <c r="G198" s="12">
        <f>IF(D198=0,0,MIN(0.95,1-(1-F198)*(1-E198)))</f>
        <v/>
      </c>
      <c r="H198" s="15">
        <f>IF(D198=0,0,D198*G198)</f>
        <v/>
      </c>
      <c r="I198" s="15">
        <f>IF(D198=0,0,D198-H198)</f>
        <v/>
      </c>
      <c r="L198" s="15">
        <f>C198</f>
        <v/>
      </c>
      <c r="M198" s="15">
        <f>MAX(0,L197*(1-INDEX($B$11:$B$63,1))*(1-E197))</f>
        <v/>
      </c>
      <c r="N198" s="15">
        <f>MAX(0,M197*(1-INDEX($B$11:$B$63,2))*(1-E197))</f>
        <v/>
      </c>
      <c r="O198" s="15">
        <f>MAX(0,N197*(1-INDEX($B$11:$B$63,3))*(1-E197))</f>
        <v/>
      </c>
      <c r="P198" s="15">
        <f>MAX(0,O197*(1-INDEX($B$11:$B$63,4))*(1-E197))</f>
        <v/>
      </c>
      <c r="Q198" s="15">
        <f>MAX(0,P197*(1-INDEX($B$11:$B$63,5))*(1-E197))</f>
        <v/>
      </c>
      <c r="R198" s="15">
        <f>MAX(0,Q197*(1-INDEX($B$11:$B$63,6))*(1-E197))</f>
        <v/>
      </c>
      <c r="S198" s="15">
        <f>MAX(0,R197*(1-INDEX($B$11:$B$63,7))*(1-E197))</f>
        <v/>
      </c>
      <c r="T198" s="15">
        <f>MAX(0,S197*(1-INDEX($B$11:$B$63,8))*(1-E197))</f>
        <v/>
      </c>
      <c r="U198" s="15">
        <f>MAX(0,T197*(1-INDEX($B$11:$B$63,9))*(1-E197))</f>
        <v/>
      </c>
      <c r="V198" s="15">
        <f>MAX(0,U197*(1-INDEX($B$11:$B$63,10))*(1-E197))</f>
        <v/>
      </c>
      <c r="W198" s="15">
        <f>MAX(0,V197*(1-INDEX($B$11:$B$63,11))*(1-E197))</f>
        <v/>
      </c>
      <c r="X198" s="15">
        <f>MAX(0,W197*(1-INDEX($B$11:$B$63,12))*(1-E197))</f>
        <v/>
      </c>
      <c r="Y198" s="15">
        <f>MAX(0,X197*(1-INDEX($B$11:$B$63,13))*(1-E197))</f>
        <v/>
      </c>
      <c r="Z198" s="15">
        <f>MAX(0,Y197*(1-INDEX($B$11:$B$63,14))*(1-E197))</f>
        <v/>
      </c>
      <c r="AA198" s="15">
        <f>MAX(0,Z197*(1-INDEX($B$11:$B$63,15))*(1-E197))</f>
        <v/>
      </c>
      <c r="AB198" s="15">
        <f>MAX(0,AA197*(1-INDEX($B$11:$B$63,16))*(1-E197))</f>
        <v/>
      </c>
      <c r="AC198" s="15">
        <f>MAX(0,AB197*(1-INDEX($B$11:$B$63,17))*(1-E197))</f>
        <v/>
      </c>
      <c r="AD198" s="15">
        <f>MAX(0,AC197*(1-INDEX($B$11:$B$63,18))*(1-E197))</f>
        <v/>
      </c>
      <c r="AE198" s="15">
        <f>MAX(0,AD197*(1-INDEX($B$11:$B$63,19))*(1-E197))</f>
        <v/>
      </c>
      <c r="AF198" s="15">
        <f>MAX(0,AE197*(1-INDEX($B$11:$B$63,20))*(1-E197))</f>
        <v/>
      </c>
      <c r="AG198" s="15">
        <f>MAX(0,AF197*(1-INDEX($B$11:$B$63,21))*(1-E197))</f>
        <v/>
      </c>
      <c r="AH198" s="15">
        <f>MAX(0,AG197*(1-INDEX($B$11:$B$63,22))*(1-E197))</f>
        <v/>
      </c>
      <c r="AI198" s="15">
        <f>MAX(0,AH197*(1-INDEX($B$11:$B$63,23))*(1-E197))</f>
        <v/>
      </c>
      <c r="AJ198" s="15">
        <f>MAX(0,AI197*(1-INDEX($B$11:$B$63,24))*(1-E197))</f>
        <v/>
      </c>
      <c r="AK198" s="15">
        <f>MAX(0,AJ197*(1-INDEX($B$11:$B$63,25))*(1-E197))</f>
        <v/>
      </c>
      <c r="AL198" s="15">
        <f>MAX(0,AK197*(1-INDEX($B$11:$B$63,26))*(1-E197))</f>
        <v/>
      </c>
      <c r="AM198" s="15">
        <f>MAX(0,AL197*(1-INDEX($B$11:$B$63,27))*(1-E197))</f>
        <v/>
      </c>
      <c r="AN198" s="15">
        <f>MAX(0,AM197*(1-INDEX($B$11:$B$63,28))*(1-E197))</f>
        <v/>
      </c>
      <c r="AO198" s="15">
        <f>MAX(0,AN197*(1-INDEX($B$11:$B$63,29))*(1-E197))</f>
        <v/>
      </c>
      <c r="AP198" s="15">
        <f>MAX(0,AO197*(1-INDEX($B$11:$B$63,30))*(1-E197))</f>
        <v/>
      </c>
      <c r="AQ198" s="15">
        <f>MAX(0,AP197*(1-INDEX($B$11:$B$63,31))*(1-E197))</f>
        <v/>
      </c>
      <c r="AR198" s="15">
        <f>MAX(0,AQ197*(1-INDEX($B$11:$B$63,32))*(1-E197))</f>
        <v/>
      </c>
      <c r="AS198" s="15">
        <f>MAX(0,AR197*(1-INDEX($B$11:$B$63,33))*(1-E197))</f>
        <v/>
      </c>
      <c r="AT198" s="15">
        <f>MAX(0,AS197*(1-INDEX($B$11:$B$63,34))*(1-E197))</f>
        <v/>
      </c>
      <c r="AU198" s="15">
        <f>MAX(0,AT197*(1-INDEX($B$11:$B$63,35))*(1-E197))</f>
        <v/>
      </c>
      <c r="AV198" s="15">
        <f>MAX(0,AU197*(1-INDEX($B$11:$B$63,36))*(1-E197))</f>
        <v/>
      </c>
      <c r="AW198" s="15">
        <f>MAX(0,AV197*(1-INDEX($B$11:$B$63,37))*(1-E197))</f>
        <v/>
      </c>
      <c r="AX198" s="15">
        <f>MAX(0,AW197*(1-INDEX($B$11:$B$63,38))*(1-E197))</f>
        <v/>
      </c>
      <c r="AY198" s="15">
        <f>MAX(0,AX197*(1-INDEX($B$11:$B$63,39))*(1-E197))</f>
        <v/>
      </c>
      <c r="AZ198" s="15">
        <f>MAX(0,AY197*(1-INDEX($B$11:$B$63,40))*(1-E197))</f>
        <v/>
      </c>
      <c r="BA198" s="15">
        <f>MAX(0,AZ197*(1-INDEX($B$11:$B$63,41))*(1-E197))</f>
        <v/>
      </c>
      <c r="BB198" s="15">
        <f>MAX(0,BA197*(1-INDEX($B$11:$B$63,42))*(1-E197))</f>
        <v/>
      </c>
      <c r="BC198" s="15">
        <f>MAX(0,BB197*(1-INDEX($B$11:$B$63,43))*(1-E197))</f>
        <v/>
      </c>
      <c r="BD198" s="15">
        <f>MAX(0,BC197*(1-INDEX($B$11:$B$63,44))*(1-E197))</f>
        <v/>
      </c>
      <c r="BE198" s="15">
        <f>MAX(0,BD197*(1-INDEX($B$11:$B$63,45))*(1-E197))</f>
        <v/>
      </c>
      <c r="BF198" s="15">
        <f>MAX(0,BE197*(1-INDEX($B$11:$B$63,46))*(1-E197))</f>
        <v/>
      </c>
      <c r="BG198" s="15">
        <f>MAX(0,BF197*(1-INDEX($B$11:$B$63,47))*(1-E197))</f>
        <v/>
      </c>
      <c r="BH198" s="15">
        <f>MAX(0,BG197*(1-INDEX($B$11:$B$63,48))*(1-E197))</f>
        <v/>
      </c>
      <c r="BI198" s="15">
        <f>MAX(0,BH197*(1-INDEX($B$11:$B$63,49))*(1-E197))</f>
        <v/>
      </c>
      <c r="BJ198" s="15">
        <f>MAX(0,BI197*(1-INDEX($B$11:$B$63,50))*(1-E197))</f>
        <v/>
      </c>
      <c r="BK198" s="15">
        <f>MAX(0,BJ197*(1-INDEX($B$11:$B$63,51))*(1-E197))</f>
        <v/>
      </c>
      <c r="BL198" s="15">
        <f>MAX(0,(BL197+BK197)*(1-INDEX($B$11:$B$63,53))*(1-E197))</f>
        <v/>
      </c>
    </row>
    <row r="199">
      <c r="A199" s="55" t="n">
        <v>133</v>
      </c>
      <c r="B199" s="15">
        <f>IF(A199&gt;Inputs!$C$62,"",SUM(M199:BK199))</f>
        <v/>
      </c>
      <c r="C199" s="15">
        <f>IF(A199&gt;Inputs!$C$62,"",INDEX(Trajectory!$C$23:$C$2000,A199))</f>
        <v/>
      </c>
      <c r="D199" s="15">
        <f>IF(A199&gt;Inputs!$C$62,"",SUM(L199:BK199))</f>
        <v/>
      </c>
      <c r="E199" s="12">
        <f>IF(A199&gt;Inputs!$C$62,"",INDEX(Trajectory!$AG$23:$AG$2000,A199))</f>
        <v/>
      </c>
      <c r="F199" s="12">
        <f>IF(D199=0,0,SUMPRODUCT(L199:BK199,$B$11:$B$63)/D199)</f>
        <v/>
      </c>
      <c r="G199" s="12">
        <f>IF(D199=0,0,MIN(0.95,1-(1-F199)*(1-E199)))</f>
        <v/>
      </c>
      <c r="H199" s="15">
        <f>IF(D199=0,0,D199*G199)</f>
        <v/>
      </c>
      <c r="I199" s="15">
        <f>IF(D199=0,0,D199-H199)</f>
        <v/>
      </c>
      <c r="L199" s="15">
        <f>C199</f>
        <v/>
      </c>
      <c r="M199" s="15">
        <f>MAX(0,L198*(1-INDEX($B$11:$B$63,1))*(1-E198))</f>
        <v/>
      </c>
      <c r="N199" s="15">
        <f>MAX(0,M198*(1-INDEX($B$11:$B$63,2))*(1-E198))</f>
        <v/>
      </c>
      <c r="O199" s="15">
        <f>MAX(0,N198*(1-INDEX($B$11:$B$63,3))*(1-E198))</f>
        <v/>
      </c>
      <c r="P199" s="15">
        <f>MAX(0,O198*(1-INDEX($B$11:$B$63,4))*(1-E198))</f>
        <v/>
      </c>
      <c r="Q199" s="15">
        <f>MAX(0,P198*(1-INDEX($B$11:$B$63,5))*(1-E198))</f>
        <v/>
      </c>
      <c r="R199" s="15">
        <f>MAX(0,Q198*(1-INDEX($B$11:$B$63,6))*(1-E198))</f>
        <v/>
      </c>
      <c r="S199" s="15">
        <f>MAX(0,R198*(1-INDEX($B$11:$B$63,7))*(1-E198))</f>
        <v/>
      </c>
      <c r="T199" s="15">
        <f>MAX(0,S198*(1-INDEX($B$11:$B$63,8))*(1-E198))</f>
        <v/>
      </c>
      <c r="U199" s="15">
        <f>MAX(0,T198*(1-INDEX($B$11:$B$63,9))*(1-E198))</f>
        <v/>
      </c>
      <c r="V199" s="15">
        <f>MAX(0,U198*(1-INDEX($B$11:$B$63,10))*(1-E198))</f>
        <v/>
      </c>
      <c r="W199" s="15">
        <f>MAX(0,V198*(1-INDEX($B$11:$B$63,11))*(1-E198))</f>
        <v/>
      </c>
      <c r="X199" s="15">
        <f>MAX(0,W198*(1-INDEX($B$11:$B$63,12))*(1-E198))</f>
        <v/>
      </c>
      <c r="Y199" s="15">
        <f>MAX(0,X198*(1-INDEX($B$11:$B$63,13))*(1-E198))</f>
        <v/>
      </c>
      <c r="Z199" s="15">
        <f>MAX(0,Y198*(1-INDEX($B$11:$B$63,14))*(1-E198))</f>
        <v/>
      </c>
      <c r="AA199" s="15">
        <f>MAX(0,Z198*(1-INDEX($B$11:$B$63,15))*(1-E198))</f>
        <v/>
      </c>
      <c r="AB199" s="15">
        <f>MAX(0,AA198*(1-INDEX($B$11:$B$63,16))*(1-E198))</f>
        <v/>
      </c>
      <c r="AC199" s="15">
        <f>MAX(0,AB198*(1-INDEX($B$11:$B$63,17))*(1-E198))</f>
        <v/>
      </c>
      <c r="AD199" s="15">
        <f>MAX(0,AC198*(1-INDEX($B$11:$B$63,18))*(1-E198))</f>
        <v/>
      </c>
      <c r="AE199" s="15">
        <f>MAX(0,AD198*(1-INDEX($B$11:$B$63,19))*(1-E198))</f>
        <v/>
      </c>
      <c r="AF199" s="15">
        <f>MAX(0,AE198*(1-INDEX($B$11:$B$63,20))*(1-E198))</f>
        <v/>
      </c>
      <c r="AG199" s="15">
        <f>MAX(0,AF198*(1-INDEX($B$11:$B$63,21))*(1-E198))</f>
        <v/>
      </c>
      <c r="AH199" s="15">
        <f>MAX(0,AG198*(1-INDEX($B$11:$B$63,22))*(1-E198))</f>
        <v/>
      </c>
      <c r="AI199" s="15">
        <f>MAX(0,AH198*(1-INDEX($B$11:$B$63,23))*(1-E198))</f>
        <v/>
      </c>
      <c r="AJ199" s="15">
        <f>MAX(0,AI198*(1-INDEX($B$11:$B$63,24))*(1-E198))</f>
        <v/>
      </c>
      <c r="AK199" s="15">
        <f>MAX(0,AJ198*(1-INDEX($B$11:$B$63,25))*(1-E198))</f>
        <v/>
      </c>
      <c r="AL199" s="15">
        <f>MAX(0,AK198*(1-INDEX($B$11:$B$63,26))*(1-E198))</f>
        <v/>
      </c>
      <c r="AM199" s="15">
        <f>MAX(0,AL198*(1-INDEX($B$11:$B$63,27))*(1-E198))</f>
        <v/>
      </c>
      <c r="AN199" s="15">
        <f>MAX(0,AM198*(1-INDEX($B$11:$B$63,28))*(1-E198))</f>
        <v/>
      </c>
      <c r="AO199" s="15">
        <f>MAX(0,AN198*(1-INDEX($B$11:$B$63,29))*(1-E198))</f>
        <v/>
      </c>
      <c r="AP199" s="15">
        <f>MAX(0,AO198*(1-INDEX($B$11:$B$63,30))*(1-E198))</f>
        <v/>
      </c>
      <c r="AQ199" s="15">
        <f>MAX(0,AP198*(1-INDEX($B$11:$B$63,31))*(1-E198))</f>
        <v/>
      </c>
      <c r="AR199" s="15">
        <f>MAX(0,AQ198*(1-INDEX($B$11:$B$63,32))*(1-E198))</f>
        <v/>
      </c>
      <c r="AS199" s="15">
        <f>MAX(0,AR198*(1-INDEX($B$11:$B$63,33))*(1-E198))</f>
        <v/>
      </c>
      <c r="AT199" s="15">
        <f>MAX(0,AS198*(1-INDEX($B$11:$B$63,34))*(1-E198))</f>
        <v/>
      </c>
      <c r="AU199" s="15">
        <f>MAX(0,AT198*(1-INDEX($B$11:$B$63,35))*(1-E198))</f>
        <v/>
      </c>
      <c r="AV199" s="15">
        <f>MAX(0,AU198*(1-INDEX($B$11:$B$63,36))*(1-E198))</f>
        <v/>
      </c>
      <c r="AW199" s="15">
        <f>MAX(0,AV198*(1-INDEX($B$11:$B$63,37))*(1-E198))</f>
        <v/>
      </c>
      <c r="AX199" s="15">
        <f>MAX(0,AW198*(1-INDEX($B$11:$B$63,38))*(1-E198))</f>
        <v/>
      </c>
      <c r="AY199" s="15">
        <f>MAX(0,AX198*(1-INDEX($B$11:$B$63,39))*(1-E198))</f>
        <v/>
      </c>
      <c r="AZ199" s="15">
        <f>MAX(0,AY198*(1-INDEX($B$11:$B$63,40))*(1-E198))</f>
        <v/>
      </c>
      <c r="BA199" s="15">
        <f>MAX(0,AZ198*(1-INDEX($B$11:$B$63,41))*(1-E198))</f>
        <v/>
      </c>
      <c r="BB199" s="15">
        <f>MAX(0,BA198*(1-INDEX($B$11:$B$63,42))*(1-E198))</f>
        <v/>
      </c>
      <c r="BC199" s="15">
        <f>MAX(0,BB198*(1-INDEX($B$11:$B$63,43))*(1-E198))</f>
        <v/>
      </c>
      <c r="BD199" s="15">
        <f>MAX(0,BC198*(1-INDEX($B$11:$B$63,44))*(1-E198))</f>
        <v/>
      </c>
      <c r="BE199" s="15">
        <f>MAX(0,BD198*(1-INDEX($B$11:$B$63,45))*(1-E198))</f>
        <v/>
      </c>
      <c r="BF199" s="15">
        <f>MAX(0,BE198*(1-INDEX($B$11:$B$63,46))*(1-E198))</f>
        <v/>
      </c>
      <c r="BG199" s="15">
        <f>MAX(0,BF198*(1-INDEX($B$11:$B$63,47))*(1-E198))</f>
        <v/>
      </c>
      <c r="BH199" s="15">
        <f>MAX(0,BG198*(1-INDEX($B$11:$B$63,48))*(1-E198))</f>
        <v/>
      </c>
      <c r="BI199" s="15">
        <f>MAX(0,BH198*(1-INDEX($B$11:$B$63,49))*(1-E198))</f>
        <v/>
      </c>
      <c r="BJ199" s="15">
        <f>MAX(0,BI198*(1-INDEX($B$11:$B$63,50))*(1-E198))</f>
        <v/>
      </c>
      <c r="BK199" s="15">
        <f>MAX(0,BJ198*(1-INDEX($B$11:$B$63,51))*(1-E198))</f>
        <v/>
      </c>
      <c r="BL199" s="15">
        <f>MAX(0,(BL198+BK198)*(1-INDEX($B$11:$B$63,53))*(1-E198))</f>
        <v/>
      </c>
    </row>
    <row r="200">
      <c r="A200" s="55" t="n">
        <v>134</v>
      </c>
      <c r="B200" s="15">
        <f>IF(A200&gt;Inputs!$C$62,"",SUM(M200:BK200))</f>
        <v/>
      </c>
      <c r="C200" s="15">
        <f>IF(A200&gt;Inputs!$C$62,"",INDEX(Trajectory!$C$23:$C$2000,A200))</f>
        <v/>
      </c>
      <c r="D200" s="15">
        <f>IF(A200&gt;Inputs!$C$62,"",SUM(L200:BK200))</f>
        <v/>
      </c>
      <c r="E200" s="12">
        <f>IF(A200&gt;Inputs!$C$62,"",INDEX(Trajectory!$AG$23:$AG$2000,A200))</f>
        <v/>
      </c>
      <c r="F200" s="12">
        <f>IF(D200=0,0,SUMPRODUCT(L200:BK200,$B$11:$B$63)/D200)</f>
        <v/>
      </c>
      <c r="G200" s="12">
        <f>IF(D200=0,0,MIN(0.95,1-(1-F200)*(1-E200)))</f>
        <v/>
      </c>
      <c r="H200" s="15">
        <f>IF(D200=0,0,D200*G200)</f>
        <v/>
      </c>
      <c r="I200" s="15">
        <f>IF(D200=0,0,D200-H200)</f>
        <v/>
      </c>
      <c r="L200" s="15">
        <f>C200</f>
        <v/>
      </c>
      <c r="M200" s="15">
        <f>MAX(0,L199*(1-INDEX($B$11:$B$63,1))*(1-E199))</f>
        <v/>
      </c>
      <c r="N200" s="15">
        <f>MAX(0,M199*(1-INDEX($B$11:$B$63,2))*(1-E199))</f>
        <v/>
      </c>
      <c r="O200" s="15">
        <f>MAX(0,N199*(1-INDEX($B$11:$B$63,3))*(1-E199))</f>
        <v/>
      </c>
      <c r="P200" s="15">
        <f>MAX(0,O199*(1-INDEX($B$11:$B$63,4))*(1-E199))</f>
        <v/>
      </c>
      <c r="Q200" s="15">
        <f>MAX(0,P199*(1-INDEX($B$11:$B$63,5))*(1-E199))</f>
        <v/>
      </c>
      <c r="R200" s="15">
        <f>MAX(0,Q199*(1-INDEX($B$11:$B$63,6))*(1-E199))</f>
        <v/>
      </c>
      <c r="S200" s="15">
        <f>MAX(0,R199*(1-INDEX($B$11:$B$63,7))*(1-E199))</f>
        <v/>
      </c>
      <c r="T200" s="15">
        <f>MAX(0,S199*(1-INDEX($B$11:$B$63,8))*(1-E199))</f>
        <v/>
      </c>
      <c r="U200" s="15">
        <f>MAX(0,T199*(1-INDEX($B$11:$B$63,9))*(1-E199))</f>
        <v/>
      </c>
      <c r="V200" s="15">
        <f>MAX(0,U199*(1-INDEX($B$11:$B$63,10))*(1-E199))</f>
        <v/>
      </c>
      <c r="W200" s="15">
        <f>MAX(0,V199*(1-INDEX($B$11:$B$63,11))*(1-E199))</f>
        <v/>
      </c>
      <c r="X200" s="15">
        <f>MAX(0,W199*(1-INDEX($B$11:$B$63,12))*(1-E199))</f>
        <v/>
      </c>
      <c r="Y200" s="15">
        <f>MAX(0,X199*(1-INDEX($B$11:$B$63,13))*(1-E199))</f>
        <v/>
      </c>
      <c r="Z200" s="15">
        <f>MAX(0,Y199*(1-INDEX($B$11:$B$63,14))*(1-E199))</f>
        <v/>
      </c>
      <c r="AA200" s="15">
        <f>MAX(0,Z199*(1-INDEX($B$11:$B$63,15))*(1-E199))</f>
        <v/>
      </c>
      <c r="AB200" s="15">
        <f>MAX(0,AA199*(1-INDEX($B$11:$B$63,16))*(1-E199))</f>
        <v/>
      </c>
      <c r="AC200" s="15">
        <f>MAX(0,AB199*(1-INDEX($B$11:$B$63,17))*(1-E199))</f>
        <v/>
      </c>
      <c r="AD200" s="15">
        <f>MAX(0,AC199*(1-INDEX($B$11:$B$63,18))*(1-E199))</f>
        <v/>
      </c>
      <c r="AE200" s="15">
        <f>MAX(0,AD199*(1-INDEX($B$11:$B$63,19))*(1-E199))</f>
        <v/>
      </c>
      <c r="AF200" s="15">
        <f>MAX(0,AE199*(1-INDEX($B$11:$B$63,20))*(1-E199))</f>
        <v/>
      </c>
      <c r="AG200" s="15">
        <f>MAX(0,AF199*(1-INDEX($B$11:$B$63,21))*(1-E199))</f>
        <v/>
      </c>
      <c r="AH200" s="15">
        <f>MAX(0,AG199*(1-INDEX($B$11:$B$63,22))*(1-E199))</f>
        <v/>
      </c>
      <c r="AI200" s="15">
        <f>MAX(0,AH199*(1-INDEX($B$11:$B$63,23))*(1-E199))</f>
        <v/>
      </c>
      <c r="AJ200" s="15">
        <f>MAX(0,AI199*(1-INDEX($B$11:$B$63,24))*(1-E199))</f>
        <v/>
      </c>
      <c r="AK200" s="15">
        <f>MAX(0,AJ199*(1-INDEX($B$11:$B$63,25))*(1-E199))</f>
        <v/>
      </c>
      <c r="AL200" s="15">
        <f>MAX(0,AK199*(1-INDEX($B$11:$B$63,26))*(1-E199))</f>
        <v/>
      </c>
      <c r="AM200" s="15">
        <f>MAX(0,AL199*(1-INDEX($B$11:$B$63,27))*(1-E199))</f>
        <v/>
      </c>
      <c r="AN200" s="15">
        <f>MAX(0,AM199*(1-INDEX($B$11:$B$63,28))*(1-E199))</f>
        <v/>
      </c>
      <c r="AO200" s="15">
        <f>MAX(0,AN199*(1-INDEX($B$11:$B$63,29))*(1-E199))</f>
        <v/>
      </c>
      <c r="AP200" s="15">
        <f>MAX(0,AO199*(1-INDEX($B$11:$B$63,30))*(1-E199))</f>
        <v/>
      </c>
      <c r="AQ200" s="15">
        <f>MAX(0,AP199*(1-INDEX($B$11:$B$63,31))*(1-E199))</f>
        <v/>
      </c>
      <c r="AR200" s="15">
        <f>MAX(0,AQ199*(1-INDEX($B$11:$B$63,32))*(1-E199))</f>
        <v/>
      </c>
      <c r="AS200" s="15">
        <f>MAX(0,AR199*(1-INDEX($B$11:$B$63,33))*(1-E199))</f>
        <v/>
      </c>
      <c r="AT200" s="15">
        <f>MAX(0,AS199*(1-INDEX($B$11:$B$63,34))*(1-E199))</f>
        <v/>
      </c>
      <c r="AU200" s="15">
        <f>MAX(0,AT199*(1-INDEX($B$11:$B$63,35))*(1-E199))</f>
        <v/>
      </c>
      <c r="AV200" s="15">
        <f>MAX(0,AU199*(1-INDEX($B$11:$B$63,36))*(1-E199))</f>
        <v/>
      </c>
      <c r="AW200" s="15">
        <f>MAX(0,AV199*(1-INDEX($B$11:$B$63,37))*(1-E199))</f>
        <v/>
      </c>
      <c r="AX200" s="15">
        <f>MAX(0,AW199*(1-INDEX($B$11:$B$63,38))*(1-E199))</f>
        <v/>
      </c>
      <c r="AY200" s="15">
        <f>MAX(0,AX199*(1-INDEX($B$11:$B$63,39))*(1-E199))</f>
        <v/>
      </c>
      <c r="AZ200" s="15">
        <f>MAX(0,AY199*(1-INDEX($B$11:$B$63,40))*(1-E199))</f>
        <v/>
      </c>
      <c r="BA200" s="15">
        <f>MAX(0,AZ199*(1-INDEX($B$11:$B$63,41))*(1-E199))</f>
        <v/>
      </c>
      <c r="BB200" s="15">
        <f>MAX(0,BA199*(1-INDEX($B$11:$B$63,42))*(1-E199))</f>
        <v/>
      </c>
      <c r="BC200" s="15">
        <f>MAX(0,BB199*(1-INDEX($B$11:$B$63,43))*(1-E199))</f>
        <v/>
      </c>
      <c r="BD200" s="15">
        <f>MAX(0,BC199*(1-INDEX($B$11:$B$63,44))*(1-E199))</f>
        <v/>
      </c>
      <c r="BE200" s="15">
        <f>MAX(0,BD199*(1-INDEX($B$11:$B$63,45))*(1-E199))</f>
        <v/>
      </c>
      <c r="BF200" s="15">
        <f>MAX(0,BE199*(1-INDEX($B$11:$B$63,46))*(1-E199))</f>
        <v/>
      </c>
      <c r="BG200" s="15">
        <f>MAX(0,BF199*(1-INDEX($B$11:$B$63,47))*(1-E199))</f>
        <v/>
      </c>
      <c r="BH200" s="15">
        <f>MAX(0,BG199*(1-INDEX($B$11:$B$63,48))*(1-E199))</f>
        <v/>
      </c>
      <c r="BI200" s="15">
        <f>MAX(0,BH199*(1-INDEX($B$11:$B$63,49))*(1-E199))</f>
        <v/>
      </c>
      <c r="BJ200" s="15">
        <f>MAX(0,BI199*(1-INDEX($B$11:$B$63,50))*(1-E199))</f>
        <v/>
      </c>
      <c r="BK200" s="15">
        <f>MAX(0,BJ199*(1-INDEX($B$11:$B$63,51))*(1-E199))</f>
        <v/>
      </c>
      <c r="BL200" s="15">
        <f>MAX(0,(BL199+BK199)*(1-INDEX($B$11:$B$63,53))*(1-E199))</f>
        <v/>
      </c>
    </row>
    <row r="201">
      <c r="A201" s="55" t="n">
        <v>135</v>
      </c>
      <c r="B201" s="15">
        <f>IF(A201&gt;Inputs!$C$62,"",SUM(M201:BK201))</f>
        <v/>
      </c>
      <c r="C201" s="15">
        <f>IF(A201&gt;Inputs!$C$62,"",INDEX(Trajectory!$C$23:$C$2000,A201))</f>
        <v/>
      </c>
      <c r="D201" s="15">
        <f>IF(A201&gt;Inputs!$C$62,"",SUM(L201:BK201))</f>
        <v/>
      </c>
      <c r="E201" s="12">
        <f>IF(A201&gt;Inputs!$C$62,"",INDEX(Trajectory!$AG$23:$AG$2000,A201))</f>
        <v/>
      </c>
      <c r="F201" s="12">
        <f>IF(D201=0,0,SUMPRODUCT(L201:BK201,$B$11:$B$63)/D201)</f>
        <v/>
      </c>
      <c r="G201" s="12">
        <f>IF(D201=0,0,MIN(0.95,1-(1-F201)*(1-E201)))</f>
        <v/>
      </c>
      <c r="H201" s="15">
        <f>IF(D201=0,0,D201*G201)</f>
        <v/>
      </c>
      <c r="I201" s="15">
        <f>IF(D201=0,0,D201-H201)</f>
        <v/>
      </c>
      <c r="L201" s="15">
        <f>C201</f>
        <v/>
      </c>
      <c r="M201" s="15">
        <f>MAX(0,L200*(1-INDEX($B$11:$B$63,1))*(1-E200))</f>
        <v/>
      </c>
      <c r="N201" s="15">
        <f>MAX(0,M200*(1-INDEX($B$11:$B$63,2))*(1-E200))</f>
        <v/>
      </c>
      <c r="O201" s="15">
        <f>MAX(0,N200*(1-INDEX($B$11:$B$63,3))*(1-E200))</f>
        <v/>
      </c>
      <c r="P201" s="15">
        <f>MAX(0,O200*(1-INDEX($B$11:$B$63,4))*(1-E200))</f>
        <v/>
      </c>
      <c r="Q201" s="15">
        <f>MAX(0,P200*(1-INDEX($B$11:$B$63,5))*(1-E200))</f>
        <v/>
      </c>
      <c r="R201" s="15">
        <f>MAX(0,Q200*(1-INDEX($B$11:$B$63,6))*(1-E200))</f>
        <v/>
      </c>
      <c r="S201" s="15">
        <f>MAX(0,R200*(1-INDEX($B$11:$B$63,7))*(1-E200))</f>
        <v/>
      </c>
      <c r="T201" s="15">
        <f>MAX(0,S200*(1-INDEX($B$11:$B$63,8))*(1-E200))</f>
        <v/>
      </c>
      <c r="U201" s="15">
        <f>MAX(0,T200*(1-INDEX($B$11:$B$63,9))*(1-E200))</f>
        <v/>
      </c>
      <c r="V201" s="15">
        <f>MAX(0,U200*(1-INDEX($B$11:$B$63,10))*(1-E200))</f>
        <v/>
      </c>
      <c r="W201" s="15">
        <f>MAX(0,V200*(1-INDEX($B$11:$B$63,11))*(1-E200))</f>
        <v/>
      </c>
      <c r="X201" s="15">
        <f>MAX(0,W200*(1-INDEX($B$11:$B$63,12))*(1-E200))</f>
        <v/>
      </c>
      <c r="Y201" s="15">
        <f>MAX(0,X200*(1-INDEX($B$11:$B$63,13))*(1-E200))</f>
        <v/>
      </c>
      <c r="Z201" s="15">
        <f>MAX(0,Y200*(1-INDEX($B$11:$B$63,14))*(1-E200))</f>
        <v/>
      </c>
      <c r="AA201" s="15">
        <f>MAX(0,Z200*(1-INDEX($B$11:$B$63,15))*(1-E200))</f>
        <v/>
      </c>
      <c r="AB201" s="15">
        <f>MAX(0,AA200*(1-INDEX($B$11:$B$63,16))*(1-E200))</f>
        <v/>
      </c>
      <c r="AC201" s="15">
        <f>MAX(0,AB200*(1-INDEX($B$11:$B$63,17))*(1-E200))</f>
        <v/>
      </c>
      <c r="AD201" s="15">
        <f>MAX(0,AC200*(1-INDEX($B$11:$B$63,18))*(1-E200))</f>
        <v/>
      </c>
      <c r="AE201" s="15">
        <f>MAX(0,AD200*(1-INDEX($B$11:$B$63,19))*(1-E200))</f>
        <v/>
      </c>
      <c r="AF201" s="15">
        <f>MAX(0,AE200*(1-INDEX($B$11:$B$63,20))*(1-E200))</f>
        <v/>
      </c>
      <c r="AG201" s="15">
        <f>MAX(0,AF200*(1-INDEX($B$11:$B$63,21))*(1-E200))</f>
        <v/>
      </c>
      <c r="AH201" s="15">
        <f>MAX(0,AG200*(1-INDEX($B$11:$B$63,22))*(1-E200))</f>
        <v/>
      </c>
      <c r="AI201" s="15">
        <f>MAX(0,AH200*(1-INDEX($B$11:$B$63,23))*(1-E200))</f>
        <v/>
      </c>
      <c r="AJ201" s="15">
        <f>MAX(0,AI200*(1-INDEX($B$11:$B$63,24))*(1-E200))</f>
        <v/>
      </c>
      <c r="AK201" s="15">
        <f>MAX(0,AJ200*(1-INDEX($B$11:$B$63,25))*(1-E200))</f>
        <v/>
      </c>
      <c r="AL201" s="15">
        <f>MAX(0,AK200*(1-INDEX($B$11:$B$63,26))*(1-E200))</f>
        <v/>
      </c>
      <c r="AM201" s="15">
        <f>MAX(0,AL200*(1-INDEX($B$11:$B$63,27))*(1-E200))</f>
        <v/>
      </c>
      <c r="AN201" s="15">
        <f>MAX(0,AM200*(1-INDEX($B$11:$B$63,28))*(1-E200))</f>
        <v/>
      </c>
      <c r="AO201" s="15">
        <f>MAX(0,AN200*(1-INDEX($B$11:$B$63,29))*(1-E200))</f>
        <v/>
      </c>
      <c r="AP201" s="15">
        <f>MAX(0,AO200*(1-INDEX($B$11:$B$63,30))*(1-E200))</f>
        <v/>
      </c>
      <c r="AQ201" s="15">
        <f>MAX(0,AP200*(1-INDEX($B$11:$B$63,31))*(1-E200))</f>
        <v/>
      </c>
      <c r="AR201" s="15">
        <f>MAX(0,AQ200*(1-INDEX($B$11:$B$63,32))*(1-E200))</f>
        <v/>
      </c>
      <c r="AS201" s="15">
        <f>MAX(0,AR200*(1-INDEX($B$11:$B$63,33))*(1-E200))</f>
        <v/>
      </c>
      <c r="AT201" s="15">
        <f>MAX(0,AS200*(1-INDEX($B$11:$B$63,34))*(1-E200))</f>
        <v/>
      </c>
      <c r="AU201" s="15">
        <f>MAX(0,AT200*(1-INDEX($B$11:$B$63,35))*(1-E200))</f>
        <v/>
      </c>
      <c r="AV201" s="15">
        <f>MAX(0,AU200*(1-INDEX($B$11:$B$63,36))*(1-E200))</f>
        <v/>
      </c>
      <c r="AW201" s="15">
        <f>MAX(0,AV200*(1-INDEX($B$11:$B$63,37))*(1-E200))</f>
        <v/>
      </c>
      <c r="AX201" s="15">
        <f>MAX(0,AW200*(1-INDEX($B$11:$B$63,38))*(1-E200))</f>
        <v/>
      </c>
      <c r="AY201" s="15">
        <f>MAX(0,AX200*(1-INDEX($B$11:$B$63,39))*(1-E200))</f>
        <v/>
      </c>
      <c r="AZ201" s="15">
        <f>MAX(0,AY200*(1-INDEX($B$11:$B$63,40))*(1-E200))</f>
        <v/>
      </c>
      <c r="BA201" s="15">
        <f>MAX(0,AZ200*(1-INDEX($B$11:$B$63,41))*(1-E200))</f>
        <v/>
      </c>
      <c r="BB201" s="15">
        <f>MAX(0,BA200*(1-INDEX($B$11:$B$63,42))*(1-E200))</f>
        <v/>
      </c>
      <c r="BC201" s="15">
        <f>MAX(0,BB200*(1-INDEX($B$11:$B$63,43))*(1-E200))</f>
        <v/>
      </c>
      <c r="BD201" s="15">
        <f>MAX(0,BC200*(1-INDEX($B$11:$B$63,44))*(1-E200))</f>
        <v/>
      </c>
      <c r="BE201" s="15">
        <f>MAX(0,BD200*(1-INDEX($B$11:$B$63,45))*(1-E200))</f>
        <v/>
      </c>
      <c r="BF201" s="15">
        <f>MAX(0,BE200*(1-INDEX($B$11:$B$63,46))*(1-E200))</f>
        <v/>
      </c>
      <c r="BG201" s="15">
        <f>MAX(0,BF200*(1-INDEX($B$11:$B$63,47))*(1-E200))</f>
        <v/>
      </c>
      <c r="BH201" s="15">
        <f>MAX(0,BG200*(1-INDEX($B$11:$B$63,48))*(1-E200))</f>
        <v/>
      </c>
      <c r="BI201" s="15">
        <f>MAX(0,BH200*(1-INDEX($B$11:$B$63,49))*(1-E200))</f>
        <v/>
      </c>
      <c r="BJ201" s="15">
        <f>MAX(0,BI200*(1-INDEX($B$11:$B$63,50))*(1-E200))</f>
        <v/>
      </c>
      <c r="BK201" s="15">
        <f>MAX(0,BJ200*(1-INDEX($B$11:$B$63,51))*(1-E200))</f>
        <v/>
      </c>
      <c r="BL201" s="15">
        <f>MAX(0,(BL200+BK200)*(1-INDEX($B$11:$B$63,53))*(1-E200))</f>
        <v/>
      </c>
    </row>
    <row r="202">
      <c r="A202" s="55" t="n">
        <v>136</v>
      </c>
      <c r="B202" s="15">
        <f>IF(A202&gt;Inputs!$C$62,"",SUM(M202:BK202))</f>
        <v/>
      </c>
      <c r="C202" s="15">
        <f>IF(A202&gt;Inputs!$C$62,"",INDEX(Trajectory!$C$23:$C$2000,A202))</f>
        <v/>
      </c>
      <c r="D202" s="15">
        <f>IF(A202&gt;Inputs!$C$62,"",SUM(L202:BK202))</f>
        <v/>
      </c>
      <c r="E202" s="12">
        <f>IF(A202&gt;Inputs!$C$62,"",INDEX(Trajectory!$AG$23:$AG$2000,A202))</f>
        <v/>
      </c>
      <c r="F202" s="12">
        <f>IF(D202=0,0,SUMPRODUCT(L202:BK202,$B$11:$B$63)/D202)</f>
        <v/>
      </c>
      <c r="G202" s="12">
        <f>IF(D202=0,0,MIN(0.95,1-(1-F202)*(1-E202)))</f>
        <v/>
      </c>
      <c r="H202" s="15">
        <f>IF(D202=0,0,D202*G202)</f>
        <v/>
      </c>
      <c r="I202" s="15">
        <f>IF(D202=0,0,D202-H202)</f>
        <v/>
      </c>
      <c r="L202" s="15">
        <f>C202</f>
        <v/>
      </c>
      <c r="M202" s="15">
        <f>MAX(0,L201*(1-INDEX($B$11:$B$63,1))*(1-E201))</f>
        <v/>
      </c>
      <c r="N202" s="15">
        <f>MAX(0,M201*(1-INDEX($B$11:$B$63,2))*(1-E201))</f>
        <v/>
      </c>
      <c r="O202" s="15">
        <f>MAX(0,N201*(1-INDEX($B$11:$B$63,3))*(1-E201))</f>
        <v/>
      </c>
      <c r="P202" s="15">
        <f>MAX(0,O201*(1-INDEX($B$11:$B$63,4))*(1-E201))</f>
        <v/>
      </c>
      <c r="Q202" s="15">
        <f>MAX(0,P201*(1-INDEX($B$11:$B$63,5))*(1-E201))</f>
        <v/>
      </c>
      <c r="R202" s="15">
        <f>MAX(0,Q201*(1-INDEX($B$11:$B$63,6))*(1-E201))</f>
        <v/>
      </c>
      <c r="S202" s="15">
        <f>MAX(0,R201*(1-INDEX($B$11:$B$63,7))*(1-E201))</f>
        <v/>
      </c>
      <c r="T202" s="15">
        <f>MAX(0,S201*(1-INDEX($B$11:$B$63,8))*(1-E201))</f>
        <v/>
      </c>
      <c r="U202" s="15">
        <f>MAX(0,T201*(1-INDEX($B$11:$B$63,9))*(1-E201))</f>
        <v/>
      </c>
      <c r="V202" s="15">
        <f>MAX(0,U201*(1-INDEX($B$11:$B$63,10))*(1-E201))</f>
        <v/>
      </c>
      <c r="W202" s="15">
        <f>MAX(0,V201*(1-INDEX($B$11:$B$63,11))*(1-E201))</f>
        <v/>
      </c>
      <c r="X202" s="15">
        <f>MAX(0,W201*(1-INDEX($B$11:$B$63,12))*(1-E201))</f>
        <v/>
      </c>
      <c r="Y202" s="15">
        <f>MAX(0,X201*(1-INDEX($B$11:$B$63,13))*(1-E201))</f>
        <v/>
      </c>
      <c r="Z202" s="15">
        <f>MAX(0,Y201*(1-INDEX($B$11:$B$63,14))*(1-E201))</f>
        <v/>
      </c>
      <c r="AA202" s="15">
        <f>MAX(0,Z201*(1-INDEX($B$11:$B$63,15))*(1-E201))</f>
        <v/>
      </c>
      <c r="AB202" s="15">
        <f>MAX(0,AA201*(1-INDEX($B$11:$B$63,16))*(1-E201))</f>
        <v/>
      </c>
      <c r="AC202" s="15">
        <f>MAX(0,AB201*(1-INDEX($B$11:$B$63,17))*(1-E201))</f>
        <v/>
      </c>
      <c r="AD202" s="15">
        <f>MAX(0,AC201*(1-INDEX($B$11:$B$63,18))*(1-E201))</f>
        <v/>
      </c>
      <c r="AE202" s="15">
        <f>MAX(0,AD201*(1-INDEX($B$11:$B$63,19))*(1-E201))</f>
        <v/>
      </c>
      <c r="AF202" s="15">
        <f>MAX(0,AE201*(1-INDEX($B$11:$B$63,20))*(1-E201))</f>
        <v/>
      </c>
      <c r="AG202" s="15">
        <f>MAX(0,AF201*(1-INDEX($B$11:$B$63,21))*(1-E201))</f>
        <v/>
      </c>
      <c r="AH202" s="15">
        <f>MAX(0,AG201*(1-INDEX($B$11:$B$63,22))*(1-E201))</f>
        <v/>
      </c>
      <c r="AI202" s="15">
        <f>MAX(0,AH201*(1-INDEX($B$11:$B$63,23))*(1-E201))</f>
        <v/>
      </c>
      <c r="AJ202" s="15">
        <f>MAX(0,AI201*(1-INDEX($B$11:$B$63,24))*(1-E201))</f>
        <v/>
      </c>
      <c r="AK202" s="15">
        <f>MAX(0,AJ201*(1-INDEX($B$11:$B$63,25))*(1-E201))</f>
        <v/>
      </c>
      <c r="AL202" s="15">
        <f>MAX(0,AK201*(1-INDEX($B$11:$B$63,26))*(1-E201))</f>
        <v/>
      </c>
      <c r="AM202" s="15">
        <f>MAX(0,AL201*(1-INDEX($B$11:$B$63,27))*(1-E201))</f>
        <v/>
      </c>
      <c r="AN202" s="15">
        <f>MAX(0,AM201*(1-INDEX($B$11:$B$63,28))*(1-E201))</f>
        <v/>
      </c>
      <c r="AO202" s="15">
        <f>MAX(0,AN201*(1-INDEX($B$11:$B$63,29))*(1-E201))</f>
        <v/>
      </c>
      <c r="AP202" s="15">
        <f>MAX(0,AO201*(1-INDEX($B$11:$B$63,30))*(1-E201))</f>
        <v/>
      </c>
      <c r="AQ202" s="15">
        <f>MAX(0,AP201*(1-INDEX($B$11:$B$63,31))*(1-E201))</f>
        <v/>
      </c>
      <c r="AR202" s="15">
        <f>MAX(0,AQ201*(1-INDEX($B$11:$B$63,32))*(1-E201))</f>
        <v/>
      </c>
      <c r="AS202" s="15">
        <f>MAX(0,AR201*(1-INDEX($B$11:$B$63,33))*(1-E201))</f>
        <v/>
      </c>
      <c r="AT202" s="15">
        <f>MAX(0,AS201*(1-INDEX($B$11:$B$63,34))*(1-E201))</f>
        <v/>
      </c>
      <c r="AU202" s="15">
        <f>MAX(0,AT201*(1-INDEX($B$11:$B$63,35))*(1-E201))</f>
        <v/>
      </c>
      <c r="AV202" s="15">
        <f>MAX(0,AU201*(1-INDEX($B$11:$B$63,36))*(1-E201))</f>
        <v/>
      </c>
      <c r="AW202" s="15">
        <f>MAX(0,AV201*(1-INDEX($B$11:$B$63,37))*(1-E201))</f>
        <v/>
      </c>
      <c r="AX202" s="15">
        <f>MAX(0,AW201*(1-INDEX($B$11:$B$63,38))*(1-E201))</f>
        <v/>
      </c>
      <c r="AY202" s="15">
        <f>MAX(0,AX201*(1-INDEX($B$11:$B$63,39))*(1-E201))</f>
        <v/>
      </c>
      <c r="AZ202" s="15">
        <f>MAX(0,AY201*(1-INDEX($B$11:$B$63,40))*(1-E201))</f>
        <v/>
      </c>
      <c r="BA202" s="15">
        <f>MAX(0,AZ201*(1-INDEX($B$11:$B$63,41))*(1-E201))</f>
        <v/>
      </c>
      <c r="BB202" s="15">
        <f>MAX(0,BA201*(1-INDEX($B$11:$B$63,42))*(1-E201))</f>
        <v/>
      </c>
      <c r="BC202" s="15">
        <f>MAX(0,BB201*(1-INDEX($B$11:$B$63,43))*(1-E201))</f>
        <v/>
      </c>
      <c r="BD202" s="15">
        <f>MAX(0,BC201*(1-INDEX($B$11:$B$63,44))*(1-E201))</f>
        <v/>
      </c>
      <c r="BE202" s="15">
        <f>MAX(0,BD201*(1-INDEX($B$11:$B$63,45))*(1-E201))</f>
        <v/>
      </c>
      <c r="BF202" s="15">
        <f>MAX(0,BE201*(1-INDEX($B$11:$B$63,46))*(1-E201))</f>
        <v/>
      </c>
      <c r="BG202" s="15">
        <f>MAX(0,BF201*(1-INDEX($B$11:$B$63,47))*(1-E201))</f>
        <v/>
      </c>
      <c r="BH202" s="15">
        <f>MAX(0,BG201*(1-INDEX($B$11:$B$63,48))*(1-E201))</f>
        <v/>
      </c>
      <c r="BI202" s="15">
        <f>MAX(0,BH201*(1-INDEX($B$11:$B$63,49))*(1-E201))</f>
        <v/>
      </c>
      <c r="BJ202" s="15">
        <f>MAX(0,BI201*(1-INDEX($B$11:$B$63,50))*(1-E201))</f>
        <v/>
      </c>
      <c r="BK202" s="15">
        <f>MAX(0,BJ201*(1-INDEX($B$11:$B$63,51))*(1-E201))</f>
        <v/>
      </c>
      <c r="BL202" s="15">
        <f>MAX(0,(BL201+BK201)*(1-INDEX($B$11:$B$63,53))*(1-E201))</f>
        <v/>
      </c>
    </row>
    <row r="203">
      <c r="A203" s="55" t="n">
        <v>137</v>
      </c>
      <c r="B203" s="15">
        <f>IF(A203&gt;Inputs!$C$62,"",SUM(M203:BK203))</f>
        <v/>
      </c>
      <c r="C203" s="15">
        <f>IF(A203&gt;Inputs!$C$62,"",INDEX(Trajectory!$C$23:$C$2000,A203))</f>
        <v/>
      </c>
      <c r="D203" s="15">
        <f>IF(A203&gt;Inputs!$C$62,"",SUM(L203:BK203))</f>
        <v/>
      </c>
      <c r="E203" s="12">
        <f>IF(A203&gt;Inputs!$C$62,"",INDEX(Trajectory!$AG$23:$AG$2000,A203))</f>
        <v/>
      </c>
      <c r="F203" s="12">
        <f>IF(D203=0,0,SUMPRODUCT(L203:BK203,$B$11:$B$63)/D203)</f>
        <v/>
      </c>
      <c r="G203" s="12">
        <f>IF(D203=0,0,MIN(0.95,1-(1-F203)*(1-E203)))</f>
        <v/>
      </c>
      <c r="H203" s="15">
        <f>IF(D203=0,0,D203*G203)</f>
        <v/>
      </c>
      <c r="I203" s="15">
        <f>IF(D203=0,0,D203-H203)</f>
        <v/>
      </c>
      <c r="L203" s="15">
        <f>C203</f>
        <v/>
      </c>
      <c r="M203" s="15">
        <f>MAX(0,L202*(1-INDEX($B$11:$B$63,1))*(1-E202))</f>
        <v/>
      </c>
      <c r="N203" s="15">
        <f>MAX(0,M202*(1-INDEX($B$11:$B$63,2))*(1-E202))</f>
        <v/>
      </c>
      <c r="O203" s="15">
        <f>MAX(0,N202*(1-INDEX($B$11:$B$63,3))*(1-E202))</f>
        <v/>
      </c>
      <c r="P203" s="15">
        <f>MAX(0,O202*(1-INDEX($B$11:$B$63,4))*(1-E202))</f>
        <v/>
      </c>
      <c r="Q203" s="15">
        <f>MAX(0,P202*(1-INDEX($B$11:$B$63,5))*(1-E202))</f>
        <v/>
      </c>
      <c r="R203" s="15">
        <f>MAX(0,Q202*(1-INDEX($B$11:$B$63,6))*(1-E202))</f>
        <v/>
      </c>
      <c r="S203" s="15">
        <f>MAX(0,R202*(1-INDEX($B$11:$B$63,7))*(1-E202))</f>
        <v/>
      </c>
      <c r="T203" s="15">
        <f>MAX(0,S202*(1-INDEX($B$11:$B$63,8))*(1-E202))</f>
        <v/>
      </c>
      <c r="U203" s="15">
        <f>MAX(0,T202*(1-INDEX($B$11:$B$63,9))*(1-E202))</f>
        <v/>
      </c>
      <c r="V203" s="15">
        <f>MAX(0,U202*(1-INDEX($B$11:$B$63,10))*(1-E202))</f>
        <v/>
      </c>
      <c r="W203" s="15">
        <f>MAX(0,V202*(1-INDEX($B$11:$B$63,11))*(1-E202))</f>
        <v/>
      </c>
      <c r="X203" s="15">
        <f>MAX(0,W202*(1-INDEX($B$11:$B$63,12))*(1-E202))</f>
        <v/>
      </c>
      <c r="Y203" s="15">
        <f>MAX(0,X202*(1-INDEX($B$11:$B$63,13))*(1-E202))</f>
        <v/>
      </c>
      <c r="Z203" s="15">
        <f>MAX(0,Y202*(1-INDEX($B$11:$B$63,14))*(1-E202))</f>
        <v/>
      </c>
      <c r="AA203" s="15">
        <f>MAX(0,Z202*(1-INDEX($B$11:$B$63,15))*(1-E202))</f>
        <v/>
      </c>
      <c r="AB203" s="15">
        <f>MAX(0,AA202*(1-INDEX($B$11:$B$63,16))*(1-E202))</f>
        <v/>
      </c>
      <c r="AC203" s="15">
        <f>MAX(0,AB202*(1-INDEX($B$11:$B$63,17))*(1-E202))</f>
        <v/>
      </c>
      <c r="AD203" s="15">
        <f>MAX(0,AC202*(1-INDEX($B$11:$B$63,18))*(1-E202))</f>
        <v/>
      </c>
      <c r="AE203" s="15">
        <f>MAX(0,AD202*(1-INDEX($B$11:$B$63,19))*(1-E202))</f>
        <v/>
      </c>
      <c r="AF203" s="15">
        <f>MAX(0,AE202*(1-INDEX($B$11:$B$63,20))*(1-E202))</f>
        <v/>
      </c>
      <c r="AG203" s="15">
        <f>MAX(0,AF202*(1-INDEX($B$11:$B$63,21))*(1-E202))</f>
        <v/>
      </c>
      <c r="AH203" s="15">
        <f>MAX(0,AG202*(1-INDEX($B$11:$B$63,22))*(1-E202))</f>
        <v/>
      </c>
      <c r="AI203" s="15">
        <f>MAX(0,AH202*(1-INDEX($B$11:$B$63,23))*(1-E202))</f>
        <v/>
      </c>
      <c r="AJ203" s="15">
        <f>MAX(0,AI202*(1-INDEX($B$11:$B$63,24))*(1-E202))</f>
        <v/>
      </c>
      <c r="AK203" s="15">
        <f>MAX(0,AJ202*(1-INDEX($B$11:$B$63,25))*(1-E202))</f>
        <v/>
      </c>
      <c r="AL203" s="15">
        <f>MAX(0,AK202*(1-INDEX($B$11:$B$63,26))*(1-E202))</f>
        <v/>
      </c>
      <c r="AM203" s="15">
        <f>MAX(0,AL202*(1-INDEX($B$11:$B$63,27))*(1-E202))</f>
        <v/>
      </c>
      <c r="AN203" s="15">
        <f>MAX(0,AM202*(1-INDEX($B$11:$B$63,28))*(1-E202))</f>
        <v/>
      </c>
      <c r="AO203" s="15">
        <f>MAX(0,AN202*(1-INDEX($B$11:$B$63,29))*(1-E202))</f>
        <v/>
      </c>
      <c r="AP203" s="15">
        <f>MAX(0,AO202*(1-INDEX($B$11:$B$63,30))*(1-E202))</f>
        <v/>
      </c>
      <c r="AQ203" s="15">
        <f>MAX(0,AP202*(1-INDEX($B$11:$B$63,31))*(1-E202))</f>
        <v/>
      </c>
      <c r="AR203" s="15">
        <f>MAX(0,AQ202*(1-INDEX($B$11:$B$63,32))*(1-E202))</f>
        <v/>
      </c>
      <c r="AS203" s="15">
        <f>MAX(0,AR202*(1-INDEX($B$11:$B$63,33))*(1-E202))</f>
        <v/>
      </c>
      <c r="AT203" s="15">
        <f>MAX(0,AS202*(1-INDEX($B$11:$B$63,34))*(1-E202))</f>
        <v/>
      </c>
      <c r="AU203" s="15">
        <f>MAX(0,AT202*(1-INDEX($B$11:$B$63,35))*(1-E202))</f>
        <v/>
      </c>
      <c r="AV203" s="15">
        <f>MAX(0,AU202*(1-INDEX($B$11:$B$63,36))*(1-E202))</f>
        <v/>
      </c>
      <c r="AW203" s="15">
        <f>MAX(0,AV202*(1-INDEX($B$11:$B$63,37))*(1-E202))</f>
        <v/>
      </c>
      <c r="AX203" s="15">
        <f>MAX(0,AW202*(1-INDEX($B$11:$B$63,38))*(1-E202))</f>
        <v/>
      </c>
      <c r="AY203" s="15">
        <f>MAX(0,AX202*(1-INDEX($B$11:$B$63,39))*(1-E202))</f>
        <v/>
      </c>
      <c r="AZ203" s="15">
        <f>MAX(0,AY202*(1-INDEX($B$11:$B$63,40))*(1-E202))</f>
        <v/>
      </c>
      <c r="BA203" s="15">
        <f>MAX(0,AZ202*(1-INDEX($B$11:$B$63,41))*(1-E202))</f>
        <v/>
      </c>
      <c r="BB203" s="15">
        <f>MAX(0,BA202*(1-INDEX($B$11:$B$63,42))*(1-E202))</f>
        <v/>
      </c>
      <c r="BC203" s="15">
        <f>MAX(0,BB202*(1-INDEX($B$11:$B$63,43))*(1-E202))</f>
        <v/>
      </c>
      <c r="BD203" s="15">
        <f>MAX(0,BC202*(1-INDEX($B$11:$B$63,44))*(1-E202))</f>
        <v/>
      </c>
      <c r="BE203" s="15">
        <f>MAX(0,BD202*(1-INDEX($B$11:$B$63,45))*(1-E202))</f>
        <v/>
      </c>
      <c r="BF203" s="15">
        <f>MAX(0,BE202*(1-INDEX($B$11:$B$63,46))*(1-E202))</f>
        <v/>
      </c>
      <c r="BG203" s="15">
        <f>MAX(0,BF202*(1-INDEX($B$11:$B$63,47))*(1-E202))</f>
        <v/>
      </c>
      <c r="BH203" s="15">
        <f>MAX(0,BG202*(1-INDEX($B$11:$B$63,48))*(1-E202))</f>
        <v/>
      </c>
      <c r="BI203" s="15">
        <f>MAX(0,BH202*(1-INDEX($B$11:$B$63,49))*(1-E202))</f>
        <v/>
      </c>
      <c r="BJ203" s="15">
        <f>MAX(0,BI202*(1-INDEX($B$11:$B$63,50))*(1-E202))</f>
        <v/>
      </c>
      <c r="BK203" s="15">
        <f>MAX(0,BJ202*(1-INDEX($B$11:$B$63,51))*(1-E202))</f>
        <v/>
      </c>
      <c r="BL203" s="15">
        <f>MAX(0,(BL202+BK202)*(1-INDEX($B$11:$B$63,53))*(1-E202))</f>
        <v/>
      </c>
    </row>
    <row r="204">
      <c r="A204" s="55" t="n">
        <v>138</v>
      </c>
      <c r="B204" s="15">
        <f>IF(A204&gt;Inputs!$C$62,"",SUM(M204:BK204))</f>
        <v/>
      </c>
      <c r="C204" s="15">
        <f>IF(A204&gt;Inputs!$C$62,"",INDEX(Trajectory!$C$23:$C$2000,A204))</f>
        <v/>
      </c>
      <c r="D204" s="15">
        <f>IF(A204&gt;Inputs!$C$62,"",SUM(L204:BK204))</f>
        <v/>
      </c>
      <c r="E204" s="12">
        <f>IF(A204&gt;Inputs!$C$62,"",INDEX(Trajectory!$AG$23:$AG$2000,A204))</f>
        <v/>
      </c>
      <c r="F204" s="12">
        <f>IF(D204=0,0,SUMPRODUCT(L204:BK204,$B$11:$B$63)/D204)</f>
        <v/>
      </c>
      <c r="G204" s="12">
        <f>IF(D204=0,0,MIN(0.95,1-(1-F204)*(1-E204)))</f>
        <v/>
      </c>
      <c r="H204" s="15">
        <f>IF(D204=0,0,D204*G204)</f>
        <v/>
      </c>
      <c r="I204" s="15">
        <f>IF(D204=0,0,D204-H204)</f>
        <v/>
      </c>
      <c r="L204" s="15">
        <f>C204</f>
        <v/>
      </c>
      <c r="M204" s="15">
        <f>MAX(0,L203*(1-INDEX($B$11:$B$63,1))*(1-E203))</f>
        <v/>
      </c>
      <c r="N204" s="15">
        <f>MAX(0,M203*(1-INDEX($B$11:$B$63,2))*(1-E203))</f>
        <v/>
      </c>
      <c r="O204" s="15">
        <f>MAX(0,N203*(1-INDEX($B$11:$B$63,3))*(1-E203))</f>
        <v/>
      </c>
      <c r="P204" s="15">
        <f>MAX(0,O203*(1-INDEX($B$11:$B$63,4))*(1-E203))</f>
        <v/>
      </c>
      <c r="Q204" s="15">
        <f>MAX(0,P203*(1-INDEX($B$11:$B$63,5))*(1-E203))</f>
        <v/>
      </c>
      <c r="R204" s="15">
        <f>MAX(0,Q203*(1-INDEX($B$11:$B$63,6))*(1-E203))</f>
        <v/>
      </c>
      <c r="S204" s="15">
        <f>MAX(0,R203*(1-INDEX($B$11:$B$63,7))*(1-E203))</f>
        <v/>
      </c>
      <c r="T204" s="15">
        <f>MAX(0,S203*(1-INDEX($B$11:$B$63,8))*(1-E203))</f>
        <v/>
      </c>
      <c r="U204" s="15">
        <f>MAX(0,T203*(1-INDEX($B$11:$B$63,9))*(1-E203))</f>
        <v/>
      </c>
      <c r="V204" s="15">
        <f>MAX(0,U203*(1-INDEX($B$11:$B$63,10))*(1-E203))</f>
        <v/>
      </c>
      <c r="W204" s="15">
        <f>MAX(0,V203*(1-INDEX($B$11:$B$63,11))*(1-E203))</f>
        <v/>
      </c>
      <c r="X204" s="15">
        <f>MAX(0,W203*(1-INDEX($B$11:$B$63,12))*(1-E203))</f>
        <v/>
      </c>
      <c r="Y204" s="15">
        <f>MAX(0,X203*(1-INDEX($B$11:$B$63,13))*(1-E203))</f>
        <v/>
      </c>
      <c r="Z204" s="15">
        <f>MAX(0,Y203*(1-INDEX($B$11:$B$63,14))*(1-E203))</f>
        <v/>
      </c>
      <c r="AA204" s="15">
        <f>MAX(0,Z203*(1-INDEX($B$11:$B$63,15))*(1-E203))</f>
        <v/>
      </c>
      <c r="AB204" s="15">
        <f>MAX(0,AA203*(1-INDEX($B$11:$B$63,16))*(1-E203))</f>
        <v/>
      </c>
      <c r="AC204" s="15">
        <f>MAX(0,AB203*(1-INDEX($B$11:$B$63,17))*(1-E203))</f>
        <v/>
      </c>
      <c r="AD204" s="15">
        <f>MAX(0,AC203*(1-INDEX($B$11:$B$63,18))*(1-E203))</f>
        <v/>
      </c>
      <c r="AE204" s="15">
        <f>MAX(0,AD203*(1-INDEX($B$11:$B$63,19))*(1-E203))</f>
        <v/>
      </c>
      <c r="AF204" s="15">
        <f>MAX(0,AE203*(1-INDEX($B$11:$B$63,20))*(1-E203))</f>
        <v/>
      </c>
      <c r="AG204" s="15">
        <f>MAX(0,AF203*(1-INDEX($B$11:$B$63,21))*(1-E203))</f>
        <v/>
      </c>
      <c r="AH204" s="15">
        <f>MAX(0,AG203*(1-INDEX($B$11:$B$63,22))*(1-E203))</f>
        <v/>
      </c>
      <c r="AI204" s="15">
        <f>MAX(0,AH203*(1-INDEX($B$11:$B$63,23))*(1-E203))</f>
        <v/>
      </c>
      <c r="AJ204" s="15">
        <f>MAX(0,AI203*(1-INDEX($B$11:$B$63,24))*(1-E203))</f>
        <v/>
      </c>
      <c r="AK204" s="15">
        <f>MAX(0,AJ203*(1-INDEX($B$11:$B$63,25))*(1-E203))</f>
        <v/>
      </c>
      <c r="AL204" s="15">
        <f>MAX(0,AK203*(1-INDEX($B$11:$B$63,26))*(1-E203))</f>
        <v/>
      </c>
      <c r="AM204" s="15">
        <f>MAX(0,AL203*(1-INDEX($B$11:$B$63,27))*(1-E203))</f>
        <v/>
      </c>
      <c r="AN204" s="15">
        <f>MAX(0,AM203*(1-INDEX($B$11:$B$63,28))*(1-E203))</f>
        <v/>
      </c>
      <c r="AO204" s="15">
        <f>MAX(0,AN203*(1-INDEX($B$11:$B$63,29))*(1-E203))</f>
        <v/>
      </c>
      <c r="AP204" s="15">
        <f>MAX(0,AO203*(1-INDEX($B$11:$B$63,30))*(1-E203))</f>
        <v/>
      </c>
      <c r="AQ204" s="15">
        <f>MAX(0,AP203*(1-INDEX($B$11:$B$63,31))*(1-E203))</f>
        <v/>
      </c>
      <c r="AR204" s="15">
        <f>MAX(0,AQ203*(1-INDEX($B$11:$B$63,32))*(1-E203))</f>
        <v/>
      </c>
      <c r="AS204" s="15">
        <f>MAX(0,AR203*(1-INDEX($B$11:$B$63,33))*(1-E203))</f>
        <v/>
      </c>
      <c r="AT204" s="15">
        <f>MAX(0,AS203*(1-INDEX($B$11:$B$63,34))*(1-E203))</f>
        <v/>
      </c>
      <c r="AU204" s="15">
        <f>MAX(0,AT203*(1-INDEX($B$11:$B$63,35))*(1-E203))</f>
        <v/>
      </c>
      <c r="AV204" s="15">
        <f>MAX(0,AU203*(1-INDEX($B$11:$B$63,36))*(1-E203))</f>
        <v/>
      </c>
      <c r="AW204" s="15">
        <f>MAX(0,AV203*(1-INDEX($B$11:$B$63,37))*(1-E203))</f>
        <v/>
      </c>
      <c r="AX204" s="15">
        <f>MAX(0,AW203*(1-INDEX($B$11:$B$63,38))*(1-E203))</f>
        <v/>
      </c>
      <c r="AY204" s="15">
        <f>MAX(0,AX203*(1-INDEX($B$11:$B$63,39))*(1-E203))</f>
        <v/>
      </c>
      <c r="AZ204" s="15">
        <f>MAX(0,AY203*(1-INDEX($B$11:$B$63,40))*(1-E203))</f>
        <v/>
      </c>
      <c r="BA204" s="15">
        <f>MAX(0,AZ203*(1-INDEX($B$11:$B$63,41))*(1-E203))</f>
        <v/>
      </c>
      <c r="BB204" s="15">
        <f>MAX(0,BA203*(1-INDEX($B$11:$B$63,42))*(1-E203))</f>
        <v/>
      </c>
      <c r="BC204" s="15">
        <f>MAX(0,BB203*(1-INDEX($B$11:$B$63,43))*(1-E203))</f>
        <v/>
      </c>
      <c r="BD204" s="15">
        <f>MAX(0,BC203*(1-INDEX($B$11:$B$63,44))*(1-E203))</f>
        <v/>
      </c>
      <c r="BE204" s="15">
        <f>MAX(0,BD203*(1-INDEX($B$11:$B$63,45))*(1-E203))</f>
        <v/>
      </c>
      <c r="BF204" s="15">
        <f>MAX(0,BE203*(1-INDEX($B$11:$B$63,46))*(1-E203))</f>
        <v/>
      </c>
      <c r="BG204" s="15">
        <f>MAX(0,BF203*(1-INDEX($B$11:$B$63,47))*(1-E203))</f>
        <v/>
      </c>
      <c r="BH204" s="15">
        <f>MAX(0,BG203*(1-INDEX($B$11:$B$63,48))*(1-E203))</f>
        <v/>
      </c>
      <c r="BI204" s="15">
        <f>MAX(0,BH203*(1-INDEX($B$11:$B$63,49))*(1-E203))</f>
        <v/>
      </c>
      <c r="BJ204" s="15">
        <f>MAX(0,BI203*(1-INDEX($B$11:$B$63,50))*(1-E203))</f>
        <v/>
      </c>
      <c r="BK204" s="15">
        <f>MAX(0,BJ203*(1-INDEX($B$11:$B$63,51))*(1-E203))</f>
        <v/>
      </c>
      <c r="BL204" s="15">
        <f>MAX(0,(BL203+BK203)*(1-INDEX($B$11:$B$63,53))*(1-E203))</f>
        <v/>
      </c>
    </row>
    <row r="205">
      <c r="A205" s="55" t="n">
        <v>139</v>
      </c>
      <c r="B205" s="15">
        <f>IF(A205&gt;Inputs!$C$62,"",SUM(M205:BK205))</f>
        <v/>
      </c>
      <c r="C205" s="15">
        <f>IF(A205&gt;Inputs!$C$62,"",INDEX(Trajectory!$C$23:$C$2000,A205))</f>
        <v/>
      </c>
      <c r="D205" s="15">
        <f>IF(A205&gt;Inputs!$C$62,"",SUM(L205:BK205))</f>
        <v/>
      </c>
      <c r="E205" s="12">
        <f>IF(A205&gt;Inputs!$C$62,"",INDEX(Trajectory!$AG$23:$AG$2000,A205))</f>
        <v/>
      </c>
      <c r="F205" s="12">
        <f>IF(D205=0,0,SUMPRODUCT(L205:BK205,$B$11:$B$63)/D205)</f>
        <v/>
      </c>
      <c r="G205" s="12">
        <f>IF(D205=0,0,MIN(0.95,1-(1-F205)*(1-E205)))</f>
        <v/>
      </c>
      <c r="H205" s="15">
        <f>IF(D205=0,0,D205*G205)</f>
        <v/>
      </c>
      <c r="I205" s="15">
        <f>IF(D205=0,0,D205-H205)</f>
        <v/>
      </c>
      <c r="L205" s="15">
        <f>C205</f>
        <v/>
      </c>
      <c r="M205" s="15">
        <f>MAX(0,L204*(1-INDEX($B$11:$B$63,1))*(1-E204))</f>
        <v/>
      </c>
      <c r="N205" s="15">
        <f>MAX(0,M204*(1-INDEX($B$11:$B$63,2))*(1-E204))</f>
        <v/>
      </c>
      <c r="O205" s="15">
        <f>MAX(0,N204*(1-INDEX($B$11:$B$63,3))*(1-E204))</f>
        <v/>
      </c>
      <c r="P205" s="15">
        <f>MAX(0,O204*(1-INDEX($B$11:$B$63,4))*(1-E204))</f>
        <v/>
      </c>
      <c r="Q205" s="15">
        <f>MAX(0,P204*(1-INDEX($B$11:$B$63,5))*(1-E204))</f>
        <v/>
      </c>
      <c r="R205" s="15">
        <f>MAX(0,Q204*(1-INDEX($B$11:$B$63,6))*(1-E204))</f>
        <v/>
      </c>
      <c r="S205" s="15">
        <f>MAX(0,R204*(1-INDEX($B$11:$B$63,7))*(1-E204))</f>
        <v/>
      </c>
      <c r="T205" s="15">
        <f>MAX(0,S204*(1-INDEX($B$11:$B$63,8))*(1-E204))</f>
        <v/>
      </c>
      <c r="U205" s="15">
        <f>MAX(0,T204*(1-INDEX($B$11:$B$63,9))*(1-E204))</f>
        <v/>
      </c>
      <c r="V205" s="15">
        <f>MAX(0,U204*(1-INDEX($B$11:$B$63,10))*(1-E204))</f>
        <v/>
      </c>
      <c r="W205" s="15">
        <f>MAX(0,V204*(1-INDEX($B$11:$B$63,11))*(1-E204))</f>
        <v/>
      </c>
      <c r="X205" s="15">
        <f>MAX(0,W204*(1-INDEX($B$11:$B$63,12))*(1-E204))</f>
        <v/>
      </c>
      <c r="Y205" s="15">
        <f>MAX(0,X204*(1-INDEX($B$11:$B$63,13))*(1-E204))</f>
        <v/>
      </c>
      <c r="Z205" s="15">
        <f>MAX(0,Y204*(1-INDEX($B$11:$B$63,14))*(1-E204))</f>
        <v/>
      </c>
      <c r="AA205" s="15">
        <f>MAX(0,Z204*(1-INDEX($B$11:$B$63,15))*(1-E204))</f>
        <v/>
      </c>
      <c r="AB205" s="15">
        <f>MAX(0,AA204*(1-INDEX($B$11:$B$63,16))*(1-E204))</f>
        <v/>
      </c>
      <c r="AC205" s="15">
        <f>MAX(0,AB204*(1-INDEX($B$11:$B$63,17))*(1-E204))</f>
        <v/>
      </c>
      <c r="AD205" s="15">
        <f>MAX(0,AC204*(1-INDEX($B$11:$B$63,18))*(1-E204))</f>
        <v/>
      </c>
      <c r="AE205" s="15">
        <f>MAX(0,AD204*(1-INDEX($B$11:$B$63,19))*(1-E204))</f>
        <v/>
      </c>
      <c r="AF205" s="15">
        <f>MAX(0,AE204*(1-INDEX($B$11:$B$63,20))*(1-E204))</f>
        <v/>
      </c>
      <c r="AG205" s="15">
        <f>MAX(0,AF204*(1-INDEX($B$11:$B$63,21))*(1-E204))</f>
        <v/>
      </c>
      <c r="AH205" s="15">
        <f>MAX(0,AG204*(1-INDEX($B$11:$B$63,22))*(1-E204))</f>
        <v/>
      </c>
      <c r="AI205" s="15">
        <f>MAX(0,AH204*(1-INDEX($B$11:$B$63,23))*(1-E204))</f>
        <v/>
      </c>
      <c r="AJ205" s="15">
        <f>MAX(0,AI204*(1-INDEX($B$11:$B$63,24))*(1-E204))</f>
        <v/>
      </c>
      <c r="AK205" s="15">
        <f>MAX(0,AJ204*(1-INDEX($B$11:$B$63,25))*(1-E204))</f>
        <v/>
      </c>
      <c r="AL205" s="15">
        <f>MAX(0,AK204*(1-INDEX($B$11:$B$63,26))*(1-E204))</f>
        <v/>
      </c>
      <c r="AM205" s="15">
        <f>MAX(0,AL204*(1-INDEX($B$11:$B$63,27))*(1-E204))</f>
        <v/>
      </c>
      <c r="AN205" s="15">
        <f>MAX(0,AM204*(1-INDEX($B$11:$B$63,28))*(1-E204))</f>
        <v/>
      </c>
      <c r="AO205" s="15">
        <f>MAX(0,AN204*(1-INDEX($B$11:$B$63,29))*(1-E204))</f>
        <v/>
      </c>
      <c r="AP205" s="15">
        <f>MAX(0,AO204*(1-INDEX($B$11:$B$63,30))*(1-E204))</f>
        <v/>
      </c>
      <c r="AQ205" s="15">
        <f>MAX(0,AP204*(1-INDEX($B$11:$B$63,31))*(1-E204))</f>
        <v/>
      </c>
      <c r="AR205" s="15">
        <f>MAX(0,AQ204*(1-INDEX($B$11:$B$63,32))*(1-E204))</f>
        <v/>
      </c>
      <c r="AS205" s="15">
        <f>MAX(0,AR204*(1-INDEX($B$11:$B$63,33))*(1-E204))</f>
        <v/>
      </c>
      <c r="AT205" s="15">
        <f>MAX(0,AS204*(1-INDEX($B$11:$B$63,34))*(1-E204))</f>
        <v/>
      </c>
      <c r="AU205" s="15">
        <f>MAX(0,AT204*(1-INDEX($B$11:$B$63,35))*(1-E204))</f>
        <v/>
      </c>
      <c r="AV205" s="15">
        <f>MAX(0,AU204*(1-INDEX($B$11:$B$63,36))*(1-E204))</f>
        <v/>
      </c>
      <c r="AW205" s="15">
        <f>MAX(0,AV204*(1-INDEX($B$11:$B$63,37))*(1-E204))</f>
        <v/>
      </c>
      <c r="AX205" s="15">
        <f>MAX(0,AW204*(1-INDEX($B$11:$B$63,38))*(1-E204))</f>
        <v/>
      </c>
      <c r="AY205" s="15">
        <f>MAX(0,AX204*(1-INDEX($B$11:$B$63,39))*(1-E204))</f>
        <v/>
      </c>
      <c r="AZ205" s="15">
        <f>MAX(0,AY204*(1-INDEX($B$11:$B$63,40))*(1-E204))</f>
        <v/>
      </c>
      <c r="BA205" s="15">
        <f>MAX(0,AZ204*(1-INDEX($B$11:$B$63,41))*(1-E204))</f>
        <v/>
      </c>
      <c r="BB205" s="15">
        <f>MAX(0,BA204*(1-INDEX($B$11:$B$63,42))*(1-E204))</f>
        <v/>
      </c>
      <c r="BC205" s="15">
        <f>MAX(0,BB204*(1-INDEX($B$11:$B$63,43))*(1-E204))</f>
        <v/>
      </c>
      <c r="BD205" s="15">
        <f>MAX(0,BC204*(1-INDEX($B$11:$B$63,44))*(1-E204))</f>
        <v/>
      </c>
      <c r="BE205" s="15">
        <f>MAX(0,BD204*(1-INDEX($B$11:$B$63,45))*(1-E204))</f>
        <v/>
      </c>
      <c r="BF205" s="15">
        <f>MAX(0,BE204*(1-INDEX($B$11:$B$63,46))*(1-E204))</f>
        <v/>
      </c>
      <c r="BG205" s="15">
        <f>MAX(0,BF204*(1-INDEX($B$11:$B$63,47))*(1-E204))</f>
        <v/>
      </c>
      <c r="BH205" s="15">
        <f>MAX(0,BG204*(1-INDEX($B$11:$B$63,48))*(1-E204))</f>
        <v/>
      </c>
      <c r="BI205" s="15">
        <f>MAX(0,BH204*(1-INDEX($B$11:$B$63,49))*(1-E204))</f>
        <v/>
      </c>
      <c r="BJ205" s="15">
        <f>MAX(0,BI204*(1-INDEX($B$11:$B$63,50))*(1-E204))</f>
        <v/>
      </c>
      <c r="BK205" s="15">
        <f>MAX(0,BJ204*(1-INDEX($B$11:$B$63,51))*(1-E204))</f>
        <v/>
      </c>
      <c r="BL205" s="15">
        <f>MAX(0,(BL204+BK204)*(1-INDEX($B$11:$B$63,53))*(1-E204))</f>
        <v/>
      </c>
    </row>
    <row r="206">
      <c r="A206" s="55" t="n">
        <v>140</v>
      </c>
      <c r="B206" s="15">
        <f>IF(A206&gt;Inputs!$C$62,"",SUM(M206:BK206))</f>
        <v/>
      </c>
      <c r="C206" s="15">
        <f>IF(A206&gt;Inputs!$C$62,"",INDEX(Trajectory!$C$23:$C$2000,A206))</f>
        <v/>
      </c>
      <c r="D206" s="15">
        <f>IF(A206&gt;Inputs!$C$62,"",SUM(L206:BK206))</f>
        <v/>
      </c>
      <c r="E206" s="12">
        <f>IF(A206&gt;Inputs!$C$62,"",INDEX(Trajectory!$AG$23:$AG$2000,A206))</f>
        <v/>
      </c>
      <c r="F206" s="12">
        <f>IF(D206=0,0,SUMPRODUCT(L206:BK206,$B$11:$B$63)/D206)</f>
        <v/>
      </c>
      <c r="G206" s="12">
        <f>IF(D206=0,0,MIN(0.95,1-(1-F206)*(1-E206)))</f>
        <v/>
      </c>
      <c r="H206" s="15">
        <f>IF(D206=0,0,D206*G206)</f>
        <v/>
      </c>
      <c r="I206" s="15">
        <f>IF(D206=0,0,D206-H206)</f>
        <v/>
      </c>
      <c r="L206" s="15">
        <f>C206</f>
        <v/>
      </c>
      <c r="M206" s="15">
        <f>MAX(0,L205*(1-INDEX($B$11:$B$63,1))*(1-E205))</f>
        <v/>
      </c>
      <c r="N206" s="15">
        <f>MAX(0,M205*(1-INDEX($B$11:$B$63,2))*(1-E205))</f>
        <v/>
      </c>
      <c r="O206" s="15">
        <f>MAX(0,N205*(1-INDEX($B$11:$B$63,3))*(1-E205))</f>
        <v/>
      </c>
      <c r="P206" s="15">
        <f>MAX(0,O205*(1-INDEX($B$11:$B$63,4))*(1-E205))</f>
        <v/>
      </c>
      <c r="Q206" s="15">
        <f>MAX(0,P205*(1-INDEX($B$11:$B$63,5))*(1-E205))</f>
        <v/>
      </c>
      <c r="R206" s="15">
        <f>MAX(0,Q205*(1-INDEX($B$11:$B$63,6))*(1-E205))</f>
        <v/>
      </c>
      <c r="S206" s="15">
        <f>MAX(0,R205*(1-INDEX($B$11:$B$63,7))*(1-E205))</f>
        <v/>
      </c>
      <c r="T206" s="15">
        <f>MAX(0,S205*(1-INDEX($B$11:$B$63,8))*(1-E205))</f>
        <v/>
      </c>
      <c r="U206" s="15">
        <f>MAX(0,T205*(1-INDEX($B$11:$B$63,9))*(1-E205))</f>
        <v/>
      </c>
      <c r="V206" s="15">
        <f>MAX(0,U205*(1-INDEX($B$11:$B$63,10))*(1-E205))</f>
        <v/>
      </c>
      <c r="W206" s="15">
        <f>MAX(0,V205*(1-INDEX($B$11:$B$63,11))*(1-E205))</f>
        <v/>
      </c>
      <c r="X206" s="15">
        <f>MAX(0,W205*(1-INDEX($B$11:$B$63,12))*(1-E205))</f>
        <v/>
      </c>
      <c r="Y206" s="15">
        <f>MAX(0,X205*(1-INDEX($B$11:$B$63,13))*(1-E205))</f>
        <v/>
      </c>
      <c r="Z206" s="15">
        <f>MAX(0,Y205*(1-INDEX($B$11:$B$63,14))*(1-E205))</f>
        <v/>
      </c>
      <c r="AA206" s="15">
        <f>MAX(0,Z205*(1-INDEX($B$11:$B$63,15))*(1-E205))</f>
        <v/>
      </c>
      <c r="AB206" s="15">
        <f>MAX(0,AA205*(1-INDEX($B$11:$B$63,16))*(1-E205))</f>
        <v/>
      </c>
      <c r="AC206" s="15">
        <f>MAX(0,AB205*(1-INDEX($B$11:$B$63,17))*(1-E205))</f>
        <v/>
      </c>
      <c r="AD206" s="15">
        <f>MAX(0,AC205*(1-INDEX($B$11:$B$63,18))*(1-E205))</f>
        <v/>
      </c>
      <c r="AE206" s="15">
        <f>MAX(0,AD205*(1-INDEX($B$11:$B$63,19))*(1-E205))</f>
        <v/>
      </c>
      <c r="AF206" s="15">
        <f>MAX(0,AE205*(1-INDEX($B$11:$B$63,20))*(1-E205))</f>
        <v/>
      </c>
      <c r="AG206" s="15">
        <f>MAX(0,AF205*(1-INDEX($B$11:$B$63,21))*(1-E205))</f>
        <v/>
      </c>
      <c r="AH206" s="15">
        <f>MAX(0,AG205*(1-INDEX($B$11:$B$63,22))*(1-E205))</f>
        <v/>
      </c>
      <c r="AI206" s="15">
        <f>MAX(0,AH205*(1-INDEX($B$11:$B$63,23))*(1-E205))</f>
        <v/>
      </c>
      <c r="AJ206" s="15">
        <f>MAX(0,AI205*(1-INDEX($B$11:$B$63,24))*(1-E205))</f>
        <v/>
      </c>
      <c r="AK206" s="15">
        <f>MAX(0,AJ205*(1-INDEX($B$11:$B$63,25))*(1-E205))</f>
        <v/>
      </c>
      <c r="AL206" s="15">
        <f>MAX(0,AK205*(1-INDEX($B$11:$B$63,26))*(1-E205))</f>
        <v/>
      </c>
      <c r="AM206" s="15">
        <f>MAX(0,AL205*(1-INDEX($B$11:$B$63,27))*(1-E205))</f>
        <v/>
      </c>
      <c r="AN206" s="15">
        <f>MAX(0,AM205*(1-INDEX($B$11:$B$63,28))*(1-E205))</f>
        <v/>
      </c>
      <c r="AO206" s="15">
        <f>MAX(0,AN205*(1-INDEX($B$11:$B$63,29))*(1-E205))</f>
        <v/>
      </c>
      <c r="AP206" s="15">
        <f>MAX(0,AO205*(1-INDEX($B$11:$B$63,30))*(1-E205))</f>
        <v/>
      </c>
      <c r="AQ206" s="15">
        <f>MAX(0,AP205*(1-INDEX($B$11:$B$63,31))*(1-E205))</f>
        <v/>
      </c>
      <c r="AR206" s="15">
        <f>MAX(0,AQ205*(1-INDEX($B$11:$B$63,32))*(1-E205))</f>
        <v/>
      </c>
      <c r="AS206" s="15">
        <f>MAX(0,AR205*(1-INDEX($B$11:$B$63,33))*(1-E205))</f>
        <v/>
      </c>
      <c r="AT206" s="15">
        <f>MAX(0,AS205*(1-INDEX($B$11:$B$63,34))*(1-E205))</f>
        <v/>
      </c>
      <c r="AU206" s="15">
        <f>MAX(0,AT205*(1-INDEX($B$11:$B$63,35))*(1-E205))</f>
        <v/>
      </c>
      <c r="AV206" s="15">
        <f>MAX(0,AU205*(1-INDEX($B$11:$B$63,36))*(1-E205))</f>
        <v/>
      </c>
      <c r="AW206" s="15">
        <f>MAX(0,AV205*(1-INDEX($B$11:$B$63,37))*(1-E205))</f>
        <v/>
      </c>
      <c r="AX206" s="15">
        <f>MAX(0,AW205*(1-INDEX($B$11:$B$63,38))*(1-E205))</f>
        <v/>
      </c>
      <c r="AY206" s="15">
        <f>MAX(0,AX205*(1-INDEX($B$11:$B$63,39))*(1-E205))</f>
        <v/>
      </c>
      <c r="AZ206" s="15">
        <f>MAX(0,AY205*(1-INDEX($B$11:$B$63,40))*(1-E205))</f>
        <v/>
      </c>
      <c r="BA206" s="15">
        <f>MAX(0,AZ205*(1-INDEX($B$11:$B$63,41))*(1-E205))</f>
        <v/>
      </c>
      <c r="BB206" s="15">
        <f>MAX(0,BA205*(1-INDEX($B$11:$B$63,42))*(1-E205))</f>
        <v/>
      </c>
      <c r="BC206" s="15">
        <f>MAX(0,BB205*(1-INDEX($B$11:$B$63,43))*(1-E205))</f>
        <v/>
      </c>
      <c r="BD206" s="15">
        <f>MAX(0,BC205*(1-INDEX($B$11:$B$63,44))*(1-E205))</f>
        <v/>
      </c>
      <c r="BE206" s="15">
        <f>MAX(0,BD205*(1-INDEX($B$11:$B$63,45))*(1-E205))</f>
        <v/>
      </c>
      <c r="BF206" s="15">
        <f>MAX(0,BE205*(1-INDEX($B$11:$B$63,46))*(1-E205))</f>
        <v/>
      </c>
      <c r="BG206" s="15">
        <f>MAX(0,BF205*(1-INDEX($B$11:$B$63,47))*(1-E205))</f>
        <v/>
      </c>
      <c r="BH206" s="15">
        <f>MAX(0,BG205*(1-INDEX($B$11:$B$63,48))*(1-E205))</f>
        <v/>
      </c>
      <c r="BI206" s="15">
        <f>MAX(0,BH205*(1-INDEX($B$11:$B$63,49))*(1-E205))</f>
        <v/>
      </c>
      <c r="BJ206" s="15">
        <f>MAX(0,BI205*(1-INDEX($B$11:$B$63,50))*(1-E205))</f>
        <v/>
      </c>
      <c r="BK206" s="15">
        <f>MAX(0,BJ205*(1-INDEX($B$11:$B$63,51))*(1-E205))</f>
        <v/>
      </c>
      <c r="BL206" s="15">
        <f>MAX(0,(BL205+BK205)*(1-INDEX($B$11:$B$63,53))*(1-E205))</f>
        <v/>
      </c>
    </row>
    <row r="207">
      <c r="A207" s="55" t="n">
        <v>141</v>
      </c>
      <c r="B207" s="15">
        <f>IF(A207&gt;Inputs!$C$62,"",SUM(M207:BK207))</f>
        <v/>
      </c>
      <c r="C207" s="15">
        <f>IF(A207&gt;Inputs!$C$62,"",INDEX(Trajectory!$C$23:$C$2000,A207))</f>
        <v/>
      </c>
      <c r="D207" s="15">
        <f>IF(A207&gt;Inputs!$C$62,"",SUM(L207:BK207))</f>
        <v/>
      </c>
      <c r="E207" s="12">
        <f>IF(A207&gt;Inputs!$C$62,"",INDEX(Trajectory!$AG$23:$AG$2000,A207))</f>
        <v/>
      </c>
      <c r="F207" s="12">
        <f>IF(D207=0,0,SUMPRODUCT(L207:BK207,$B$11:$B$63)/D207)</f>
        <v/>
      </c>
      <c r="G207" s="12">
        <f>IF(D207=0,0,MIN(0.95,1-(1-F207)*(1-E207)))</f>
        <v/>
      </c>
      <c r="H207" s="15">
        <f>IF(D207=0,0,D207*G207)</f>
        <v/>
      </c>
      <c r="I207" s="15">
        <f>IF(D207=0,0,D207-H207)</f>
        <v/>
      </c>
      <c r="L207" s="15">
        <f>C207</f>
        <v/>
      </c>
      <c r="M207" s="15">
        <f>MAX(0,L206*(1-INDEX($B$11:$B$63,1))*(1-E206))</f>
        <v/>
      </c>
      <c r="N207" s="15">
        <f>MAX(0,M206*(1-INDEX($B$11:$B$63,2))*(1-E206))</f>
        <v/>
      </c>
      <c r="O207" s="15">
        <f>MAX(0,N206*(1-INDEX($B$11:$B$63,3))*(1-E206))</f>
        <v/>
      </c>
      <c r="P207" s="15">
        <f>MAX(0,O206*(1-INDEX($B$11:$B$63,4))*(1-E206))</f>
        <v/>
      </c>
      <c r="Q207" s="15">
        <f>MAX(0,P206*(1-INDEX($B$11:$B$63,5))*(1-E206))</f>
        <v/>
      </c>
      <c r="R207" s="15">
        <f>MAX(0,Q206*(1-INDEX($B$11:$B$63,6))*(1-E206))</f>
        <v/>
      </c>
      <c r="S207" s="15">
        <f>MAX(0,R206*(1-INDEX($B$11:$B$63,7))*(1-E206))</f>
        <v/>
      </c>
      <c r="T207" s="15">
        <f>MAX(0,S206*(1-INDEX($B$11:$B$63,8))*(1-E206))</f>
        <v/>
      </c>
      <c r="U207" s="15">
        <f>MAX(0,T206*(1-INDEX($B$11:$B$63,9))*(1-E206))</f>
        <v/>
      </c>
      <c r="V207" s="15">
        <f>MAX(0,U206*(1-INDEX($B$11:$B$63,10))*(1-E206))</f>
        <v/>
      </c>
      <c r="W207" s="15">
        <f>MAX(0,V206*(1-INDEX($B$11:$B$63,11))*(1-E206))</f>
        <v/>
      </c>
      <c r="X207" s="15">
        <f>MAX(0,W206*(1-INDEX($B$11:$B$63,12))*(1-E206))</f>
        <v/>
      </c>
      <c r="Y207" s="15">
        <f>MAX(0,X206*(1-INDEX($B$11:$B$63,13))*(1-E206))</f>
        <v/>
      </c>
      <c r="Z207" s="15">
        <f>MAX(0,Y206*(1-INDEX($B$11:$B$63,14))*(1-E206))</f>
        <v/>
      </c>
      <c r="AA207" s="15">
        <f>MAX(0,Z206*(1-INDEX($B$11:$B$63,15))*(1-E206))</f>
        <v/>
      </c>
      <c r="AB207" s="15">
        <f>MAX(0,AA206*(1-INDEX($B$11:$B$63,16))*(1-E206))</f>
        <v/>
      </c>
      <c r="AC207" s="15">
        <f>MAX(0,AB206*(1-INDEX($B$11:$B$63,17))*(1-E206))</f>
        <v/>
      </c>
      <c r="AD207" s="15">
        <f>MAX(0,AC206*(1-INDEX($B$11:$B$63,18))*(1-E206))</f>
        <v/>
      </c>
      <c r="AE207" s="15">
        <f>MAX(0,AD206*(1-INDEX($B$11:$B$63,19))*(1-E206))</f>
        <v/>
      </c>
      <c r="AF207" s="15">
        <f>MAX(0,AE206*(1-INDEX($B$11:$B$63,20))*(1-E206))</f>
        <v/>
      </c>
      <c r="AG207" s="15">
        <f>MAX(0,AF206*(1-INDEX($B$11:$B$63,21))*(1-E206))</f>
        <v/>
      </c>
      <c r="AH207" s="15">
        <f>MAX(0,AG206*(1-INDEX($B$11:$B$63,22))*(1-E206))</f>
        <v/>
      </c>
      <c r="AI207" s="15">
        <f>MAX(0,AH206*(1-INDEX($B$11:$B$63,23))*(1-E206))</f>
        <v/>
      </c>
      <c r="AJ207" s="15">
        <f>MAX(0,AI206*(1-INDEX($B$11:$B$63,24))*(1-E206))</f>
        <v/>
      </c>
      <c r="AK207" s="15">
        <f>MAX(0,AJ206*(1-INDEX($B$11:$B$63,25))*(1-E206))</f>
        <v/>
      </c>
      <c r="AL207" s="15">
        <f>MAX(0,AK206*(1-INDEX($B$11:$B$63,26))*(1-E206))</f>
        <v/>
      </c>
      <c r="AM207" s="15">
        <f>MAX(0,AL206*(1-INDEX($B$11:$B$63,27))*(1-E206))</f>
        <v/>
      </c>
      <c r="AN207" s="15">
        <f>MAX(0,AM206*(1-INDEX($B$11:$B$63,28))*(1-E206))</f>
        <v/>
      </c>
      <c r="AO207" s="15">
        <f>MAX(0,AN206*(1-INDEX($B$11:$B$63,29))*(1-E206))</f>
        <v/>
      </c>
      <c r="AP207" s="15">
        <f>MAX(0,AO206*(1-INDEX($B$11:$B$63,30))*(1-E206))</f>
        <v/>
      </c>
      <c r="AQ207" s="15">
        <f>MAX(0,AP206*(1-INDEX($B$11:$B$63,31))*(1-E206))</f>
        <v/>
      </c>
      <c r="AR207" s="15">
        <f>MAX(0,AQ206*(1-INDEX($B$11:$B$63,32))*(1-E206))</f>
        <v/>
      </c>
      <c r="AS207" s="15">
        <f>MAX(0,AR206*(1-INDEX($B$11:$B$63,33))*(1-E206))</f>
        <v/>
      </c>
      <c r="AT207" s="15">
        <f>MAX(0,AS206*(1-INDEX($B$11:$B$63,34))*(1-E206))</f>
        <v/>
      </c>
      <c r="AU207" s="15">
        <f>MAX(0,AT206*(1-INDEX($B$11:$B$63,35))*(1-E206))</f>
        <v/>
      </c>
      <c r="AV207" s="15">
        <f>MAX(0,AU206*(1-INDEX($B$11:$B$63,36))*(1-E206))</f>
        <v/>
      </c>
      <c r="AW207" s="15">
        <f>MAX(0,AV206*(1-INDEX($B$11:$B$63,37))*(1-E206))</f>
        <v/>
      </c>
      <c r="AX207" s="15">
        <f>MAX(0,AW206*(1-INDEX($B$11:$B$63,38))*(1-E206))</f>
        <v/>
      </c>
      <c r="AY207" s="15">
        <f>MAX(0,AX206*(1-INDEX($B$11:$B$63,39))*(1-E206))</f>
        <v/>
      </c>
      <c r="AZ207" s="15">
        <f>MAX(0,AY206*(1-INDEX($B$11:$B$63,40))*(1-E206))</f>
        <v/>
      </c>
      <c r="BA207" s="15">
        <f>MAX(0,AZ206*(1-INDEX($B$11:$B$63,41))*(1-E206))</f>
        <v/>
      </c>
      <c r="BB207" s="15">
        <f>MAX(0,BA206*(1-INDEX($B$11:$B$63,42))*(1-E206))</f>
        <v/>
      </c>
      <c r="BC207" s="15">
        <f>MAX(0,BB206*(1-INDEX($B$11:$B$63,43))*(1-E206))</f>
        <v/>
      </c>
      <c r="BD207" s="15">
        <f>MAX(0,BC206*(1-INDEX($B$11:$B$63,44))*(1-E206))</f>
        <v/>
      </c>
      <c r="BE207" s="15">
        <f>MAX(0,BD206*(1-INDEX($B$11:$B$63,45))*(1-E206))</f>
        <v/>
      </c>
      <c r="BF207" s="15">
        <f>MAX(0,BE206*(1-INDEX($B$11:$B$63,46))*(1-E206))</f>
        <v/>
      </c>
      <c r="BG207" s="15">
        <f>MAX(0,BF206*(1-INDEX($B$11:$B$63,47))*(1-E206))</f>
        <v/>
      </c>
      <c r="BH207" s="15">
        <f>MAX(0,BG206*(1-INDEX($B$11:$B$63,48))*(1-E206))</f>
        <v/>
      </c>
      <c r="BI207" s="15">
        <f>MAX(0,BH206*(1-INDEX($B$11:$B$63,49))*(1-E206))</f>
        <v/>
      </c>
      <c r="BJ207" s="15">
        <f>MAX(0,BI206*(1-INDEX($B$11:$B$63,50))*(1-E206))</f>
        <v/>
      </c>
      <c r="BK207" s="15">
        <f>MAX(0,BJ206*(1-INDEX($B$11:$B$63,51))*(1-E206))</f>
        <v/>
      </c>
      <c r="BL207" s="15">
        <f>MAX(0,(BL206+BK206)*(1-INDEX($B$11:$B$63,53))*(1-E206))</f>
        <v/>
      </c>
    </row>
    <row r="208">
      <c r="A208" s="55" t="n">
        <v>142</v>
      </c>
      <c r="B208" s="15">
        <f>IF(A208&gt;Inputs!$C$62,"",SUM(M208:BK208))</f>
        <v/>
      </c>
      <c r="C208" s="15">
        <f>IF(A208&gt;Inputs!$C$62,"",INDEX(Trajectory!$C$23:$C$2000,A208))</f>
        <v/>
      </c>
      <c r="D208" s="15">
        <f>IF(A208&gt;Inputs!$C$62,"",SUM(L208:BK208))</f>
        <v/>
      </c>
      <c r="E208" s="12">
        <f>IF(A208&gt;Inputs!$C$62,"",INDEX(Trajectory!$AG$23:$AG$2000,A208))</f>
        <v/>
      </c>
      <c r="F208" s="12">
        <f>IF(D208=0,0,SUMPRODUCT(L208:BK208,$B$11:$B$63)/D208)</f>
        <v/>
      </c>
      <c r="G208" s="12">
        <f>IF(D208=0,0,MIN(0.95,1-(1-F208)*(1-E208)))</f>
        <v/>
      </c>
      <c r="H208" s="15">
        <f>IF(D208=0,0,D208*G208)</f>
        <v/>
      </c>
      <c r="I208" s="15">
        <f>IF(D208=0,0,D208-H208)</f>
        <v/>
      </c>
      <c r="L208" s="15">
        <f>C208</f>
        <v/>
      </c>
      <c r="M208" s="15">
        <f>MAX(0,L207*(1-INDEX($B$11:$B$63,1))*(1-E207))</f>
        <v/>
      </c>
      <c r="N208" s="15">
        <f>MAX(0,M207*(1-INDEX($B$11:$B$63,2))*(1-E207))</f>
        <v/>
      </c>
      <c r="O208" s="15">
        <f>MAX(0,N207*(1-INDEX($B$11:$B$63,3))*(1-E207))</f>
        <v/>
      </c>
      <c r="P208" s="15">
        <f>MAX(0,O207*(1-INDEX($B$11:$B$63,4))*(1-E207))</f>
        <v/>
      </c>
      <c r="Q208" s="15">
        <f>MAX(0,P207*(1-INDEX($B$11:$B$63,5))*(1-E207))</f>
        <v/>
      </c>
      <c r="R208" s="15">
        <f>MAX(0,Q207*(1-INDEX($B$11:$B$63,6))*(1-E207))</f>
        <v/>
      </c>
      <c r="S208" s="15">
        <f>MAX(0,R207*(1-INDEX($B$11:$B$63,7))*(1-E207))</f>
        <v/>
      </c>
      <c r="T208" s="15">
        <f>MAX(0,S207*(1-INDEX($B$11:$B$63,8))*(1-E207))</f>
        <v/>
      </c>
      <c r="U208" s="15">
        <f>MAX(0,T207*(1-INDEX($B$11:$B$63,9))*(1-E207))</f>
        <v/>
      </c>
      <c r="V208" s="15">
        <f>MAX(0,U207*(1-INDEX($B$11:$B$63,10))*(1-E207))</f>
        <v/>
      </c>
      <c r="W208" s="15">
        <f>MAX(0,V207*(1-INDEX($B$11:$B$63,11))*(1-E207))</f>
        <v/>
      </c>
      <c r="X208" s="15">
        <f>MAX(0,W207*(1-INDEX($B$11:$B$63,12))*(1-E207))</f>
        <v/>
      </c>
      <c r="Y208" s="15">
        <f>MAX(0,X207*(1-INDEX($B$11:$B$63,13))*(1-E207))</f>
        <v/>
      </c>
      <c r="Z208" s="15">
        <f>MAX(0,Y207*(1-INDEX($B$11:$B$63,14))*(1-E207))</f>
        <v/>
      </c>
      <c r="AA208" s="15">
        <f>MAX(0,Z207*(1-INDEX($B$11:$B$63,15))*(1-E207))</f>
        <v/>
      </c>
      <c r="AB208" s="15">
        <f>MAX(0,AA207*(1-INDEX($B$11:$B$63,16))*(1-E207))</f>
        <v/>
      </c>
      <c r="AC208" s="15">
        <f>MAX(0,AB207*(1-INDEX($B$11:$B$63,17))*(1-E207))</f>
        <v/>
      </c>
      <c r="AD208" s="15">
        <f>MAX(0,AC207*(1-INDEX($B$11:$B$63,18))*(1-E207))</f>
        <v/>
      </c>
      <c r="AE208" s="15">
        <f>MAX(0,AD207*(1-INDEX($B$11:$B$63,19))*(1-E207))</f>
        <v/>
      </c>
      <c r="AF208" s="15">
        <f>MAX(0,AE207*(1-INDEX($B$11:$B$63,20))*(1-E207))</f>
        <v/>
      </c>
      <c r="AG208" s="15">
        <f>MAX(0,AF207*(1-INDEX($B$11:$B$63,21))*(1-E207))</f>
        <v/>
      </c>
      <c r="AH208" s="15">
        <f>MAX(0,AG207*(1-INDEX($B$11:$B$63,22))*(1-E207))</f>
        <v/>
      </c>
      <c r="AI208" s="15">
        <f>MAX(0,AH207*(1-INDEX($B$11:$B$63,23))*(1-E207))</f>
        <v/>
      </c>
      <c r="AJ208" s="15">
        <f>MAX(0,AI207*(1-INDEX($B$11:$B$63,24))*(1-E207))</f>
        <v/>
      </c>
      <c r="AK208" s="15">
        <f>MAX(0,AJ207*(1-INDEX($B$11:$B$63,25))*(1-E207))</f>
        <v/>
      </c>
      <c r="AL208" s="15">
        <f>MAX(0,AK207*(1-INDEX($B$11:$B$63,26))*(1-E207))</f>
        <v/>
      </c>
      <c r="AM208" s="15">
        <f>MAX(0,AL207*(1-INDEX($B$11:$B$63,27))*(1-E207))</f>
        <v/>
      </c>
      <c r="AN208" s="15">
        <f>MAX(0,AM207*(1-INDEX($B$11:$B$63,28))*(1-E207))</f>
        <v/>
      </c>
      <c r="AO208" s="15">
        <f>MAX(0,AN207*(1-INDEX($B$11:$B$63,29))*(1-E207))</f>
        <v/>
      </c>
      <c r="AP208" s="15">
        <f>MAX(0,AO207*(1-INDEX($B$11:$B$63,30))*(1-E207))</f>
        <v/>
      </c>
      <c r="AQ208" s="15">
        <f>MAX(0,AP207*(1-INDEX($B$11:$B$63,31))*(1-E207))</f>
        <v/>
      </c>
      <c r="AR208" s="15">
        <f>MAX(0,AQ207*(1-INDEX($B$11:$B$63,32))*(1-E207))</f>
        <v/>
      </c>
      <c r="AS208" s="15">
        <f>MAX(0,AR207*(1-INDEX($B$11:$B$63,33))*(1-E207))</f>
        <v/>
      </c>
      <c r="AT208" s="15">
        <f>MAX(0,AS207*(1-INDEX($B$11:$B$63,34))*(1-E207))</f>
        <v/>
      </c>
      <c r="AU208" s="15">
        <f>MAX(0,AT207*(1-INDEX($B$11:$B$63,35))*(1-E207))</f>
        <v/>
      </c>
      <c r="AV208" s="15">
        <f>MAX(0,AU207*(1-INDEX($B$11:$B$63,36))*(1-E207))</f>
        <v/>
      </c>
      <c r="AW208" s="15">
        <f>MAX(0,AV207*(1-INDEX($B$11:$B$63,37))*(1-E207))</f>
        <v/>
      </c>
      <c r="AX208" s="15">
        <f>MAX(0,AW207*(1-INDEX($B$11:$B$63,38))*(1-E207))</f>
        <v/>
      </c>
      <c r="AY208" s="15">
        <f>MAX(0,AX207*(1-INDEX($B$11:$B$63,39))*(1-E207))</f>
        <v/>
      </c>
      <c r="AZ208" s="15">
        <f>MAX(0,AY207*(1-INDEX($B$11:$B$63,40))*(1-E207))</f>
        <v/>
      </c>
      <c r="BA208" s="15">
        <f>MAX(0,AZ207*(1-INDEX($B$11:$B$63,41))*(1-E207))</f>
        <v/>
      </c>
      <c r="BB208" s="15">
        <f>MAX(0,BA207*(1-INDEX($B$11:$B$63,42))*(1-E207))</f>
        <v/>
      </c>
      <c r="BC208" s="15">
        <f>MAX(0,BB207*(1-INDEX($B$11:$B$63,43))*(1-E207))</f>
        <v/>
      </c>
      <c r="BD208" s="15">
        <f>MAX(0,BC207*(1-INDEX($B$11:$B$63,44))*(1-E207))</f>
        <v/>
      </c>
      <c r="BE208" s="15">
        <f>MAX(0,BD207*(1-INDEX($B$11:$B$63,45))*(1-E207))</f>
        <v/>
      </c>
      <c r="BF208" s="15">
        <f>MAX(0,BE207*(1-INDEX($B$11:$B$63,46))*(1-E207))</f>
        <v/>
      </c>
      <c r="BG208" s="15">
        <f>MAX(0,BF207*(1-INDEX($B$11:$B$63,47))*(1-E207))</f>
        <v/>
      </c>
      <c r="BH208" s="15">
        <f>MAX(0,BG207*(1-INDEX($B$11:$B$63,48))*(1-E207))</f>
        <v/>
      </c>
      <c r="BI208" s="15">
        <f>MAX(0,BH207*(1-INDEX($B$11:$B$63,49))*(1-E207))</f>
        <v/>
      </c>
      <c r="BJ208" s="15">
        <f>MAX(0,BI207*(1-INDEX($B$11:$B$63,50))*(1-E207))</f>
        <v/>
      </c>
      <c r="BK208" s="15">
        <f>MAX(0,BJ207*(1-INDEX($B$11:$B$63,51))*(1-E207))</f>
        <v/>
      </c>
      <c r="BL208" s="15">
        <f>MAX(0,(BL207+BK207)*(1-INDEX($B$11:$B$63,53))*(1-E207))</f>
        <v/>
      </c>
    </row>
    <row r="209">
      <c r="A209" s="55" t="n">
        <v>143</v>
      </c>
      <c r="B209" s="15">
        <f>IF(A209&gt;Inputs!$C$62,"",SUM(M209:BK209))</f>
        <v/>
      </c>
      <c r="C209" s="15">
        <f>IF(A209&gt;Inputs!$C$62,"",INDEX(Trajectory!$C$23:$C$2000,A209))</f>
        <v/>
      </c>
      <c r="D209" s="15">
        <f>IF(A209&gt;Inputs!$C$62,"",SUM(L209:BK209))</f>
        <v/>
      </c>
      <c r="E209" s="12">
        <f>IF(A209&gt;Inputs!$C$62,"",INDEX(Trajectory!$AG$23:$AG$2000,A209))</f>
        <v/>
      </c>
      <c r="F209" s="12">
        <f>IF(D209=0,0,SUMPRODUCT(L209:BK209,$B$11:$B$63)/D209)</f>
        <v/>
      </c>
      <c r="G209" s="12">
        <f>IF(D209=0,0,MIN(0.95,1-(1-F209)*(1-E209)))</f>
        <v/>
      </c>
      <c r="H209" s="15">
        <f>IF(D209=0,0,D209*G209)</f>
        <v/>
      </c>
      <c r="I209" s="15">
        <f>IF(D209=0,0,D209-H209)</f>
        <v/>
      </c>
      <c r="L209" s="15">
        <f>C209</f>
        <v/>
      </c>
      <c r="M209" s="15">
        <f>MAX(0,L208*(1-INDEX($B$11:$B$63,1))*(1-E208))</f>
        <v/>
      </c>
      <c r="N209" s="15">
        <f>MAX(0,M208*(1-INDEX($B$11:$B$63,2))*(1-E208))</f>
        <v/>
      </c>
      <c r="O209" s="15">
        <f>MAX(0,N208*(1-INDEX($B$11:$B$63,3))*(1-E208))</f>
        <v/>
      </c>
      <c r="P209" s="15">
        <f>MAX(0,O208*(1-INDEX($B$11:$B$63,4))*(1-E208))</f>
        <v/>
      </c>
      <c r="Q209" s="15">
        <f>MAX(0,P208*(1-INDEX($B$11:$B$63,5))*(1-E208))</f>
        <v/>
      </c>
      <c r="R209" s="15">
        <f>MAX(0,Q208*(1-INDEX($B$11:$B$63,6))*(1-E208))</f>
        <v/>
      </c>
      <c r="S209" s="15">
        <f>MAX(0,R208*(1-INDEX($B$11:$B$63,7))*(1-E208))</f>
        <v/>
      </c>
      <c r="T209" s="15">
        <f>MAX(0,S208*(1-INDEX($B$11:$B$63,8))*(1-E208))</f>
        <v/>
      </c>
      <c r="U209" s="15">
        <f>MAX(0,T208*(1-INDEX($B$11:$B$63,9))*(1-E208))</f>
        <v/>
      </c>
      <c r="V209" s="15">
        <f>MAX(0,U208*(1-INDEX($B$11:$B$63,10))*(1-E208))</f>
        <v/>
      </c>
      <c r="W209" s="15">
        <f>MAX(0,V208*(1-INDEX($B$11:$B$63,11))*(1-E208))</f>
        <v/>
      </c>
      <c r="X209" s="15">
        <f>MAX(0,W208*(1-INDEX($B$11:$B$63,12))*(1-E208))</f>
        <v/>
      </c>
      <c r="Y209" s="15">
        <f>MAX(0,X208*(1-INDEX($B$11:$B$63,13))*(1-E208))</f>
        <v/>
      </c>
      <c r="Z209" s="15">
        <f>MAX(0,Y208*(1-INDEX($B$11:$B$63,14))*(1-E208))</f>
        <v/>
      </c>
      <c r="AA209" s="15">
        <f>MAX(0,Z208*(1-INDEX($B$11:$B$63,15))*(1-E208))</f>
        <v/>
      </c>
      <c r="AB209" s="15">
        <f>MAX(0,AA208*(1-INDEX($B$11:$B$63,16))*(1-E208))</f>
        <v/>
      </c>
      <c r="AC209" s="15">
        <f>MAX(0,AB208*(1-INDEX($B$11:$B$63,17))*(1-E208))</f>
        <v/>
      </c>
      <c r="AD209" s="15">
        <f>MAX(0,AC208*(1-INDEX($B$11:$B$63,18))*(1-E208))</f>
        <v/>
      </c>
      <c r="AE209" s="15">
        <f>MAX(0,AD208*(1-INDEX($B$11:$B$63,19))*(1-E208))</f>
        <v/>
      </c>
      <c r="AF209" s="15">
        <f>MAX(0,AE208*(1-INDEX($B$11:$B$63,20))*(1-E208))</f>
        <v/>
      </c>
      <c r="AG209" s="15">
        <f>MAX(0,AF208*(1-INDEX($B$11:$B$63,21))*(1-E208))</f>
        <v/>
      </c>
      <c r="AH209" s="15">
        <f>MAX(0,AG208*(1-INDEX($B$11:$B$63,22))*(1-E208))</f>
        <v/>
      </c>
      <c r="AI209" s="15">
        <f>MAX(0,AH208*(1-INDEX($B$11:$B$63,23))*(1-E208))</f>
        <v/>
      </c>
      <c r="AJ209" s="15">
        <f>MAX(0,AI208*(1-INDEX($B$11:$B$63,24))*(1-E208))</f>
        <v/>
      </c>
      <c r="AK209" s="15">
        <f>MAX(0,AJ208*(1-INDEX($B$11:$B$63,25))*(1-E208))</f>
        <v/>
      </c>
      <c r="AL209" s="15">
        <f>MAX(0,AK208*(1-INDEX($B$11:$B$63,26))*(1-E208))</f>
        <v/>
      </c>
      <c r="AM209" s="15">
        <f>MAX(0,AL208*(1-INDEX($B$11:$B$63,27))*(1-E208))</f>
        <v/>
      </c>
      <c r="AN209" s="15">
        <f>MAX(0,AM208*(1-INDEX($B$11:$B$63,28))*(1-E208))</f>
        <v/>
      </c>
      <c r="AO209" s="15">
        <f>MAX(0,AN208*(1-INDEX($B$11:$B$63,29))*(1-E208))</f>
        <v/>
      </c>
      <c r="AP209" s="15">
        <f>MAX(0,AO208*(1-INDEX($B$11:$B$63,30))*(1-E208))</f>
        <v/>
      </c>
      <c r="AQ209" s="15">
        <f>MAX(0,AP208*(1-INDEX($B$11:$B$63,31))*(1-E208))</f>
        <v/>
      </c>
      <c r="AR209" s="15">
        <f>MAX(0,AQ208*(1-INDEX($B$11:$B$63,32))*(1-E208))</f>
        <v/>
      </c>
      <c r="AS209" s="15">
        <f>MAX(0,AR208*(1-INDEX($B$11:$B$63,33))*(1-E208))</f>
        <v/>
      </c>
      <c r="AT209" s="15">
        <f>MAX(0,AS208*(1-INDEX($B$11:$B$63,34))*(1-E208))</f>
        <v/>
      </c>
      <c r="AU209" s="15">
        <f>MAX(0,AT208*(1-INDEX($B$11:$B$63,35))*(1-E208))</f>
        <v/>
      </c>
      <c r="AV209" s="15">
        <f>MAX(0,AU208*(1-INDEX($B$11:$B$63,36))*(1-E208))</f>
        <v/>
      </c>
      <c r="AW209" s="15">
        <f>MAX(0,AV208*(1-INDEX($B$11:$B$63,37))*(1-E208))</f>
        <v/>
      </c>
      <c r="AX209" s="15">
        <f>MAX(0,AW208*(1-INDEX($B$11:$B$63,38))*(1-E208))</f>
        <v/>
      </c>
      <c r="AY209" s="15">
        <f>MAX(0,AX208*(1-INDEX($B$11:$B$63,39))*(1-E208))</f>
        <v/>
      </c>
      <c r="AZ209" s="15">
        <f>MAX(0,AY208*(1-INDEX($B$11:$B$63,40))*(1-E208))</f>
        <v/>
      </c>
      <c r="BA209" s="15">
        <f>MAX(0,AZ208*(1-INDEX($B$11:$B$63,41))*(1-E208))</f>
        <v/>
      </c>
      <c r="BB209" s="15">
        <f>MAX(0,BA208*(1-INDEX($B$11:$B$63,42))*(1-E208))</f>
        <v/>
      </c>
      <c r="BC209" s="15">
        <f>MAX(0,BB208*(1-INDEX($B$11:$B$63,43))*(1-E208))</f>
        <v/>
      </c>
      <c r="BD209" s="15">
        <f>MAX(0,BC208*(1-INDEX($B$11:$B$63,44))*(1-E208))</f>
        <v/>
      </c>
      <c r="BE209" s="15">
        <f>MAX(0,BD208*(1-INDEX($B$11:$B$63,45))*(1-E208))</f>
        <v/>
      </c>
      <c r="BF209" s="15">
        <f>MAX(0,BE208*(1-INDEX($B$11:$B$63,46))*(1-E208))</f>
        <v/>
      </c>
      <c r="BG209" s="15">
        <f>MAX(0,BF208*(1-INDEX($B$11:$B$63,47))*(1-E208))</f>
        <v/>
      </c>
      <c r="BH209" s="15">
        <f>MAX(0,BG208*(1-INDEX($B$11:$B$63,48))*(1-E208))</f>
        <v/>
      </c>
      <c r="BI209" s="15">
        <f>MAX(0,BH208*(1-INDEX($B$11:$B$63,49))*(1-E208))</f>
        <v/>
      </c>
      <c r="BJ209" s="15">
        <f>MAX(0,BI208*(1-INDEX($B$11:$B$63,50))*(1-E208))</f>
        <v/>
      </c>
      <c r="BK209" s="15">
        <f>MAX(0,BJ208*(1-INDEX($B$11:$B$63,51))*(1-E208))</f>
        <v/>
      </c>
      <c r="BL209" s="15">
        <f>MAX(0,(BL208+BK208)*(1-INDEX($B$11:$B$63,53))*(1-E208))</f>
        <v/>
      </c>
    </row>
    <row r="210">
      <c r="A210" s="55" t="n">
        <v>144</v>
      </c>
      <c r="B210" s="15">
        <f>IF(A210&gt;Inputs!$C$62,"",SUM(M210:BK210))</f>
        <v/>
      </c>
      <c r="C210" s="15">
        <f>IF(A210&gt;Inputs!$C$62,"",INDEX(Trajectory!$C$23:$C$2000,A210))</f>
        <v/>
      </c>
      <c r="D210" s="15">
        <f>IF(A210&gt;Inputs!$C$62,"",SUM(L210:BK210))</f>
        <v/>
      </c>
      <c r="E210" s="12">
        <f>IF(A210&gt;Inputs!$C$62,"",INDEX(Trajectory!$AG$23:$AG$2000,A210))</f>
        <v/>
      </c>
      <c r="F210" s="12">
        <f>IF(D210=0,0,SUMPRODUCT(L210:BK210,$B$11:$B$63)/D210)</f>
        <v/>
      </c>
      <c r="G210" s="12">
        <f>IF(D210=0,0,MIN(0.95,1-(1-F210)*(1-E210)))</f>
        <v/>
      </c>
      <c r="H210" s="15">
        <f>IF(D210=0,0,D210*G210)</f>
        <v/>
      </c>
      <c r="I210" s="15">
        <f>IF(D210=0,0,D210-H210)</f>
        <v/>
      </c>
      <c r="L210" s="15">
        <f>C210</f>
        <v/>
      </c>
      <c r="M210" s="15">
        <f>MAX(0,L209*(1-INDEX($B$11:$B$63,1))*(1-E209))</f>
        <v/>
      </c>
      <c r="N210" s="15">
        <f>MAX(0,M209*(1-INDEX($B$11:$B$63,2))*(1-E209))</f>
        <v/>
      </c>
      <c r="O210" s="15">
        <f>MAX(0,N209*(1-INDEX($B$11:$B$63,3))*(1-E209))</f>
        <v/>
      </c>
      <c r="P210" s="15">
        <f>MAX(0,O209*(1-INDEX($B$11:$B$63,4))*(1-E209))</f>
        <v/>
      </c>
      <c r="Q210" s="15">
        <f>MAX(0,P209*(1-INDEX($B$11:$B$63,5))*(1-E209))</f>
        <v/>
      </c>
      <c r="R210" s="15">
        <f>MAX(0,Q209*(1-INDEX($B$11:$B$63,6))*(1-E209))</f>
        <v/>
      </c>
      <c r="S210" s="15">
        <f>MAX(0,R209*(1-INDEX($B$11:$B$63,7))*(1-E209))</f>
        <v/>
      </c>
      <c r="T210" s="15">
        <f>MAX(0,S209*(1-INDEX($B$11:$B$63,8))*(1-E209))</f>
        <v/>
      </c>
      <c r="U210" s="15">
        <f>MAX(0,T209*(1-INDEX($B$11:$B$63,9))*(1-E209))</f>
        <v/>
      </c>
      <c r="V210" s="15">
        <f>MAX(0,U209*(1-INDEX($B$11:$B$63,10))*(1-E209))</f>
        <v/>
      </c>
      <c r="W210" s="15">
        <f>MAX(0,V209*(1-INDEX($B$11:$B$63,11))*(1-E209))</f>
        <v/>
      </c>
      <c r="X210" s="15">
        <f>MAX(0,W209*(1-INDEX($B$11:$B$63,12))*(1-E209))</f>
        <v/>
      </c>
      <c r="Y210" s="15">
        <f>MAX(0,X209*(1-INDEX($B$11:$B$63,13))*(1-E209))</f>
        <v/>
      </c>
      <c r="Z210" s="15">
        <f>MAX(0,Y209*(1-INDEX($B$11:$B$63,14))*(1-E209))</f>
        <v/>
      </c>
      <c r="AA210" s="15">
        <f>MAX(0,Z209*(1-INDEX($B$11:$B$63,15))*(1-E209))</f>
        <v/>
      </c>
      <c r="AB210" s="15">
        <f>MAX(0,AA209*(1-INDEX($B$11:$B$63,16))*(1-E209))</f>
        <v/>
      </c>
      <c r="AC210" s="15">
        <f>MAX(0,AB209*(1-INDEX($B$11:$B$63,17))*(1-E209))</f>
        <v/>
      </c>
      <c r="AD210" s="15">
        <f>MAX(0,AC209*(1-INDEX($B$11:$B$63,18))*(1-E209))</f>
        <v/>
      </c>
      <c r="AE210" s="15">
        <f>MAX(0,AD209*(1-INDEX($B$11:$B$63,19))*(1-E209))</f>
        <v/>
      </c>
      <c r="AF210" s="15">
        <f>MAX(0,AE209*(1-INDEX($B$11:$B$63,20))*(1-E209))</f>
        <v/>
      </c>
      <c r="AG210" s="15">
        <f>MAX(0,AF209*(1-INDEX($B$11:$B$63,21))*(1-E209))</f>
        <v/>
      </c>
      <c r="AH210" s="15">
        <f>MAX(0,AG209*(1-INDEX($B$11:$B$63,22))*(1-E209))</f>
        <v/>
      </c>
      <c r="AI210" s="15">
        <f>MAX(0,AH209*(1-INDEX($B$11:$B$63,23))*(1-E209))</f>
        <v/>
      </c>
      <c r="AJ210" s="15">
        <f>MAX(0,AI209*(1-INDEX($B$11:$B$63,24))*(1-E209))</f>
        <v/>
      </c>
      <c r="AK210" s="15">
        <f>MAX(0,AJ209*(1-INDEX($B$11:$B$63,25))*(1-E209))</f>
        <v/>
      </c>
      <c r="AL210" s="15">
        <f>MAX(0,AK209*(1-INDEX($B$11:$B$63,26))*(1-E209))</f>
        <v/>
      </c>
      <c r="AM210" s="15">
        <f>MAX(0,AL209*(1-INDEX($B$11:$B$63,27))*(1-E209))</f>
        <v/>
      </c>
      <c r="AN210" s="15">
        <f>MAX(0,AM209*(1-INDEX($B$11:$B$63,28))*(1-E209))</f>
        <v/>
      </c>
      <c r="AO210" s="15">
        <f>MAX(0,AN209*(1-INDEX($B$11:$B$63,29))*(1-E209))</f>
        <v/>
      </c>
      <c r="AP210" s="15">
        <f>MAX(0,AO209*(1-INDEX($B$11:$B$63,30))*(1-E209))</f>
        <v/>
      </c>
      <c r="AQ210" s="15">
        <f>MAX(0,AP209*(1-INDEX($B$11:$B$63,31))*(1-E209))</f>
        <v/>
      </c>
      <c r="AR210" s="15">
        <f>MAX(0,AQ209*(1-INDEX($B$11:$B$63,32))*(1-E209))</f>
        <v/>
      </c>
      <c r="AS210" s="15">
        <f>MAX(0,AR209*(1-INDEX($B$11:$B$63,33))*(1-E209))</f>
        <v/>
      </c>
      <c r="AT210" s="15">
        <f>MAX(0,AS209*(1-INDEX($B$11:$B$63,34))*(1-E209))</f>
        <v/>
      </c>
      <c r="AU210" s="15">
        <f>MAX(0,AT209*(1-INDEX($B$11:$B$63,35))*(1-E209))</f>
        <v/>
      </c>
      <c r="AV210" s="15">
        <f>MAX(0,AU209*(1-INDEX($B$11:$B$63,36))*(1-E209))</f>
        <v/>
      </c>
      <c r="AW210" s="15">
        <f>MAX(0,AV209*(1-INDEX($B$11:$B$63,37))*(1-E209))</f>
        <v/>
      </c>
      <c r="AX210" s="15">
        <f>MAX(0,AW209*(1-INDEX($B$11:$B$63,38))*(1-E209))</f>
        <v/>
      </c>
      <c r="AY210" s="15">
        <f>MAX(0,AX209*(1-INDEX($B$11:$B$63,39))*(1-E209))</f>
        <v/>
      </c>
      <c r="AZ210" s="15">
        <f>MAX(0,AY209*(1-INDEX($B$11:$B$63,40))*(1-E209))</f>
        <v/>
      </c>
      <c r="BA210" s="15">
        <f>MAX(0,AZ209*(1-INDEX($B$11:$B$63,41))*(1-E209))</f>
        <v/>
      </c>
      <c r="BB210" s="15">
        <f>MAX(0,BA209*(1-INDEX($B$11:$B$63,42))*(1-E209))</f>
        <v/>
      </c>
      <c r="BC210" s="15">
        <f>MAX(0,BB209*(1-INDEX($B$11:$B$63,43))*(1-E209))</f>
        <v/>
      </c>
      <c r="BD210" s="15">
        <f>MAX(0,BC209*(1-INDEX($B$11:$B$63,44))*(1-E209))</f>
        <v/>
      </c>
      <c r="BE210" s="15">
        <f>MAX(0,BD209*(1-INDEX($B$11:$B$63,45))*(1-E209))</f>
        <v/>
      </c>
      <c r="BF210" s="15">
        <f>MAX(0,BE209*(1-INDEX($B$11:$B$63,46))*(1-E209))</f>
        <v/>
      </c>
      <c r="BG210" s="15">
        <f>MAX(0,BF209*(1-INDEX($B$11:$B$63,47))*(1-E209))</f>
        <v/>
      </c>
      <c r="BH210" s="15">
        <f>MAX(0,BG209*(1-INDEX($B$11:$B$63,48))*(1-E209))</f>
        <v/>
      </c>
      <c r="BI210" s="15">
        <f>MAX(0,BH209*(1-INDEX($B$11:$B$63,49))*(1-E209))</f>
        <v/>
      </c>
      <c r="BJ210" s="15">
        <f>MAX(0,BI209*(1-INDEX($B$11:$B$63,50))*(1-E209))</f>
        <v/>
      </c>
      <c r="BK210" s="15">
        <f>MAX(0,BJ209*(1-INDEX($B$11:$B$63,51))*(1-E209))</f>
        <v/>
      </c>
      <c r="BL210" s="15">
        <f>MAX(0,(BL209+BK209)*(1-INDEX($B$11:$B$63,53))*(1-E209))</f>
        <v/>
      </c>
    </row>
    <row r="211">
      <c r="A211" s="55" t="n">
        <v>145</v>
      </c>
      <c r="B211" s="15">
        <f>IF(A211&gt;Inputs!$C$62,"",SUM(M211:BK211))</f>
        <v/>
      </c>
      <c r="C211" s="15">
        <f>IF(A211&gt;Inputs!$C$62,"",INDEX(Trajectory!$C$23:$C$2000,A211))</f>
        <v/>
      </c>
      <c r="D211" s="15">
        <f>IF(A211&gt;Inputs!$C$62,"",SUM(L211:BK211))</f>
        <v/>
      </c>
      <c r="E211" s="12">
        <f>IF(A211&gt;Inputs!$C$62,"",INDEX(Trajectory!$AG$23:$AG$2000,A211))</f>
        <v/>
      </c>
      <c r="F211" s="12">
        <f>IF(D211=0,0,SUMPRODUCT(L211:BK211,$B$11:$B$63)/D211)</f>
        <v/>
      </c>
      <c r="G211" s="12">
        <f>IF(D211=0,0,MIN(0.95,1-(1-F211)*(1-E211)))</f>
        <v/>
      </c>
      <c r="H211" s="15">
        <f>IF(D211=0,0,D211*G211)</f>
        <v/>
      </c>
      <c r="I211" s="15">
        <f>IF(D211=0,0,D211-H211)</f>
        <v/>
      </c>
      <c r="L211" s="15">
        <f>C211</f>
        <v/>
      </c>
      <c r="M211" s="15">
        <f>MAX(0,L210*(1-INDEX($B$11:$B$63,1))*(1-E210))</f>
        <v/>
      </c>
      <c r="N211" s="15">
        <f>MAX(0,M210*(1-INDEX($B$11:$B$63,2))*(1-E210))</f>
        <v/>
      </c>
      <c r="O211" s="15">
        <f>MAX(0,N210*(1-INDEX($B$11:$B$63,3))*(1-E210))</f>
        <v/>
      </c>
      <c r="P211" s="15">
        <f>MAX(0,O210*(1-INDEX($B$11:$B$63,4))*(1-E210))</f>
        <v/>
      </c>
      <c r="Q211" s="15">
        <f>MAX(0,P210*(1-INDEX($B$11:$B$63,5))*(1-E210))</f>
        <v/>
      </c>
      <c r="R211" s="15">
        <f>MAX(0,Q210*(1-INDEX($B$11:$B$63,6))*(1-E210))</f>
        <v/>
      </c>
      <c r="S211" s="15">
        <f>MAX(0,R210*(1-INDEX($B$11:$B$63,7))*(1-E210))</f>
        <v/>
      </c>
      <c r="T211" s="15">
        <f>MAX(0,S210*(1-INDEX($B$11:$B$63,8))*(1-E210))</f>
        <v/>
      </c>
      <c r="U211" s="15">
        <f>MAX(0,T210*(1-INDEX($B$11:$B$63,9))*(1-E210))</f>
        <v/>
      </c>
      <c r="V211" s="15">
        <f>MAX(0,U210*(1-INDEX($B$11:$B$63,10))*(1-E210))</f>
        <v/>
      </c>
      <c r="W211" s="15">
        <f>MAX(0,V210*(1-INDEX($B$11:$B$63,11))*(1-E210))</f>
        <v/>
      </c>
      <c r="X211" s="15">
        <f>MAX(0,W210*(1-INDEX($B$11:$B$63,12))*(1-E210))</f>
        <v/>
      </c>
      <c r="Y211" s="15">
        <f>MAX(0,X210*(1-INDEX($B$11:$B$63,13))*(1-E210))</f>
        <v/>
      </c>
      <c r="Z211" s="15">
        <f>MAX(0,Y210*(1-INDEX($B$11:$B$63,14))*(1-E210))</f>
        <v/>
      </c>
      <c r="AA211" s="15">
        <f>MAX(0,Z210*(1-INDEX($B$11:$B$63,15))*(1-E210))</f>
        <v/>
      </c>
      <c r="AB211" s="15">
        <f>MAX(0,AA210*(1-INDEX($B$11:$B$63,16))*(1-E210))</f>
        <v/>
      </c>
      <c r="AC211" s="15">
        <f>MAX(0,AB210*(1-INDEX($B$11:$B$63,17))*(1-E210))</f>
        <v/>
      </c>
      <c r="AD211" s="15">
        <f>MAX(0,AC210*(1-INDEX($B$11:$B$63,18))*(1-E210))</f>
        <v/>
      </c>
      <c r="AE211" s="15">
        <f>MAX(0,AD210*(1-INDEX($B$11:$B$63,19))*(1-E210))</f>
        <v/>
      </c>
      <c r="AF211" s="15">
        <f>MAX(0,AE210*(1-INDEX($B$11:$B$63,20))*(1-E210))</f>
        <v/>
      </c>
      <c r="AG211" s="15">
        <f>MAX(0,AF210*(1-INDEX($B$11:$B$63,21))*(1-E210))</f>
        <v/>
      </c>
      <c r="AH211" s="15">
        <f>MAX(0,AG210*(1-INDEX($B$11:$B$63,22))*(1-E210))</f>
        <v/>
      </c>
      <c r="AI211" s="15">
        <f>MAX(0,AH210*(1-INDEX($B$11:$B$63,23))*(1-E210))</f>
        <v/>
      </c>
      <c r="AJ211" s="15">
        <f>MAX(0,AI210*(1-INDEX($B$11:$B$63,24))*(1-E210))</f>
        <v/>
      </c>
      <c r="AK211" s="15">
        <f>MAX(0,AJ210*(1-INDEX($B$11:$B$63,25))*(1-E210))</f>
        <v/>
      </c>
      <c r="AL211" s="15">
        <f>MAX(0,AK210*(1-INDEX($B$11:$B$63,26))*(1-E210))</f>
        <v/>
      </c>
      <c r="AM211" s="15">
        <f>MAX(0,AL210*(1-INDEX($B$11:$B$63,27))*(1-E210))</f>
        <v/>
      </c>
      <c r="AN211" s="15">
        <f>MAX(0,AM210*(1-INDEX($B$11:$B$63,28))*(1-E210))</f>
        <v/>
      </c>
      <c r="AO211" s="15">
        <f>MAX(0,AN210*(1-INDEX($B$11:$B$63,29))*(1-E210))</f>
        <v/>
      </c>
      <c r="AP211" s="15">
        <f>MAX(0,AO210*(1-INDEX($B$11:$B$63,30))*(1-E210))</f>
        <v/>
      </c>
      <c r="AQ211" s="15">
        <f>MAX(0,AP210*(1-INDEX($B$11:$B$63,31))*(1-E210))</f>
        <v/>
      </c>
      <c r="AR211" s="15">
        <f>MAX(0,AQ210*(1-INDEX($B$11:$B$63,32))*(1-E210))</f>
        <v/>
      </c>
      <c r="AS211" s="15">
        <f>MAX(0,AR210*(1-INDEX($B$11:$B$63,33))*(1-E210))</f>
        <v/>
      </c>
      <c r="AT211" s="15">
        <f>MAX(0,AS210*(1-INDEX($B$11:$B$63,34))*(1-E210))</f>
        <v/>
      </c>
      <c r="AU211" s="15">
        <f>MAX(0,AT210*(1-INDEX($B$11:$B$63,35))*(1-E210))</f>
        <v/>
      </c>
      <c r="AV211" s="15">
        <f>MAX(0,AU210*(1-INDEX($B$11:$B$63,36))*(1-E210))</f>
        <v/>
      </c>
      <c r="AW211" s="15">
        <f>MAX(0,AV210*(1-INDEX($B$11:$B$63,37))*(1-E210))</f>
        <v/>
      </c>
      <c r="AX211" s="15">
        <f>MAX(0,AW210*(1-INDEX($B$11:$B$63,38))*(1-E210))</f>
        <v/>
      </c>
      <c r="AY211" s="15">
        <f>MAX(0,AX210*(1-INDEX($B$11:$B$63,39))*(1-E210))</f>
        <v/>
      </c>
      <c r="AZ211" s="15">
        <f>MAX(0,AY210*(1-INDEX($B$11:$B$63,40))*(1-E210))</f>
        <v/>
      </c>
      <c r="BA211" s="15">
        <f>MAX(0,AZ210*(1-INDEX($B$11:$B$63,41))*(1-E210))</f>
        <v/>
      </c>
      <c r="BB211" s="15">
        <f>MAX(0,BA210*(1-INDEX($B$11:$B$63,42))*(1-E210))</f>
        <v/>
      </c>
      <c r="BC211" s="15">
        <f>MAX(0,BB210*(1-INDEX($B$11:$B$63,43))*(1-E210))</f>
        <v/>
      </c>
      <c r="BD211" s="15">
        <f>MAX(0,BC210*(1-INDEX($B$11:$B$63,44))*(1-E210))</f>
        <v/>
      </c>
      <c r="BE211" s="15">
        <f>MAX(0,BD210*(1-INDEX($B$11:$B$63,45))*(1-E210))</f>
        <v/>
      </c>
      <c r="BF211" s="15">
        <f>MAX(0,BE210*(1-INDEX($B$11:$B$63,46))*(1-E210))</f>
        <v/>
      </c>
      <c r="BG211" s="15">
        <f>MAX(0,BF210*(1-INDEX($B$11:$B$63,47))*(1-E210))</f>
        <v/>
      </c>
      <c r="BH211" s="15">
        <f>MAX(0,BG210*(1-INDEX($B$11:$B$63,48))*(1-E210))</f>
        <v/>
      </c>
      <c r="BI211" s="15">
        <f>MAX(0,BH210*(1-INDEX($B$11:$B$63,49))*(1-E210))</f>
        <v/>
      </c>
      <c r="BJ211" s="15">
        <f>MAX(0,BI210*(1-INDEX($B$11:$B$63,50))*(1-E210))</f>
        <v/>
      </c>
      <c r="BK211" s="15">
        <f>MAX(0,BJ210*(1-INDEX($B$11:$B$63,51))*(1-E210))</f>
        <v/>
      </c>
      <c r="BL211" s="15">
        <f>MAX(0,(BL210+BK210)*(1-INDEX($B$11:$B$63,53))*(1-E210))</f>
        <v/>
      </c>
    </row>
    <row r="212">
      <c r="A212" s="55" t="n">
        <v>146</v>
      </c>
      <c r="B212" s="15">
        <f>IF(A212&gt;Inputs!$C$62,"",SUM(M212:BK212))</f>
        <v/>
      </c>
      <c r="C212" s="15">
        <f>IF(A212&gt;Inputs!$C$62,"",INDEX(Trajectory!$C$23:$C$2000,A212))</f>
        <v/>
      </c>
      <c r="D212" s="15">
        <f>IF(A212&gt;Inputs!$C$62,"",SUM(L212:BK212))</f>
        <v/>
      </c>
      <c r="E212" s="12">
        <f>IF(A212&gt;Inputs!$C$62,"",INDEX(Trajectory!$AG$23:$AG$2000,A212))</f>
        <v/>
      </c>
      <c r="F212" s="12">
        <f>IF(D212=0,0,SUMPRODUCT(L212:BK212,$B$11:$B$63)/D212)</f>
        <v/>
      </c>
      <c r="G212" s="12">
        <f>IF(D212=0,0,MIN(0.95,1-(1-F212)*(1-E212)))</f>
        <v/>
      </c>
      <c r="H212" s="15">
        <f>IF(D212=0,0,D212*G212)</f>
        <v/>
      </c>
      <c r="I212" s="15">
        <f>IF(D212=0,0,D212-H212)</f>
        <v/>
      </c>
      <c r="L212" s="15">
        <f>C212</f>
        <v/>
      </c>
      <c r="M212" s="15">
        <f>MAX(0,L211*(1-INDEX($B$11:$B$63,1))*(1-E211))</f>
        <v/>
      </c>
      <c r="N212" s="15">
        <f>MAX(0,M211*(1-INDEX($B$11:$B$63,2))*(1-E211))</f>
        <v/>
      </c>
      <c r="O212" s="15">
        <f>MAX(0,N211*(1-INDEX($B$11:$B$63,3))*(1-E211))</f>
        <v/>
      </c>
      <c r="P212" s="15">
        <f>MAX(0,O211*(1-INDEX($B$11:$B$63,4))*(1-E211))</f>
        <v/>
      </c>
      <c r="Q212" s="15">
        <f>MAX(0,P211*(1-INDEX($B$11:$B$63,5))*(1-E211))</f>
        <v/>
      </c>
      <c r="R212" s="15">
        <f>MAX(0,Q211*(1-INDEX($B$11:$B$63,6))*(1-E211))</f>
        <v/>
      </c>
      <c r="S212" s="15">
        <f>MAX(0,R211*(1-INDEX($B$11:$B$63,7))*(1-E211))</f>
        <v/>
      </c>
      <c r="T212" s="15">
        <f>MAX(0,S211*(1-INDEX($B$11:$B$63,8))*(1-E211))</f>
        <v/>
      </c>
      <c r="U212" s="15">
        <f>MAX(0,T211*(1-INDEX($B$11:$B$63,9))*(1-E211))</f>
        <v/>
      </c>
      <c r="V212" s="15">
        <f>MAX(0,U211*(1-INDEX($B$11:$B$63,10))*(1-E211))</f>
        <v/>
      </c>
      <c r="W212" s="15">
        <f>MAX(0,V211*(1-INDEX($B$11:$B$63,11))*(1-E211))</f>
        <v/>
      </c>
      <c r="X212" s="15">
        <f>MAX(0,W211*(1-INDEX($B$11:$B$63,12))*(1-E211))</f>
        <v/>
      </c>
      <c r="Y212" s="15">
        <f>MAX(0,X211*(1-INDEX($B$11:$B$63,13))*(1-E211))</f>
        <v/>
      </c>
      <c r="Z212" s="15">
        <f>MAX(0,Y211*(1-INDEX($B$11:$B$63,14))*(1-E211))</f>
        <v/>
      </c>
      <c r="AA212" s="15">
        <f>MAX(0,Z211*(1-INDEX($B$11:$B$63,15))*(1-E211))</f>
        <v/>
      </c>
      <c r="AB212" s="15">
        <f>MAX(0,AA211*(1-INDEX($B$11:$B$63,16))*(1-E211))</f>
        <v/>
      </c>
      <c r="AC212" s="15">
        <f>MAX(0,AB211*(1-INDEX($B$11:$B$63,17))*(1-E211))</f>
        <v/>
      </c>
      <c r="AD212" s="15">
        <f>MAX(0,AC211*(1-INDEX($B$11:$B$63,18))*(1-E211))</f>
        <v/>
      </c>
      <c r="AE212" s="15">
        <f>MAX(0,AD211*(1-INDEX($B$11:$B$63,19))*(1-E211))</f>
        <v/>
      </c>
      <c r="AF212" s="15">
        <f>MAX(0,AE211*(1-INDEX($B$11:$B$63,20))*(1-E211))</f>
        <v/>
      </c>
      <c r="AG212" s="15">
        <f>MAX(0,AF211*(1-INDEX($B$11:$B$63,21))*(1-E211))</f>
        <v/>
      </c>
      <c r="AH212" s="15">
        <f>MAX(0,AG211*(1-INDEX($B$11:$B$63,22))*(1-E211))</f>
        <v/>
      </c>
      <c r="AI212" s="15">
        <f>MAX(0,AH211*(1-INDEX($B$11:$B$63,23))*(1-E211))</f>
        <v/>
      </c>
      <c r="AJ212" s="15">
        <f>MAX(0,AI211*(1-INDEX($B$11:$B$63,24))*(1-E211))</f>
        <v/>
      </c>
      <c r="AK212" s="15">
        <f>MAX(0,AJ211*(1-INDEX($B$11:$B$63,25))*(1-E211))</f>
        <v/>
      </c>
      <c r="AL212" s="15">
        <f>MAX(0,AK211*(1-INDEX($B$11:$B$63,26))*(1-E211))</f>
        <v/>
      </c>
      <c r="AM212" s="15">
        <f>MAX(0,AL211*(1-INDEX($B$11:$B$63,27))*(1-E211))</f>
        <v/>
      </c>
      <c r="AN212" s="15">
        <f>MAX(0,AM211*(1-INDEX($B$11:$B$63,28))*(1-E211))</f>
        <v/>
      </c>
      <c r="AO212" s="15">
        <f>MAX(0,AN211*(1-INDEX($B$11:$B$63,29))*(1-E211))</f>
        <v/>
      </c>
      <c r="AP212" s="15">
        <f>MAX(0,AO211*(1-INDEX($B$11:$B$63,30))*(1-E211))</f>
        <v/>
      </c>
      <c r="AQ212" s="15">
        <f>MAX(0,AP211*(1-INDEX($B$11:$B$63,31))*(1-E211))</f>
        <v/>
      </c>
      <c r="AR212" s="15">
        <f>MAX(0,AQ211*(1-INDEX($B$11:$B$63,32))*(1-E211))</f>
        <v/>
      </c>
      <c r="AS212" s="15">
        <f>MAX(0,AR211*(1-INDEX($B$11:$B$63,33))*(1-E211))</f>
        <v/>
      </c>
      <c r="AT212" s="15">
        <f>MAX(0,AS211*(1-INDEX($B$11:$B$63,34))*(1-E211))</f>
        <v/>
      </c>
      <c r="AU212" s="15">
        <f>MAX(0,AT211*(1-INDEX($B$11:$B$63,35))*(1-E211))</f>
        <v/>
      </c>
      <c r="AV212" s="15">
        <f>MAX(0,AU211*(1-INDEX($B$11:$B$63,36))*(1-E211))</f>
        <v/>
      </c>
      <c r="AW212" s="15">
        <f>MAX(0,AV211*(1-INDEX($B$11:$B$63,37))*(1-E211))</f>
        <v/>
      </c>
      <c r="AX212" s="15">
        <f>MAX(0,AW211*(1-INDEX($B$11:$B$63,38))*(1-E211))</f>
        <v/>
      </c>
      <c r="AY212" s="15">
        <f>MAX(0,AX211*(1-INDEX($B$11:$B$63,39))*(1-E211))</f>
        <v/>
      </c>
      <c r="AZ212" s="15">
        <f>MAX(0,AY211*(1-INDEX($B$11:$B$63,40))*(1-E211))</f>
        <v/>
      </c>
      <c r="BA212" s="15">
        <f>MAX(0,AZ211*(1-INDEX($B$11:$B$63,41))*(1-E211))</f>
        <v/>
      </c>
      <c r="BB212" s="15">
        <f>MAX(0,BA211*(1-INDEX($B$11:$B$63,42))*(1-E211))</f>
        <v/>
      </c>
      <c r="BC212" s="15">
        <f>MAX(0,BB211*(1-INDEX($B$11:$B$63,43))*(1-E211))</f>
        <v/>
      </c>
      <c r="BD212" s="15">
        <f>MAX(0,BC211*(1-INDEX($B$11:$B$63,44))*(1-E211))</f>
        <v/>
      </c>
      <c r="BE212" s="15">
        <f>MAX(0,BD211*(1-INDEX($B$11:$B$63,45))*(1-E211))</f>
        <v/>
      </c>
      <c r="BF212" s="15">
        <f>MAX(0,BE211*(1-INDEX($B$11:$B$63,46))*(1-E211))</f>
        <v/>
      </c>
      <c r="BG212" s="15">
        <f>MAX(0,BF211*(1-INDEX($B$11:$B$63,47))*(1-E211))</f>
        <v/>
      </c>
      <c r="BH212" s="15">
        <f>MAX(0,BG211*(1-INDEX($B$11:$B$63,48))*(1-E211))</f>
        <v/>
      </c>
      <c r="BI212" s="15">
        <f>MAX(0,BH211*(1-INDEX($B$11:$B$63,49))*(1-E211))</f>
        <v/>
      </c>
      <c r="BJ212" s="15">
        <f>MAX(0,BI211*(1-INDEX($B$11:$B$63,50))*(1-E211))</f>
        <v/>
      </c>
      <c r="BK212" s="15">
        <f>MAX(0,BJ211*(1-INDEX($B$11:$B$63,51))*(1-E211))</f>
        <v/>
      </c>
      <c r="BL212" s="15">
        <f>MAX(0,(BL211+BK211)*(1-INDEX($B$11:$B$63,53))*(1-E211))</f>
        <v/>
      </c>
    </row>
    <row r="213">
      <c r="A213" s="55" t="n">
        <v>147</v>
      </c>
      <c r="B213" s="15">
        <f>IF(A213&gt;Inputs!$C$62,"",SUM(M213:BK213))</f>
        <v/>
      </c>
      <c r="C213" s="15">
        <f>IF(A213&gt;Inputs!$C$62,"",INDEX(Trajectory!$C$23:$C$2000,A213))</f>
        <v/>
      </c>
      <c r="D213" s="15">
        <f>IF(A213&gt;Inputs!$C$62,"",SUM(L213:BK213))</f>
        <v/>
      </c>
      <c r="E213" s="12">
        <f>IF(A213&gt;Inputs!$C$62,"",INDEX(Trajectory!$AG$23:$AG$2000,A213))</f>
        <v/>
      </c>
      <c r="F213" s="12">
        <f>IF(D213=0,0,SUMPRODUCT(L213:BK213,$B$11:$B$63)/D213)</f>
        <v/>
      </c>
      <c r="G213" s="12">
        <f>IF(D213=0,0,MIN(0.95,1-(1-F213)*(1-E213)))</f>
        <v/>
      </c>
      <c r="H213" s="15">
        <f>IF(D213=0,0,D213*G213)</f>
        <v/>
      </c>
      <c r="I213" s="15">
        <f>IF(D213=0,0,D213-H213)</f>
        <v/>
      </c>
      <c r="L213" s="15">
        <f>C213</f>
        <v/>
      </c>
      <c r="M213" s="15">
        <f>MAX(0,L212*(1-INDEX($B$11:$B$63,1))*(1-E212))</f>
        <v/>
      </c>
      <c r="N213" s="15">
        <f>MAX(0,M212*(1-INDEX($B$11:$B$63,2))*(1-E212))</f>
        <v/>
      </c>
      <c r="O213" s="15">
        <f>MAX(0,N212*(1-INDEX($B$11:$B$63,3))*(1-E212))</f>
        <v/>
      </c>
      <c r="P213" s="15">
        <f>MAX(0,O212*(1-INDEX($B$11:$B$63,4))*(1-E212))</f>
        <v/>
      </c>
      <c r="Q213" s="15">
        <f>MAX(0,P212*(1-INDEX($B$11:$B$63,5))*(1-E212))</f>
        <v/>
      </c>
      <c r="R213" s="15">
        <f>MAX(0,Q212*(1-INDEX($B$11:$B$63,6))*(1-E212))</f>
        <v/>
      </c>
      <c r="S213" s="15">
        <f>MAX(0,R212*(1-INDEX($B$11:$B$63,7))*(1-E212))</f>
        <v/>
      </c>
      <c r="T213" s="15">
        <f>MAX(0,S212*(1-INDEX($B$11:$B$63,8))*(1-E212))</f>
        <v/>
      </c>
      <c r="U213" s="15">
        <f>MAX(0,T212*(1-INDEX($B$11:$B$63,9))*(1-E212))</f>
        <v/>
      </c>
      <c r="V213" s="15">
        <f>MAX(0,U212*(1-INDEX($B$11:$B$63,10))*(1-E212))</f>
        <v/>
      </c>
      <c r="W213" s="15">
        <f>MAX(0,V212*(1-INDEX($B$11:$B$63,11))*(1-E212))</f>
        <v/>
      </c>
      <c r="X213" s="15">
        <f>MAX(0,W212*(1-INDEX($B$11:$B$63,12))*(1-E212))</f>
        <v/>
      </c>
      <c r="Y213" s="15">
        <f>MAX(0,X212*(1-INDEX($B$11:$B$63,13))*(1-E212))</f>
        <v/>
      </c>
      <c r="Z213" s="15">
        <f>MAX(0,Y212*(1-INDEX($B$11:$B$63,14))*(1-E212))</f>
        <v/>
      </c>
      <c r="AA213" s="15">
        <f>MAX(0,Z212*(1-INDEX($B$11:$B$63,15))*(1-E212))</f>
        <v/>
      </c>
      <c r="AB213" s="15">
        <f>MAX(0,AA212*(1-INDEX($B$11:$B$63,16))*(1-E212))</f>
        <v/>
      </c>
      <c r="AC213" s="15">
        <f>MAX(0,AB212*(1-INDEX($B$11:$B$63,17))*(1-E212))</f>
        <v/>
      </c>
      <c r="AD213" s="15">
        <f>MAX(0,AC212*(1-INDEX($B$11:$B$63,18))*(1-E212))</f>
        <v/>
      </c>
      <c r="AE213" s="15">
        <f>MAX(0,AD212*(1-INDEX($B$11:$B$63,19))*(1-E212))</f>
        <v/>
      </c>
      <c r="AF213" s="15">
        <f>MAX(0,AE212*(1-INDEX($B$11:$B$63,20))*(1-E212))</f>
        <v/>
      </c>
      <c r="AG213" s="15">
        <f>MAX(0,AF212*(1-INDEX($B$11:$B$63,21))*(1-E212))</f>
        <v/>
      </c>
      <c r="AH213" s="15">
        <f>MAX(0,AG212*(1-INDEX($B$11:$B$63,22))*(1-E212))</f>
        <v/>
      </c>
      <c r="AI213" s="15">
        <f>MAX(0,AH212*(1-INDEX($B$11:$B$63,23))*(1-E212))</f>
        <v/>
      </c>
      <c r="AJ213" s="15">
        <f>MAX(0,AI212*(1-INDEX($B$11:$B$63,24))*(1-E212))</f>
        <v/>
      </c>
      <c r="AK213" s="15">
        <f>MAX(0,AJ212*(1-INDEX($B$11:$B$63,25))*(1-E212))</f>
        <v/>
      </c>
      <c r="AL213" s="15">
        <f>MAX(0,AK212*(1-INDEX($B$11:$B$63,26))*(1-E212))</f>
        <v/>
      </c>
      <c r="AM213" s="15">
        <f>MAX(0,AL212*(1-INDEX($B$11:$B$63,27))*(1-E212))</f>
        <v/>
      </c>
      <c r="AN213" s="15">
        <f>MAX(0,AM212*(1-INDEX($B$11:$B$63,28))*(1-E212))</f>
        <v/>
      </c>
      <c r="AO213" s="15">
        <f>MAX(0,AN212*(1-INDEX($B$11:$B$63,29))*(1-E212))</f>
        <v/>
      </c>
      <c r="AP213" s="15">
        <f>MAX(0,AO212*(1-INDEX($B$11:$B$63,30))*(1-E212))</f>
        <v/>
      </c>
      <c r="AQ213" s="15">
        <f>MAX(0,AP212*(1-INDEX($B$11:$B$63,31))*(1-E212))</f>
        <v/>
      </c>
      <c r="AR213" s="15">
        <f>MAX(0,AQ212*(1-INDEX($B$11:$B$63,32))*(1-E212))</f>
        <v/>
      </c>
      <c r="AS213" s="15">
        <f>MAX(0,AR212*(1-INDEX($B$11:$B$63,33))*(1-E212))</f>
        <v/>
      </c>
      <c r="AT213" s="15">
        <f>MAX(0,AS212*(1-INDEX($B$11:$B$63,34))*(1-E212))</f>
        <v/>
      </c>
      <c r="AU213" s="15">
        <f>MAX(0,AT212*(1-INDEX($B$11:$B$63,35))*(1-E212))</f>
        <v/>
      </c>
      <c r="AV213" s="15">
        <f>MAX(0,AU212*(1-INDEX($B$11:$B$63,36))*(1-E212))</f>
        <v/>
      </c>
      <c r="AW213" s="15">
        <f>MAX(0,AV212*(1-INDEX($B$11:$B$63,37))*(1-E212))</f>
        <v/>
      </c>
      <c r="AX213" s="15">
        <f>MAX(0,AW212*(1-INDEX($B$11:$B$63,38))*(1-E212))</f>
        <v/>
      </c>
      <c r="AY213" s="15">
        <f>MAX(0,AX212*(1-INDEX($B$11:$B$63,39))*(1-E212))</f>
        <v/>
      </c>
      <c r="AZ213" s="15">
        <f>MAX(0,AY212*(1-INDEX($B$11:$B$63,40))*(1-E212))</f>
        <v/>
      </c>
      <c r="BA213" s="15">
        <f>MAX(0,AZ212*(1-INDEX($B$11:$B$63,41))*(1-E212))</f>
        <v/>
      </c>
      <c r="BB213" s="15">
        <f>MAX(0,BA212*(1-INDEX($B$11:$B$63,42))*(1-E212))</f>
        <v/>
      </c>
      <c r="BC213" s="15">
        <f>MAX(0,BB212*(1-INDEX($B$11:$B$63,43))*(1-E212))</f>
        <v/>
      </c>
      <c r="BD213" s="15">
        <f>MAX(0,BC212*(1-INDEX($B$11:$B$63,44))*(1-E212))</f>
        <v/>
      </c>
      <c r="BE213" s="15">
        <f>MAX(0,BD212*(1-INDEX($B$11:$B$63,45))*(1-E212))</f>
        <v/>
      </c>
      <c r="BF213" s="15">
        <f>MAX(0,BE212*(1-INDEX($B$11:$B$63,46))*(1-E212))</f>
        <v/>
      </c>
      <c r="BG213" s="15">
        <f>MAX(0,BF212*(1-INDEX($B$11:$B$63,47))*(1-E212))</f>
        <v/>
      </c>
      <c r="BH213" s="15">
        <f>MAX(0,BG212*(1-INDEX($B$11:$B$63,48))*(1-E212))</f>
        <v/>
      </c>
      <c r="BI213" s="15">
        <f>MAX(0,BH212*(1-INDEX($B$11:$B$63,49))*(1-E212))</f>
        <v/>
      </c>
      <c r="BJ213" s="15">
        <f>MAX(0,BI212*(1-INDEX($B$11:$B$63,50))*(1-E212))</f>
        <v/>
      </c>
      <c r="BK213" s="15">
        <f>MAX(0,BJ212*(1-INDEX($B$11:$B$63,51))*(1-E212))</f>
        <v/>
      </c>
      <c r="BL213" s="15">
        <f>MAX(0,(BL212+BK212)*(1-INDEX($B$11:$B$63,53))*(1-E212))</f>
        <v/>
      </c>
    </row>
    <row r="214">
      <c r="A214" s="55" t="n">
        <v>148</v>
      </c>
      <c r="B214" s="15">
        <f>IF(A214&gt;Inputs!$C$62,"",SUM(M214:BK214))</f>
        <v/>
      </c>
      <c r="C214" s="15">
        <f>IF(A214&gt;Inputs!$C$62,"",INDEX(Trajectory!$C$23:$C$2000,A214))</f>
        <v/>
      </c>
      <c r="D214" s="15">
        <f>IF(A214&gt;Inputs!$C$62,"",SUM(L214:BK214))</f>
        <v/>
      </c>
      <c r="E214" s="12">
        <f>IF(A214&gt;Inputs!$C$62,"",INDEX(Trajectory!$AG$23:$AG$2000,A214))</f>
        <v/>
      </c>
      <c r="F214" s="12">
        <f>IF(D214=0,0,SUMPRODUCT(L214:BK214,$B$11:$B$63)/D214)</f>
        <v/>
      </c>
      <c r="G214" s="12">
        <f>IF(D214=0,0,MIN(0.95,1-(1-F214)*(1-E214)))</f>
        <v/>
      </c>
      <c r="H214" s="15">
        <f>IF(D214=0,0,D214*G214)</f>
        <v/>
      </c>
      <c r="I214" s="15">
        <f>IF(D214=0,0,D214-H214)</f>
        <v/>
      </c>
      <c r="L214" s="15">
        <f>C214</f>
        <v/>
      </c>
      <c r="M214" s="15">
        <f>MAX(0,L213*(1-INDEX($B$11:$B$63,1))*(1-E213))</f>
        <v/>
      </c>
      <c r="N214" s="15">
        <f>MAX(0,M213*(1-INDEX($B$11:$B$63,2))*(1-E213))</f>
        <v/>
      </c>
      <c r="O214" s="15">
        <f>MAX(0,N213*(1-INDEX($B$11:$B$63,3))*(1-E213))</f>
        <v/>
      </c>
      <c r="P214" s="15">
        <f>MAX(0,O213*(1-INDEX($B$11:$B$63,4))*(1-E213))</f>
        <v/>
      </c>
      <c r="Q214" s="15">
        <f>MAX(0,P213*(1-INDEX($B$11:$B$63,5))*(1-E213))</f>
        <v/>
      </c>
      <c r="R214" s="15">
        <f>MAX(0,Q213*(1-INDEX($B$11:$B$63,6))*(1-E213))</f>
        <v/>
      </c>
      <c r="S214" s="15">
        <f>MAX(0,R213*(1-INDEX($B$11:$B$63,7))*(1-E213))</f>
        <v/>
      </c>
      <c r="T214" s="15">
        <f>MAX(0,S213*(1-INDEX($B$11:$B$63,8))*(1-E213))</f>
        <v/>
      </c>
      <c r="U214" s="15">
        <f>MAX(0,T213*(1-INDEX($B$11:$B$63,9))*(1-E213))</f>
        <v/>
      </c>
      <c r="V214" s="15">
        <f>MAX(0,U213*(1-INDEX($B$11:$B$63,10))*(1-E213))</f>
        <v/>
      </c>
      <c r="W214" s="15">
        <f>MAX(0,V213*(1-INDEX($B$11:$B$63,11))*(1-E213))</f>
        <v/>
      </c>
      <c r="X214" s="15">
        <f>MAX(0,W213*(1-INDEX($B$11:$B$63,12))*(1-E213))</f>
        <v/>
      </c>
      <c r="Y214" s="15">
        <f>MAX(0,X213*(1-INDEX($B$11:$B$63,13))*(1-E213))</f>
        <v/>
      </c>
      <c r="Z214" s="15">
        <f>MAX(0,Y213*(1-INDEX($B$11:$B$63,14))*(1-E213))</f>
        <v/>
      </c>
      <c r="AA214" s="15">
        <f>MAX(0,Z213*(1-INDEX($B$11:$B$63,15))*(1-E213))</f>
        <v/>
      </c>
      <c r="AB214" s="15">
        <f>MAX(0,AA213*(1-INDEX($B$11:$B$63,16))*(1-E213))</f>
        <v/>
      </c>
      <c r="AC214" s="15">
        <f>MAX(0,AB213*(1-INDEX($B$11:$B$63,17))*(1-E213))</f>
        <v/>
      </c>
      <c r="AD214" s="15">
        <f>MAX(0,AC213*(1-INDEX($B$11:$B$63,18))*(1-E213))</f>
        <v/>
      </c>
      <c r="AE214" s="15">
        <f>MAX(0,AD213*(1-INDEX($B$11:$B$63,19))*(1-E213))</f>
        <v/>
      </c>
      <c r="AF214" s="15">
        <f>MAX(0,AE213*(1-INDEX($B$11:$B$63,20))*(1-E213))</f>
        <v/>
      </c>
      <c r="AG214" s="15">
        <f>MAX(0,AF213*(1-INDEX($B$11:$B$63,21))*(1-E213))</f>
        <v/>
      </c>
      <c r="AH214" s="15">
        <f>MAX(0,AG213*(1-INDEX($B$11:$B$63,22))*(1-E213))</f>
        <v/>
      </c>
      <c r="AI214" s="15">
        <f>MAX(0,AH213*(1-INDEX($B$11:$B$63,23))*(1-E213))</f>
        <v/>
      </c>
      <c r="AJ214" s="15">
        <f>MAX(0,AI213*(1-INDEX($B$11:$B$63,24))*(1-E213))</f>
        <v/>
      </c>
      <c r="AK214" s="15">
        <f>MAX(0,AJ213*(1-INDEX($B$11:$B$63,25))*(1-E213))</f>
        <v/>
      </c>
      <c r="AL214" s="15">
        <f>MAX(0,AK213*(1-INDEX($B$11:$B$63,26))*(1-E213))</f>
        <v/>
      </c>
      <c r="AM214" s="15">
        <f>MAX(0,AL213*(1-INDEX($B$11:$B$63,27))*(1-E213))</f>
        <v/>
      </c>
      <c r="AN214" s="15">
        <f>MAX(0,AM213*(1-INDEX($B$11:$B$63,28))*(1-E213))</f>
        <v/>
      </c>
      <c r="AO214" s="15">
        <f>MAX(0,AN213*(1-INDEX($B$11:$B$63,29))*(1-E213))</f>
        <v/>
      </c>
      <c r="AP214" s="15">
        <f>MAX(0,AO213*(1-INDEX($B$11:$B$63,30))*(1-E213))</f>
        <v/>
      </c>
      <c r="AQ214" s="15">
        <f>MAX(0,AP213*(1-INDEX($B$11:$B$63,31))*(1-E213))</f>
        <v/>
      </c>
      <c r="AR214" s="15">
        <f>MAX(0,AQ213*(1-INDEX($B$11:$B$63,32))*(1-E213))</f>
        <v/>
      </c>
      <c r="AS214" s="15">
        <f>MAX(0,AR213*(1-INDEX($B$11:$B$63,33))*(1-E213))</f>
        <v/>
      </c>
      <c r="AT214" s="15">
        <f>MAX(0,AS213*(1-INDEX($B$11:$B$63,34))*(1-E213))</f>
        <v/>
      </c>
      <c r="AU214" s="15">
        <f>MAX(0,AT213*(1-INDEX($B$11:$B$63,35))*(1-E213))</f>
        <v/>
      </c>
      <c r="AV214" s="15">
        <f>MAX(0,AU213*(1-INDEX($B$11:$B$63,36))*(1-E213))</f>
        <v/>
      </c>
      <c r="AW214" s="15">
        <f>MAX(0,AV213*(1-INDEX($B$11:$B$63,37))*(1-E213))</f>
        <v/>
      </c>
      <c r="AX214" s="15">
        <f>MAX(0,AW213*(1-INDEX($B$11:$B$63,38))*(1-E213))</f>
        <v/>
      </c>
      <c r="AY214" s="15">
        <f>MAX(0,AX213*(1-INDEX($B$11:$B$63,39))*(1-E213))</f>
        <v/>
      </c>
      <c r="AZ214" s="15">
        <f>MAX(0,AY213*(1-INDEX($B$11:$B$63,40))*(1-E213))</f>
        <v/>
      </c>
      <c r="BA214" s="15">
        <f>MAX(0,AZ213*(1-INDEX($B$11:$B$63,41))*(1-E213))</f>
        <v/>
      </c>
      <c r="BB214" s="15">
        <f>MAX(0,BA213*(1-INDEX($B$11:$B$63,42))*(1-E213))</f>
        <v/>
      </c>
      <c r="BC214" s="15">
        <f>MAX(0,BB213*(1-INDEX($B$11:$B$63,43))*(1-E213))</f>
        <v/>
      </c>
      <c r="BD214" s="15">
        <f>MAX(0,BC213*(1-INDEX($B$11:$B$63,44))*(1-E213))</f>
        <v/>
      </c>
      <c r="BE214" s="15">
        <f>MAX(0,BD213*(1-INDEX($B$11:$B$63,45))*(1-E213))</f>
        <v/>
      </c>
      <c r="BF214" s="15">
        <f>MAX(0,BE213*(1-INDEX($B$11:$B$63,46))*(1-E213))</f>
        <v/>
      </c>
      <c r="BG214" s="15">
        <f>MAX(0,BF213*(1-INDEX($B$11:$B$63,47))*(1-E213))</f>
        <v/>
      </c>
      <c r="BH214" s="15">
        <f>MAX(0,BG213*(1-INDEX($B$11:$B$63,48))*(1-E213))</f>
        <v/>
      </c>
      <c r="BI214" s="15">
        <f>MAX(0,BH213*(1-INDEX($B$11:$B$63,49))*(1-E213))</f>
        <v/>
      </c>
      <c r="BJ214" s="15">
        <f>MAX(0,BI213*(1-INDEX($B$11:$B$63,50))*(1-E213))</f>
        <v/>
      </c>
      <c r="BK214" s="15">
        <f>MAX(0,BJ213*(1-INDEX($B$11:$B$63,51))*(1-E213))</f>
        <v/>
      </c>
      <c r="BL214" s="15">
        <f>MAX(0,(BL213+BK213)*(1-INDEX($B$11:$B$63,53))*(1-E213))</f>
        <v/>
      </c>
    </row>
    <row r="215">
      <c r="A215" s="55" t="n">
        <v>149</v>
      </c>
      <c r="B215" s="15">
        <f>IF(A215&gt;Inputs!$C$62,"",SUM(M215:BK215))</f>
        <v/>
      </c>
      <c r="C215" s="15">
        <f>IF(A215&gt;Inputs!$C$62,"",INDEX(Trajectory!$C$23:$C$2000,A215))</f>
        <v/>
      </c>
      <c r="D215" s="15">
        <f>IF(A215&gt;Inputs!$C$62,"",SUM(L215:BK215))</f>
        <v/>
      </c>
      <c r="E215" s="12">
        <f>IF(A215&gt;Inputs!$C$62,"",INDEX(Trajectory!$AG$23:$AG$2000,A215))</f>
        <v/>
      </c>
      <c r="F215" s="12">
        <f>IF(D215=0,0,SUMPRODUCT(L215:BK215,$B$11:$B$63)/D215)</f>
        <v/>
      </c>
      <c r="G215" s="12">
        <f>IF(D215=0,0,MIN(0.95,1-(1-F215)*(1-E215)))</f>
        <v/>
      </c>
      <c r="H215" s="15">
        <f>IF(D215=0,0,D215*G215)</f>
        <v/>
      </c>
      <c r="I215" s="15">
        <f>IF(D215=0,0,D215-H215)</f>
        <v/>
      </c>
      <c r="L215" s="15">
        <f>C215</f>
        <v/>
      </c>
      <c r="M215" s="15">
        <f>MAX(0,L214*(1-INDEX($B$11:$B$63,1))*(1-E214))</f>
        <v/>
      </c>
      <c r="N215" s="15">
        <f>MAX(0,M214*(1-INDEX($B$11:$B$63,2))*(1-E214))</f>
        <v/>
      </c>
      <c r="O215" s="15">
        <f>MAX(0,N214*(1-INDEX($B$11:$B$63,3))*(1-E214))</f>
        <v/>
      </c>
      <c r="P215" s="15">
        <f>MAX(0,O214*(1-INDEX($B$11:$B$63,4))*(1-E214))</f>
        <v/>
      </c>
      <c r="Q215" s="15">
        <f>MAX(0,P214*(1-INDEX($B$11:$B$63,5))*(1-E214))</f>
        <v/>
      </c>
      <c r="R215" s="15">
        <f>MAX(0,Q214*(1-INDEX($B$11:$B$63,6))*(1-E214))</f>
        <v/>
      </c>
      <c r="S215" s="15">
        <f>MAX(0,R214*(1-INDEX($B$11:$B$63,7))*(1-E214))</f>
        <v/>
      </c>
      <c r="T215" s="15">
        <f>MAX(0,S214*(1-INDEX($B$11:$B$63,8))*(1-E214))</f>
        <v/>
      </c>
      <c r="U215" s="15">
        <f>MAX(0,T214*(1-INDEX($B$11:$B$63,9))*(1-E214))</f>
        <v/>
      </c>
      <c r="V215" s="15">
        <f>MAX(0,U214*(1-INDEX($B$11:$B$63,10))*(1-E214))</f>
        <v/>
      </c>
      <c r="W215" s="15">
        <f>MAX(0,V214*(1-INDEX($B$11:$B$63,11))*(1-E214))</f>
        <v/>
      </c>
      <c r="X215" s="15">
        <f>MAX(0,W214*(1-INDEX($B$11:$B$63,12))*(1-E214))</f>
        <v/>
      </c>
      <c r="Y215" s="15">
        <f>MAX(0,X214*(1-INDEX($B$11:$B$63,13))*(1-E214))</f>
        <v/>
      </c>
      <c r="Z215" s="15">
        <f>MAX(0,Y214*(1-INDEX($B$11:$B$63,14))*(1-E214))</f>
        <v/>
      </c>
      <c r="AA215" s="15">
        <f>MAX(0,Z214*(1-INDEX($B$11:$B$63,15))*(1-E214))</f>
        <v/>
      </c>
      <c r="AB215" s="15">
        <f>MAX(0,AA214*(1-INDEX($B$11:$B$63,16))*(1-E214))</f>
        <v/>
      </c>
      <c r="AC215" s="15">
        <f>MAX(0,AB214*(1-INDEX($B$11:$B$63,17))*(1-E214))</f>
        <v/>
      </c>
      <c r="AD215" s="15">
        <f>MAX(0,AC214*(1-INDEX($B$11:$B$63,18))*(1-E214))</f>
        <v/>
      </c>
      <c r="AE215" s="15">
        <f>MAX(0,AD214*(1-INDEX($B$11:$B$63,19))*(1-E214))</f>
        <v/>
      </c>
      <c r="AF215" s="15">
        <f>MAX(0,AE214*(1-INDEX($B$11:$B$63,20))*(1-E214))</f>
        <v/>
      </c>
      <c r="AG215" s="15">
        <f>MAX(0,AF214*(1-INDEX($B$11:$B$63,21))*(1-E214))</f>
        <v/>
      </c>
      <c r="AH215" s="15">
        <f>MAX(0,AG214*(1-INDEX($B$11:$B$63,22))*(1-E214))</f>
        <v/>
      </c>
      <c r="AI215" s="15">
        <f>MAX(0,AH214*(1-INDEX($B$11:$B$63,23))*(1-E214))</f>
        <v/>
      </c>
      <c r="AJ215" s="15">
        <f>MAX(0,AI214*(1-INDEX($B$11:$B$63,24))*(1-E214))</f>
        <v/>
      </c>
      <c r="AK215" s="15">
        <f>MAX(0,AJ214*(1-INDEX($B$11:$B$63,25))*(1-E214))</f>
        <v/>
      </c>
      <c r="AL215" s="15">
        <f>MAX(0,AK214*(1-INDEX($B$11:$B$63,26))*(1-E214))</f>
        <v/>
      </c>
      <c r="AM215" s="15">
        <f>MAX(0,AL214*(1-INDEX($B$11:$B$63,27))*(1-E214))</f>
        <v/>
      </c>
      <c r="AN215" s="15">
        <f>MAX(0,AM214*(1-INDEX($B$11:$B$63,28))*(1-E214))</f>
        <v/>
      </c>
      <c r="AO215" s="15">
        <f>MAX(0,AN214*(1-INDEX($B$11:$B$63,29))*(1-E214))</f>
        <v/>
      </c>
      <c r="AP215" s="15">
        <f>MAX(0,AO214*(1-INDEX($B$11:$B$63,30))*(1-E214))</f>
        <v/>
      </c>
      <c r="AQ215" s="15">
        <f>MAX(0,AP214*(1-INDEX($B$11:$B$63,31))*(1-E214))</f>
        <v/>
      </c>
      <c r="AR215" s="15">
        <f>MAX(0,AQ214*(1-INDEX($B$11:$B$63,32))*(1-E214))</f>
        <v/>
      </c>
      <c r="AS215" s="15">
        <f>MAX(0,AR214*(1-INDEX($B$11:$B$63,33))*(1-E214))</f>
        <v/>
      </c>
      <c r="AT215" s="15">
        <f>MAX(0,AS214*(1-INDEX($B$11:$B$63,34))*(1-E214))</f>
        <v/>
      </c>
      <c r="AU215" s="15">
        <f>MAX(0,AT214*(1-INDEX($B$11:$B$63,35))*(1-E214))</f>
        <v/>
      </c>
      <c r="AV215" s="15">
        <f>MAX(0,AU214*(1-INDEX($B$11:$B$63,36))*(1-E214))</f>
        <v/>
      </c>
      <c r="AW215" s="15">
        <f>MAX(0,AV214*(1-INDEX($B$11:$B$63,37))*(1-E214))</f>
        <v/>
      </c>
      <c r="AX215" s="15">
        <f>MAX(0,AW214*(1-INDEX($B$11:$B$63,38))*(1-E214))</f>
        <v/>
      </c>
      <c r="AY215" s="15">
        <f>MAX(0,AX214*(1-INDEX($B$11:$B$63,39))*(1-E214))</f>
        <v/>
      </c>
      <c r="AZ215" s="15">
        <f>MAX(0,AY214*(1-INDEX($B$11:$B$63,40))*(1-E214))</f>
        <v/>
      </c>
      <c r="BA215" s="15">
        <f>MAX(0,AZ214*(1-INDEX($B$11:$B$63,41))*(1-E214))</f>
        <v/>
      </c>
      <c r="BB215" s="15">
        <f>MAX(0,BA214*(1-INDEX($B$11:$B$63,42))*(1-E214))</f>
        <v/>
      </c>
      <c r="BC215" s="15">
        <f>MAX(0,BB214*(1-INDEX($B$11:$B$63,43))*(1-E214))</f>
        <v/>
      </c>
      <c r="BD215" s="15">
        <f>MAX(0,BC214*(1-INDEX($B$11:$B$63,44))*(1-E214))</f>
        <v/>
      </c>
      <c r="BE215" s="15">
        <f>MAX(0,BD214*(1-INDEX($B$11:$B$63,45))*(1-E214))</f>
        <v/>
      </c>
      <c r="BF215" s="15">
        <f>MAX(0,BE214*(1-INDEX($B$11:$B$63,46))*(1-E214))</f>
        <v/>
      </c>
      <c r="BG215" s="15">
        <f>MAX(0,BF214*(1-INDEX($B$11:$B$63,47))*(1-E214))</f>
        <v/>
      </c>
      <c r="BH215" s="15">
        <f>MAX(0,BG214*(1-INDEX($B$11:$B$63,48))*(1-E214))</f>
        <v/>
      </c>
      <c r="BI215" s="15">
        <f>MAX(0,BH214*(1-INDEX($B$11:$B$63,49))*(1-E214))</f>
        <v/>
      </c>
      <c r="BJ215" s="15">
        <f>MAX(0,BI214*(1-INDEX($B$11:$B$63,50))*(1-E214))</f>
        <v/>
      </c>
      <c r="BK215" s="15">
        <f>MAX(0,BJ214*(1-INDEX($B$11:$B$63,51))*(1-E214))</f>
        <v/>
      </c>
      <c r="BL215" s="15">
        <f>MAX(0,(BL214+BK214)*(1-INDEX($B$11:$B$63,53))*(1-E214))</f>
        <v/>
      </c>
    </row>
    <row r="216">
      <c r="A216" s="55" t="n">
        <v>150</v>
      </c>
      <c r="B216" s="15">
        <f>IF(A216&gt;Inputs!$C$62,"",SUM(M216:BK216))</f>
        <v/>
      </c>
      <c r="C216" s="15">
        <f>IF(A216&gt;Inputs!$C$62,"",INDEX(Trajectory!$C$23:$C$2000,A216))</f>
        <v/>
      </c>
      <c r="D216" s="15">
        <f>IF(A216&gt;Inputs!$C$62,"",SUM(L216:BK216))</f>
        <v/>
      </c>
      <c r="E216" s="12">
        <f>IF(A216&gt;Inputs!$C$62,"",INDEX(Trajectory!$AG$23:$AG$2000,A216))</f>
        <v/>
      </c>
      <c r="F216" s="12">
        <f>IF(D216=0,0,SUMPRODUCT(L216:BK216,$B$11:$B$63)/D216)</f>
        <v/>
      </c>
      <c r="G216" s="12">
        <f>IF(D216=0,0,MIN(0.95,1-(1-F216)*(1-E216)))</f>
        <v/>
      </c>
      <c r="H216" s="15">
        <f>IF(D216=0,0,D216*G216)</f>
        <v/>
      </c>
      <c r="I216" s="15">
        <f>IF(D216=0,0,D216-H216)</f>
        <v/>
      </c>
      <c r="L216" s="15">
        <f>C216</f>
        <v/>
      </c>
      <c r="M216" s="15">
        <f>MAX(0,L215*(1-INDEX($B$11:$B$63,1))*(1-E215))</f>
        <v/>
      </c>
      <c r="N216" s="15">
        <f>MAX(0,M215*(1-INDEX($B$11:$B$63,2))*(1-E215))</f>
        <v/>
      </c>
      <c r="O216" s="15">
        <f>MAX(0,N215*(1-INDEX($B$11:$B$63,3))*(1-E215))</f>
        <v/>
      </c>
      <c r="P216" s="15">
        <f>MAX(0,O215*(1-INDEX($B$11:$B$63,4))*(1-E215))</f>
        <v/>
      </c>
      <c r="Q216" s="15">
        <f>MAX(0,P215*(1-INDEX($B$11:$B$63,5))*(1-E215))</f>
        <v/>
      </c>
      <c r="R216" s="15">
        <f>MAX(0,Q215*(1-INDEX($B$11:$B$63,6))*(1-E215))</f>
        <v/>
      </c>
      <c r="S216" s="15">
        <f>MAX(0,R215*(1-INDEX($B$11:$B$63,7))*(1-E215))</f>
        <v/>
      </c>
      <c r="T216" s="15">
        <f>MAX(0,S215*(1-INDEX($B$11:$B$63,8))*(1-E215))</f>
        <v/>
      </c>
      <c r="U216" s="15">
        <f>MAX(0,T215*(1-INDEX($B$11:$B$63,9))*(1-E215))</f>
        <v/>
      </c>
      <c r="V216" s="15">
        <f>MAX(0,U215*(1-INDEX($B$11:$B$63,10))*(1-E215))</f>
        <v/>
      </c>
      <c r="W216" s="15">
        <f>MAX(0,V215*(1-INDEX($B$11:$B$63,11))*(1-E215))</f>
        <v/>
      </c>
      <c r="X216" s="15">
        <f>MAX(0,W215*(1-INDEX($B$11:$B$63,12))*(1-E215))</f>
        <v/>
      </c>
      <c r="Y216" s="15">
        <f>MAX(0,X215*(1-INDEX($B$11:$B$63,13))*(1-E215))</f>
        <v/>
      </c>
      <c r="Z216" s="15">
        <f>MAX(0,Y215*(1-INDEX($B$11:$B$63,14))*(1-E215))</f>
        <v/>
      </c>
      <c r="AA216" s="15">
        <f>MAX(0,Z215*(1-INDEX($B$11:$B$63,15))*(1-E215))</f>
        <v/>
      </c>
      <c r="AB216" s="15">
        <f>MAX(0,AA215*(1-INDEX($B$11:$B$63,16))*(1-E215))</f>
        <v/>
      </c>
      <c r="AC216" s="15">
        <f>MAX(0,AB215*(1-INDEX($B$11:$B$63,17))*(1-E215))</f>
        <v/>
      </c>
      <c r="AD216" s="15">
        <f>MAX(0,AC215*(1-INDEX($B$11:$B$63,18))*(1-E215))</f>
        <v/>
      </c>
      <c r="AE216" s="15">
        <f>MAX(0,AD215*(1-INDEX($B$11:$B$63,19))*(1-E215))</f>
        <v/>
      </c>
      <c r="AF216" s="15">
        <f>MAX(0,AE215*(1-INDEX($B$11:$B$63,20))*(1-E215))</f>
        <v/>
      </c>
      <c r="AG216" s="15">
        <f>MAX(0,AF215*(1-INDEX($B$11:$B$63,21))*(1-E215))</f>
        <v/>
      </c>
      <c r="AH216" s="15">
        <f>MAX(0,AG215*(1-INDEX($B$11:$B$63,22))*(1-E215))</f>
        <v/>
      </c>
      <c r="AI216" s="15">
        <f>MAX(0,AH215*(1-INDEX($B$11:$B$63,23))*(1-E215))</f>
        <v/>
      </c>
      <c r="AJ216" s="15">
        <f>MAX(0,AI215*(1-INDEX($B$11:$B$63,24))*(1-E215))</f>
        <v/>
      </c>
      <c r="AK216" s="15">
        <f>MAX(0,AJ215*(1-INDEX($B$11:$B$63,25))*(1-E215))</f>
        <v/>
      </c>
      <c r="AL216" s="15">
        <f>MAX(0,AK215*(1-INDEX($B$11:$B$63,26))*(1-E215))</f>
        <v/>
      </c>
      <c r="AM216" s="15">
        <f>MAX(0,AL215*(1-INDEX($B$11:$B$63,27))*(1-E215))</f>
        <v/>
      </c>
      <c r="AN216" s="15">
        <f>MAX(0,AM215*(1-INDEX($B$11:$B$63,28))*(1-E215))</f>
        <v/>
      </c>
      <c r="AO216" s="15">
        <f>MAX(0,AN215*(1-INDEX($B$11:$B$63,29))*(1-E215))</f>
        <v/>
      </c>
      <c r="AP216" s="15">
        <f>MAX(0,AO215*(1-INDEX($B$11:$B$63,30))*(1-E215))</f>
        <v/>
      </c>
      <c r="AQ216" s="15">
        <f>MAX(0,AP215*(1-INDEX($B$11:$B$63,31))*(1-E215))</f>
        <v/>
      </c>
      <c r="AR216" s="15">
        <f>MAX(0,AQ215*(1-INDEX($B$11:$B$63,32))*(1-E215))</f>
        <v/>
      </c>
      <c r="AS216" s="15">
        <f>MAX(0,AR215*(1-INDEX($B$11:$B$63,33))*(1-E215))</f>
        <v/>
      </c>
      <c r="AT216" s="15">
        <f>MAX(0,AS215*(1-INDEX($B$11:$B$63,34))*(1-E215))</f>
        <v/>
      </c>
      <c r="AU216" s="15">
        <f>MAX(0,AT215*(1-INDEX($B$11:$B$63,35))*(1-E215))</f>
        <v/>
      </c>
      <c r="AV216" s="15">
        <f>MAX(0,AU215*(1-INDEX($B$11:$B$63,36))*(1-E215))</f>
        <v/>
      </c>
      <c r="AW216" s="15">
        <f>MAX(0,AV215*(1-INDEX($B$11:$B$63,37))*(1-E215))</f>
        <v/>
      </c>
      <c r="AX216" s="15">
        <f>MAX(0,AW215*(1-INDEX($B$11:$B$63,38))*(1-E215))</f>
        <v/>
      </c>
      <c r="AY216" s="15">
        <f>MAX(0,AX215*(1-INDEX($B$11:$B$63,39))*(1-E215))</f>
        <v/>
      </c>
      <c r="AZ216" s="15">
        <f>MAX(0,AY215*(1-INDEX($B$11:$B$63,40))*(1-E215))</f>
        <v/>
      </c>
      <c r="BA216" s="15">
        <f>MAX(0,AZ215*(1-INDEX($B$11:$B$63,41))*(1-E215))</f>
        <v/>
      </c>
      <c r="BB216" s="15">
        <f>MAX(0,BA215*(1-INDEX($B$11:$B$63,42))*(1-E215))</f>
        <v/>
      </c>
      <c r="BC216" s="15">
        <f>MAX(0,BB215*(1-INDEX($B$11:$B$63,43))*(1-E215))</f>
        <v/>
      </c>
      <c r="BD216" s="15">
        <f>MAX(0,BC215*(1-INDEX($B$11:$B$63,44))*(1-E215))</f>
        <v/>
      </c>
      <c r="BE216" s="15">
        <f>MAX(0,BD215*(1-INDEX($B$11:$B$63,45))*(1-E215))</f>
        <v/>
      </c>
      <c r="BF216" s="15">
        <f>MAX(0,BE215*(1-INDEX($B$11:$B$63,46))*(1-E215))</f>
        <v/>
      </c>
      <c r="BG216" s="15">
        <f>MAX(0,BF215*(1-INDEX($B$11:$B$63,47))*(1-E215))</f>
        <v/>
      </c>
      <c r="BH216" s="15">
        <f>MAX(0,BG215*(1-INDEX($B$11:$B$63,48))*(1-E215))</f>
        <v/>
      </c>
      <c r="BI216" s="15">
        <f>MAX(0,BH215*(1-INDEX($B$11:$B$63,49))*(1-E215))</f>
        <v/>
      </c>
      <c r="BJ216" s="15">
        <f>MAX(0,BI215*(1-INDEX($B$11:$B$63,50))*(1-E215))</f>
        <v/>
      </c>
      <c r="BK216" s="15">
        <f>MAX(0,BJ215*(1-INDEX($B$11:$B$63,51))*(1-E215))</f>
        <v/>
      </c>
      <c r="BL216" s="15">
        <f>MAX(0,(BL215+BK215)*(1-INDEX($B$11:$B$63,53))*(1-E215))</f>
        <v/>
      </c>
    </row>
    <row r="217">
      <c r="A217" s="55" t="n">
        <v>151</v>
      </c>
      <c r="B217" s="15">
        <f>IF(A217&gt;Inputs!$C$62,"",SUM(M217:BK217))</f>
        <v/>
      </c>
      <c r="C217" s="15">
        <f>IF(A217&gt;Inputs!$C$62,"",INDEX(Trajectory!$C$23:$C$2000,A217))</f>
        <v/>
      </c>
      <c r="D217" s="15">
        <f>IF(A217&gt;Inputs!$C$62,"",SUM(L217:BK217))</f>
        <v/>
      </c>
      <c r="E217" s="12">
        <f>IF(A217&gt;Inputs!$C$62,"",INDEX(Trajectory!$AG$23:$AG$2000,A217))</f>
        <v/>
      </c>
      <c r="F217" s="12">
        <f>IF(D217=0,0,SUMPRODUCT(L217:BK217,$B$11:$B$63)/D217)</f>
        <v/>
      </c>
      <c r="G217" s="12">
        <f>IF(D217=0,0,MIN(0.95,1-(1-F217)*(1-E217)))</f>
        <v/>
      </c>
      <c r="H217" s="15">
        <f>IF(D217=0,0,D217*G217)</f>
        <v/>
      </c>
      <c r="I217" s="15">
        <f>IF(D217=0,0,D217-H217)</f>
        <v/>
      </c>
      <c r="L217" s="15">
        <f>C217</f>
        <v/>
      </c>
      <c r="M217" s="15">
        <f>MAX(0,L216*(1-INDEX($B$11:$B$63,1))*(1-E216))</f>
        <v/>
      </c>
      <c r="N217" s="15">
        <f>MAX(0,M216*(1-INDEX($B$11:$B$63,2))*(1-E216))</f>
        <v/>
      </c>
      <c r="O217" s="15">
        <f>MAX(0,N216*(1-INDEX($B$11:$B$63,3))*(1-E216))</f>
        <v/>
      </c>
      <c r="P217" s="15">
        <f>MAX(0,O216*(1-INDEX($B$11:$B$63,4))*(1-E216))</f>
        <v/>
      </c>
      <c r="Q217" s="15">
        <f>MAX(0,P216*(1-INDEX($B$11:$B$63,5))*(1-E216))</f>
        <v/>
      </c>
      <c r="R217" s="15">
        <f>MAX(0,Q216*(1-INDEX($B$11:$B$63,6))*(1-E216))</f>
        <v/>
      </c>
      <c r="S217" s="15">
        <f>MAX(0,R216*(1-INDEX($B$11:$B$63,7))*(1-E216))</f>
        <v/>
      </c>
      <c r="T217" s="15">
        <f>MAX(0,S216*(1-INDEX($B$11:$B$63,8))*(1-E216))</f>
        <v/>
      </c>
      <c r="U217" s="15">
        <f>MAX(0,T216*(1-INDEX($B$11:$B$63,9))*(1-E216))</f>
        <v/>
      </c>
      <c r="V217" s="15">
        <f>MAX(0,U216*(1-INDEX($B$11:$B$63,10))*(1-E216))</f>
        <v/>
      </c>
      <c r="W217" s="15">
        <f>MAX(0,V216*(1-INDEX($B$11:$B$63,11))*(1-E216))</f>
        <v/>
      </c>
      <c r="X217" s="15">
        <f>MAX(0,W216*(1-INDEX($B$11:$B$63,12))*(1-E216))</f>
        <v/>
      </c>
      <c r="Y217" s="15">
        <f>MAX(0,X216*(1-INDEX($B$11:$B$63,13))*(1-E216))</f>
        <v/>
      </c>
      <c r="Z217" s="15">
        <f>MAX(0,Y216*(1-INDEX($B$11:$B$63,14))*(1-E216))</f>
        <v/>
      </c>
      <c r="AA217" s="15">
        <f>MAX(0,Z216*(1-INDEX($B$11:$B$63,15))*(1-E216))</f>
        <v/>
      </c>
      <c r="AB217" s="15">
        <f>MAX(0,AA216*(1-INDEX($B$11:$B$63,16))*(1-E216))</f>
        <v/>
      </c>
      <c r="AC217" s="15">
        <f>MAX(0,AB216*(1-INDEX($B$11:$B$63,17))*(1-E216))</f>
        <v/>
      </c>
      <c r="AD217" s="15">
        <f>MAX(0,AC216*(1-INDEX($B$11:$B$63,18))*(1-E216))</f>
        <v/>
      </c>
      <c r="AE217" s="15">
        <f>MAX(0,AD216*(1-INDEX($B$11:$B$63,19))*(1-E216))</f>
        <v/>
      </c>
      <c r="AF217" s="15">
        <f>MAX(0,AE216*(1-INDEX($B$11:$B$63,20))*(1-E216))</f>
        <v/>
      </c>
      <c r="AG217" s="15">
        <f>MAX(0,AF216*(1-INDEX($B$11:$B$63,21))*(1-E216))</f>
        <v/>
      </c>
      <c r="AH217" s="15">
        <f>MAX(0,AG216*(1-INDEX($B$11:$B$63,22))*(1-E216))</f>
        <v/>
      </c>
      <c r="AI217" s="15">
        <f>MAX(0,AH216*(1-INDEX($B$11:$B$63,23))*(1-E216))</f>
        <v/>
      </c>
      <c r="AJ217" s="15">
        <f>MAX(0,AI216*(1-INDEX($B$11:$B$63,24))*(1-E216))</f>
        <v/>
      </c>
      <c r="AK217" s="15">
        <f>MAX(0,AJ216*(1-INDEX($B$11:$B$63,25))*(1-E216))</f>
        <v/>
      </c>
      <c r="AL217" s="15">
        <f>MAX(0,AK216*(1-INDEX($B$11:$B$63,26))*(1-E216))</f>
        <v/>
      </c>
      <c r="AM217" s="15">
        <f>MAX(0,AL216*(1-INDEX($B$11:$B$63,27))*(1-E216))</f>
        <v/>
      </c>
      <c r="AN217" s="15">
        <f>MAX(0,AM216*(1-INDEX($B$11:$B$63,28))*(1-E216))</f>
        <v/>
      </c>
      <c r="AO217" s="15">
        <f>MAX(0,AN216*(1-INDEX($B$11:$B$63,29))*(1-E216))</f>
        <v/>
      </c>
      <c r="AP217" s="15">
        <f>MAX(0,AO216*(1-INDEX($B$11:$B$63,30))*(1-E216))</f>
        <v/>
      </c>
      <c r="AQ217" s="15">
        <f>MAX(0,AP216*(1-INDEX($B$11:$B$63,31))*(1-E216))</f>
        <v/>
      </c>
      <c r="AR217" s="15">
        <f>MAX(0,AQ216*(1-INDEX($B$11:$B$63,32))*(1-E216))</f>
        <v/>
      </c>
      <c r="AS217" s="15">
        <f>MAX(0,AR216*(1-INDEX($B$11:$B$63,33))*(1-E216))</f>
        <v/>
      </c>
      <c r="AT217" s="15">
        <f>MAX(0,AS216*(1-INDEX($B$11:$B$63,34))*(1-E216))</f>
        <v/>
      </c>
      <c r="AU217" s="15">
        <f>MAX(0,AT216*(1-INDEX($B$11:$B$63,35))*(1-E216))</f>
        <v/>
      </c>
      <c r="AV217" s="15">
        <f>MAX(0,AU216*(1-INDEX($B$11:$B$63,36))*(1-E216))</f>
        <v/>
      </c>
      <c r="AW217" s="15">
        <f>MAX(0,AV216*(1-INDEX($B$11:$B$63,37))*(1-E216))</f>
        <v/>
      </c>
      <c r="AX217" s="15">
        <f>MAX(0,AW216*(1-INDEX($B$11:$B$63,38))*(1-E216))</f>
        <v/>
      </c>
      <c r="AY217" s="15">
        <f>MAX(0,AX216*(1-INDEX($B$11:$B$63,39))*(1-E216))</f>
        <v/>
      </c>
      <c r="AZ217" s="15">
        <f>MAX(0,AY216*(1-INDEX($B$11:$B$63,40))*(1-E216))</f>
        <v/>
      </c>
      <c r="BA217" s="15">
        <f>MAX(0,AZ216*(1-INDEX($B$11:$B$63,41))*(1-E216))</f>
        <v/>
      </c>
      <c r="BB217" s="15">
        <f>MAX(0,BA216*(1-INDEX($B$11:$B$63,42))*(1-E216))</f>
        <v/>
      </c>
      <c r="BC217" s="15">
        <f>MAX(0,BB216*(1-INDEX($B$11:$B$63,43))*(1-E216))</f>
        <v/>
      </c>
      <c r="BD217" s="15">
        <f>MAX(0,BC216*(1-INDEX($B$11:$B$63,44))*(1-E216))</f>
        <v/>
      </c>
      <c r="BE217" s="15">
        <f>MAX(0,BD216*(1-INDEX($B$11:$B$63,45))*(1-E216))</f>
        <v/>
      </c>
      <c r="BF217" s="15">
        <f>MAX(0,BE216*(1-INDEX($B$11:$B$63,46))*(1-E216))</f>
        <v/>
      </c>
      <c r="BG217" s="15">
        <f>MAX(0,BF216*(1-INDEX($B$11:$B$63,47))*(1-E216))</f>
        <v/>
      </c>
      <c r="BH217" s="15">
        <f>MAX(0,BG216*(1-INDEX($B$11:$B$63,48))*(1-E216))</f>
        <v/>
      </c>
      <c r="BI217" s="15">
        <f>MAX(0,BH216*(1-INDEX($B$11:$B$63,49))*(1-E216))</f>
        <v/>
      </c>
      <c r="BJ217" s="15">
        <f>MAX(0,BI216*(1-INDEX($B$11:$B$63,50))*(1-E216))</f>
        <v/>
      </c>
      <c r="BK217" s="15">
        <f>MAX(0,BJ216*(1-INDEX($B$11:$B$63,51))*(1-E216))</f>
        <v/>
      </c>
      <c r="BL217" s="15">
        <f>MAX(0,(BL216+BK216)*(1-INDEX($B$11:$B$63,53))*(1-E216))</f>
        <v/>
      </c>
    </row>
    <row r="218">
      <c r="A218" s="55" t="n">
        <v>152</v>
      </c>
      <c r="B218" s="15">
        <f>IF(A218&gt;Inputs!$C$62,"",SUM(M218:BK218))</f>
        <v/>
      </c>
      <c r="C218" s="15">
        <f>IF(A218&gt;Inputs!$C$62,"",INDEX(Trajectory!$C$23:$C$2000,A218))</f>
        <v/>
      </c>
      <c r="D218" s="15">
        <f>IF(A218&gt;Inputs!$C$62,"",SUM(L218:BK218))</f>
        <v/>
      </c>
      <c r="E218" s="12">
        <f>IF(A218&gt;Inputs!$C$62,"",INDEX(Trajectory!$AG$23:$AG$2000,A218))</f>
        <v/>
      </c>
      <c r="F218" s="12">
        <f>IF(D218=0,0,SUMPRODUCT(L218:BK218,$B$11:$B$63)/D218)</f>
        <v/>
      </c>
      <c r="G218" s="12">
        <f>IF(D218=0,0,MIN(0.95,1-(1-F218)*(1-E218)))</f>
        <v/>
      </c>
      <c r="H218" s="15">
        <f>IF(D218=0,0,D218*G218)</f>
        <v/>
      </c>
      <c r="I218" s="15">
        <f>IF(D218=0,0,D218-H218)</f>
        <v/>
      </c>
      <c r="L218" s="15">
        <f>C218</f>
        <v/>
      </c>
      <c r="M218" s="15">
        <f>MAX(0,L217*(1-INDEX($B$11:$B$63,1))*(1-E217))</f>
        <v/>
      </c>
      <c r="N218" s="15">
        <f>MAX(0,M217*(1-INDEX($B$11:$B$63,2))*(1-E217))</f>
        <v/>
      </c>
      <c r="O218" s="15">
        <f>MAX(0,N217*(1-INDEX($B$11:$B$63,3))*(1-E217))</f>
        <v/>
      </c>
      <c r="P218" s="15">
        <f>MAX(0,O217*(1-INDEX($B$11:$B$63,4))*(1-E217))</f>
        <v/>
      </c>
      <c r="Q218" s="15">
        <f>MAX(0,P217*(1-INDEX($B$11:$B$63,5))*(1-E217))</f>
        <v/>
      </c>
      <c r="R218" s="15">
        <f>MAX(0,Q217*(1-INDEX($B$11:$B$63,6))*(1-E217))</f>
        <v/>
      </c>
      <c r="S218" s="15">
        <f>MAX(0,R217*(1-INDEX($B$11:$B$63,7))*(1-E217))</f>
        <v/>
      </c>
      <c r="T218" s="15">
        <f>MAX(0,S217*(1-INDEX($B$11:$B$63,8))*(1-E217))</f>
        <v/>
      </c>
      <c r="U218" s="15">
        <f>MAX(0,T217*(1-INDEX($B$11:$B$63,9))*(1-E217))</f>
        <v/>
      </c>
      <c r="V218" s="15">
        <f>MAX(0,U217*(1-INDEX($B$11:$B$63,10))*(1-E217))</f>
        <v/>
      </c>
      <c r="W218" s="15">
        <f>MAX(0,V217*(1-INDEX($B$11:$B$63,11))*(1-E217))</f>
        <v/>
      </c>
      <c r="X218" s="15">
        <f>MAX(0,W217*(1-INDEX($B$11:$B$63,12))*(1-E217))</f>
        <v/>
      </c>
      <c r="Y218" s="15">
        <f>MAX(0,X217*(1-INDEX($B$11:$B$63,13))*(1-E217))</f>
        <v/>
      </c>
      <c r="Z218" s="15">
        <f>MAX(0,Y217*(1-INDEX($B$11:$B$63,14))*(1-E217))</f>
        <v/>
      </c>
      <c r="AA218" s="15">
        <f>MAX(0,Z217*(1-INDEX($B$11:$B$63,15))*(1-E217))</f>
        <v/>
      </c>
      <c r="AB218" s="15">
        <f>MAX(0,AA217*(1-INDEX($B$11:$B$63,16))*(1-E217))</f>
        <v/>
      </c>
      <c r="AC218" s="15">
        <f>MAX(0,AB217*(1-INDEX($B$11:$B$63,17))*(1-E217))</f>
        <v/>
      </c>
      <c r="AD218" s="15">
        <f>MAX(0,AC217*(1-INDEX($B$11:$B$63,18))*(1-E217))</f>
        <v/>
      </c>
      <c r="AE218" s="15">
        <f>MAX(0,AD217*(1-INDEX($B$11:$B$63,19))*(1-E217))</f>
        <v/>
      </c>
      <c r="AF218" s="15">
        <f>MAX(0,AE217*(1-INDEX($B$11:$B$63,20))*(1-E217))</f>
        <v/>
      </c>
      <c r="AG218" s="15">
        <f>MAX(0,AF217*(1-INDEX($B$11:$B$63,21))*(1-E217))</f>
        <v/>
      </c>
      <c r="AH218" s="15">
        <f>MAX(0,AG217*(1-INDEX($B$11:$B$63,22))*(1-E217))</f>
        <v/>
      </c>
      <c r="AI218" s="15">
        <f>MAX(0,AH217*(1-INDEX($B$11:$B$63,23))*(1-E217))</f>
        <v/>
      </c>
      <c r="AJ218" s="15">
        <f>MAX(0,AI217*(1-INDEX($B$11:$B$63,24))*(1-E217))</f>
        <v/>
      </c>
      <c r="AK218" s="15">
        <f>MAX(0,AJ217*(1-INDEX($B$11:$B$63,25))*(1-E217))</f>
        <v/>
      </c>
      <c r="AL218" s="15">
        <f>MAX(0,AK217*(1-INDEX($B$11:$B$63,26))*(1-E217))</f>
        <v/>
      </c>
      <c r="AM218" s="15">
        <f>MAX(0,AL217*(1-INDEX($B$11:$B$63,27))*(1-E217))</f>
        <v/>
      </c>
      <c r="AN218" s="15">
        <f>MAX(0,AM217*(1-INDEX($B$11:$B$63,28))*(1-E217))</f>
        <v/>
      </c>
      <c r="AO218" s="15">
        <f>MAX(0,AN217*(1-INDEX($B$11:$B$63,29))*(1-E217))</f>
        <v/>
      </c>
      <c r="AP218" s="15">
        <f>MAX(0,AO217*(1-INDEX($B$11:$B$63,30))*(1-E217))</f>
        <v/>
      </c>
      <c r="AQ218" s="15">
        <f>MAX(0,AP217*(1-INDEX($B$11:$B$63,31))*(1-E217))</f>
        <v/>
      </c>
      <c r="AR218" s="15">
        <f>MAX(0,AQ217*(1-INDEX($B$11:$B$63,32))*(1-E217))</f>
        <v/>
      </c>
      <c r="AS218" s="15">
        <f>MAX(0,AR217*(1-INDEX($B$11:$B$63,33))*(1-E217))</f>
        <v/>
      </c>
      <c r="AT218" s="15">
        <f>MAX(0,AS217*(1-INDEX($B$11:$B$63,34))*(1-E217))</f>
        <v/>
      </c>
      <c r="AU218" s="15">
        <f>MAX(0,AT217*(1-INDEX($B$11:$B$63,35))*(1-E217))</f>
        <v/>
      </c>
      <c r="AV218" s="15">
        <f>MAX(0,AU217*(1-INDEX($B$11:$B$63,36))*(1-E217))</f>
        <v/>
      </c>
      <c r="AW218" s="15">
        <f>MAX(0,AV217*(1-INDEX($B$11:$B$63,37))*(1-E217))</f>
        <v/>
      </c>
      <c r="AX218" s="15">
        <f>MAX(0,AW217*(1-INDEX($B$11:$B$63,38))*(1-E217))</f>
        <v/>
      </c>
      <c r="AY218" s="15">
        <f>MAX(0,AX217*(1-INDEX($B$11:$B$63,39))*(1-E217))</f>
        <v/>
      </c>
      <c r="AZ218" s="15">
        <f>MAX(0,AY217*(1-INDEX($B$11:$B$63,40))*(1-E217))</f>
        <v/>
      </c>
      <c r="BA218" s="15">
        <f>MAX(0,AZ217*(1-INDEX($B$11:$B$63,41))*(1-E217))</f>
        <v/>
      </c>
      <c r="BB218" s="15">
        <f>MAX(0,BA217*(1-INDEX($B$11:$B$63,42))*(1-E217))</f>
        <v/>
      </c>
      <c r="BC218" s="15">
        <f>MAX(0,BB217*(1-INDEX($B$11:$B$63,43))*(1-E217))</f>
        <v/>
      </c>
      <c r="BD218" s="15">
        <f>MAX(0,BC217*(1-INDEX($B$11:$B$63,44))*(1-E217))</f>
        <v/>
      </c>
      <c r="BE218" s="15">
        <f>MAX(0,BD217*(1-INDEX($B$11:$B$63,45))*(1-E217))</f>
        <v/>
      </c>
      <c r="BF218" s="15">
        <f>MAX(0,BE217*(1-INDEX($B$11:$B$63,46))*(1-E217))</f>
        <v/>
      </c>
      <c r="BG218" s="15">
        <f>MAX(0,BF217*(1-INDEX($B$11:$B$63,47))*(1-E217))</f>
        <v/>
      </c>
      <c r="BH218" s="15">
        <f>MAX(0,BG217*(1-INDEX($B$11:$B$63,48))*(1-E217))</f>
        <v/>
      </c>
      <c r="BI218" s="15">
        <f>MAX(0,BH217*(1-INDEX($B$11:$B$63,49))*(1-E217))</f>
        <v/>
      </c>
      <c r="BJ218" s="15">
        <f>MAX(0,BI217*(1-INDEX($B$11:$B$63,50))*(1-E217))</f>
        <v/>
      </c>
      <c r="BK218" s="15">
        <f>MAX(0,BJ217*(1-INDEX($B$11:$B$63,51))*(1-E217))</f>
        <v/>
      </c>
      <c r="BL218" s="15">
        <f>MAX(0,(BL217+BK217)*(1-INDEX($B$11:$B$63,53))*(1-E217))</f>
        <v/>
      </c>
    </row>
    <row r="219">
      <c r="A219" s="55" t="n">
        <v>153</v>
      </c>
      <c r="B219" s="15">
        <f>IF(A219&gt;Inputs!$C$62,"",SUM(M219:BK219))</f>
        <v/>
      </c>
      <c r="C219" s="15">
        <f>IF(A219&gt;Inputs!$C$62,"",INDEX(Trajectory!$C$23:$C$2000,A219))</f>
        <v/>
      </c>
      <c r="D219" s="15">
        <f>IF(A219&gt;Inputs!$C$62,"",SUM(L219:BK219))</f>
        <v/>
      </c>
      <c r="E219" s="12">
        <f>IF(A219&gt;Inputs!$C$62,"",INDEX(Trajectory!$AG$23:$AG$2000,A219))</f>
        <v/>
      </c>
      <c r="F219" s="12">
        <f>IF(D219=0,0,SUMPRODUCT(L219:BK219,$B$11:$B$63)/D219)</f>
        <v/>
      </c>
      <c r="G219" s="12">
        <f>IF(D219=0,0,MIN(0.95,1-(1-F219)*(1-E219)))</f>
        <v/>
      </c>
      <c r="H219" s="15">
        <f>IF(D219=0,0,D219*G219)</f>
        <v/>
      </c>
      <c r="I219" s="15">
        <f>IF(D219=0,0,D219-H219)</f>
        <v/>
      </c>
      <c r="L219" s="15">
        <f>C219</f>
        <v/>
      </c>
      <c r="M219" s="15">
        <f>MAX(0,L218*(1-INDEX($B$11:$B$63,1))*(1-E218))</f>
        <v/>
      </c>
      <c r="N219" s="15">
        <f>MAX(0,M218*(1-INDEX($B$11:$B$63,2))*(1-E218))</f>
        <v/>
      </c>
      <c r="O219" s="15">
        <f>MAX(0,N218*(1-INDEX($B$11:$B$63,3))*(1-E218))</f>
        <v/>
      </c>
      <c r="P219" s="15">
        <f>MAX(0,O218*(1-INDEX($B$11:$B$63,4))*(1-E218))</f>
        <v/>
      </c>
      <c r="Q219" s="15">
        <f>MAX(0,P218*(1-INDEX($B$11:$B$63,5))*(1-E218))</f>
        <v/>
      </c>
      <c r="R219" s="15">
        <f>MAX(0,Q218*(1-INDEX($B$11:$B$63,6))*(1-E218))</f>
        <v/>
      </c>
      <c r="S219" s="15">
        <f>MAX(0,R218*(1-INDEX($B$11:$B$63,7))*(1-E218))</f>
        <v/>
      </c>
      <c r="T219" s="15">
        <f>MAX(0,S218*(1-INDEX($B$11:$B$63,8))*(1-E218))</f>
        <v/>
      </c>
      <c r="U219" s="15">
        <f>MAX(0,T218*(1-INDEX($B$11:$B$63,9))*(1-E218))</f>
        <v/>
      </c>
      <c r="V219" s="15">
        <f>MAX(0,U218*(1-INDEX($B$11:$B$63,10))*(1-E218))</f>
        <v/>
      </c>
      <c r="W219" s="15">
        <f>MAX(0,V218*(1-INDEX($B$11:$B$63,11))*(1-E218))</f>
        <v/>
      </c>
      <c r="X219" s="15">
        <f>MAX(0,W218*(1-INDEX($B$11:$B$63,12))*(1-E218))</f>
        <v/>
      </c>
      <c r="Y219" s="15">
        <f>MAX(0,X218*(1-INDEX($B$11:$B$63,13))*(1-E218))</f>
        <v/>
      </c>
      <c r="Z219" s="15">
        <f>MAX(0,Y218*(1-INDEX($B$11:$B$63,14))*(1-E218))</f>
        <v/>
      </c>
      <c r="AA219" s="15">
        <f>MAX(0,Z218*(1-INDEX($B$11:$B$63,15))*(1-E218))</f>
        <v/>
      </c>
      <c r="AB219" s="15">
        <f>MAX(0,AA218*(1-INDEX($B$11:$B$63,16))*(1-E218))</f>
        <v/>
      </c>
      <c r="AC219" s="15">
        <f>MAX(0,AB218*(1-INDEX($B$11:$B$63,17))*(1-E218))</f>
        <v/>
      </c>
      <c r="AD219" s="15">
        <f>MAX(0,AC218*(1-INDEX($B$11:$B$63,18))*(1-E218))</f>
        <v/>
      </c>
      <c r="AE219" s="15">
        <f>MAX(0,AD218*(1-INDEX($B$11:$B$63,19))*(1-E218))</f>
        <v/>
      </c>
      <c r="AF219" s="15">
        <f>MAX(0,AE218*(1-INDEX($B$11:$B$63,20))*(1-E218))</f>
        <v/>
      </c>
      <c r="AG219" s="15">
        <f>MAX(0,AF218*(1-INDEX($B$11:$B$63,21))*(1-E218))</f>
        <v/>
      </c>
      <c r="AH219" s="15">
        <f>MAX(0,AG218*(1-INDEX($B$11:$B$63,22))*(1-E218))</f>
        <v/>
      </c>
      <c r="AI219" s="15">
        <f>MAX(0,AH218*(1-INDEX($B$11:$B$63,23))*(1-E218))</f>
        <v/>
      </c>
      <c r="AJ219" s="15">
        <f>MAX(0,AI218*(1-INDEX($B$11:$B$63,24))*(1-E218))</f>
        <v/>
      </c>
      <c r="AK219" s="15">
        <f>MAX(0,AJ218*(1-INDEX($B$11:$B$63,25))*(1-E218))</f>
        <v/>
      </c>
      <c r="AL219" s="15">
        <f>MAX(0,AK218*(1-INDEX($B$11:$B$63,26))*(1-E218))</f>
        <v/>
      </c>
      <c r="AM219" s="15">
        <f>MAX(0,AL218*(1-INDEX($B$11:$B$63,27))*(1-E218))</f>
        <v/>
      </c>
      <c r="AN219" s="15">
        <f>MAX(0,AM218*(1-INDEX($B$11:$B$63,28))*(1-E218))</f>
        <v/>
      </c>
      <c r="AO219" s="15">
        <f>MAX(0,AN218*(1-INDEX($B$11:$B$63,29))*(1-E218))</f>
        <v/>
      </c>
      <c r="AP219" s="15">
        <f>MAX(0,AO218*(1-INDEX($B$11:$B$63,30))*(1-E218))</f>
        <v/>
      </c>
      <c r="AQ219" s="15">
        <f>MAX(0,AP218*(1-INDEX($B$11:$B$63,31))*(1-E218))</f>
        <v/>
      </c>
      <c r="AR219" s="15">
        <f>MAX(0,AQ218*(1-INDEX($B$11:$B$63,32))*(1-E218))</f>
        <v/>
      </c>
      <c r="AS219" s="15">
        <f>MAX(0,AR218*(1-INDEX($B$11:$B$63,33))*(1-E218))</f>
        <v/>
      </c>
      <c r="AT219" s="15">
        <f>MAX(0,AS218*(1-INDEX($B$11:$B$63,34))*(1-E218))</f>
        <v/>
      </c>
      <c r="AU219" s="15">
        <f>MAX(0,AT218*(1-INDEX($B$11:$B$63,35))*(1-E218))</f>
        <v/>
      </c>
      <c r="AV219" s="15">
        <f>MAX(0,AU218*(1-INDEX($B$11:$B$63,36))*(1-E218))</f>
        <v/>
      </c>
      <c r="AW219" s="15">
        <f>MAX(0,AV218*(1-INDEX($B$11:$B$63,37))*(1-E218))</f>
        <v/>
      </c>
      <c r="AX219" s="15">
        <f>MAX(0,AW218*(1-INDEX($B$11:$B$63,38))*(1-E218))</f>
        <v/>
      </c>
      <c r="AY219" s="15">
        <f>MAX(0,AX218*(1-INDEX($B$11:$B$63,39))*(1-E218))</f>
        <v/>
      </c>
      <c r="AZ219" s="15">
        <f>MAX(0,AY218*(1-INDEX($B$11:$B$63,40))*(1-E218))</f>
        <v/>
      </c>
      <c r="BA219" s="15">
        <f>MAX(0,AZ218*(1-INDEX($B$11:$B$63,41))*(1-E218))</f>
        <v/>
      </c>
      <c r="BB219" s="15">
        <f>MAX(0,BA218*(1-INDEX($B$11:$B$63,42))*(1-E218))</f>
        <v/>
      </c>
      <c r="BC219" s="15">
        <f>MAX(0,BB218*(1-INDEX($B$11:$B$63,43))*(1-E218))</f>
        <v/>
      </c>
      <c r="BD219" s="15">
        <f>MAX(0,BC218*(1-INDEX($B$11:$B$63,44))*(1-E218))</f>
        <v/>
      </c>
      <c r="BE219" s="15">
        <f>MAX(0,BD218*(1-INDEX($B$11:$B$63,45))*(1-E218))</f>
        <v/>
      </c>
      <c r="BF219" s="15">
        <f>MAX(0,BE218*(1-INDEX($B$11:$B$63,46))*(1-E218))</f>
        <v/>
      </c>
      <c r="BG219" s="15">
        <f>MAX(0,BF218*(1-INDEX($B$11:$B$63,47))*(1-E218))</f>
        <v/>
      </c>
      <c r="BH219" s="15">
        <f>MAX(0,BG218*(1-INDEX($B$11:$B$63,48))*(1-E218))</f>
        <v/>
      </c>
      <c r="BI219" s="15">
        <f>MAX(0,BH218*(1-INDEX($B$11:$B$63,49))*(1-E218))</f>
        <v/>
      </c>
      <c r="BJ219" s="15">
        <f>MAX(0,BI218*(1-INDEX($B$11:$B$63,50))*(1-E218))</f>
        <v/>
      </c>
      <c r="BK219" s="15">
        <f>MAX(0,BJ218*(1-INDEX($B$11:$B$63,51))*(1-E218))</f>
        <v/>
      </c>
      <c r="BL219" s="15">
        <f>MAX(0,(BL218+BK218)*(1-INDEX($B$11:$B$63,53))*(1-E218))</f>
        <v/>
      </c>
    </row>
    <row r="220">
      <c r="A220" s="55" t="n">
        <v>154</v>
      </c>
      <c r="B220" s="15">
        <f>IF(A220&gt;Inputs!$C$62,"",SUM(M220:BK220))</f>
        <v/>
      </c>
      <c r="C220" s="15">
        <f>IF(A220&gt;Inputs!$C$62,"",INDEX(Trajectory!$C$23:$C$2000,A220))</f>
        <v/>
      </c>
      <c r="D220" s="15">
        <f>IF(A220&gt;Inputs!$C$62,"",SUM(L220:BK220))</f>
        <v/>
      </c>
      <c r="E220" s="12">
        <f>IF(A220&gt;Inputs!$C$62,"",INDEX(Trajectory!$AG$23:$AG$2000,A220))</f>
        <v/>
      </c>
      <c r="F220" s="12">
        <f>IF(D220=0,0,SUMPRODUCT(L220:BK220,$B$11:$B$63)/D220)</f>
        <v/>
      </c>
      <c r="G220" s="12">
        <f>IF(D220=0,0,MIN(0.95,1-(1-F220)*(1-E220)))</f>
        <v/>
      </c>
      <c r="H220" s="15">
        <f>IF(D220=0,0,D220*G220)</f>
        <v/>
      </c>
      <c r="I220" s="15">
        <f>IF(D220=0,0,D220-H220)</f>
        <v/>
      </c>
      <c r="L220" s="15">
        <f>C220</f>
        <v/>
      </c>
      <c r="M220" s="15">
        <f>MAX(0,L219*(1-INDEX($B$11:$B$63,1))*(1-E219))</f>
        <v/>
      </c>
      <c r="N220" s="15">
        <f>MAX(0,M219*(1-INDEX($B$11:$B$63,2))*(1-E219))</f>
        <v/>
      </c>
      <c r="O220" s="15">
        <f>MAX(0,N219*(1-INDEX($B$11:$B$63,3))*(1-E219))</f>
        <v/>
      </c>
      <c r="P220" s="15">
        <f>MAX(0,O219*(1-INDEX($B$11:$B$63,4))*(1-E219))</f>
        <v/>
      </c>
      <c r="Q220" s="15">
        <f>MAX(0,P219*(1-INDEX($B$11:$B$63,5))*(1-E219))</f>
        <v/>
      </c>
      <c r="R220" s="15">
        <f>MAX(0,Q219*(1-INDEX($B$11:$B$63,6))*(1-E219))</f>
        <v/>
      </c>
      <c r="S220" s="15">
        <f>MAX(0,R219*(1-INDEX($B$11:$B$63,7))*(1-E219))</f>
        <v/>
      </c>
      <c r="T220" s="15">
        <f>MAX(0,S219*(1-INDEX($B$11:$B$63,8))*(1-E219))</f>
        <v/>
      </c>
      <c r="U220" s="15">
        <f>MAX(0,T219*(1-INDEX($B$11:$B$63,9))*(1-E219))</f>
        <v/>
      </c>
      <c r="V220" s="15">
        <f>MAX(0,U219*(1-INDEX($B$11:$B$63,10))*(1-E219))</f>
        <v/>
      </c>
      <c r="W220" s="15">
        <f>MAX(0,V219*(1-INDEX($B$11:$B$63,11))*(1-E219))</f>
        <v/>
      </c>
      <c r="X220" s="15">
        <f>MAX(0,W219*(1-INDEX($B$11:$B$63,12))*(1-E219))</f>
        <v/>
      </c>
      <c r="Y220" s="15">
        <f>MAX(0,X219*(1-INDEX($B$11:$B$63,13))*(1-E219))</f>
        <v/>
      </c>
      <c r="Z220" s="15">
        <f>MAX(0,Y219*(1-INDEX($B$11:$B$63,14))*(1-E219))</f>
        <v/>
      </c>
      <c r="AA220" s="15">
        <f>MAX(0,Z219*(1-INDEX($B$11:$B$63,15))*(1-E219))</f>
        <v/>
      </c>
      <c r="AB220" s="15">
        <f>MAX(0,AA219*(1-INDEX($B$11:$B$63,16))*(1-E219))</f>
        <v/>
      </c>
      <c r="AC220" s="15">
        <f>MAX(0,AB219*(1-INDEX($B$11:$B$63,17))*(1-E219))</f>
        <v/>
      </c>
      <c r="AD220" s="15">
        <f>MAX(0,AC219*(1-INDEX($B$11:$B$63,18))*(1-E219))</f>
        <v/>
      </c>
      <c r="AE220" s="15">
        <f>MAX(0,AD219*(1-INDEX($B$11:$B$63,19))*(1-E219))</f>
        <v/>
      </c>
      <c r="AF220" s="15">
        <f>MAX(0,AE219*(1-INDEX($B$11:$B$63,20))*(1-E219))</f>
        <v/>
      </c>
      <c r="AG220" s="15">
        <f>MAX(0,AF219*(1-INDEX($B$11:$B$63,21))*(1-E219))</f>
        <v/>
      </c>
      <c r="AH220" s="15">
        <f>MAX(0,AG219*(1-INDEX($B$11:$B$63,22))*(1-E219))</f>
        <v/>
      </c>
      <c r="AI220" s="15">
        <f>MAX(0,AH219*(1-INDEX($B$11:$B$63,23))*(1-E219))</f>
        <v/>
      </c>
      <c r="AJ220" s="15">
        <f>MAX(0,AI219*(1-INDEX($B$11:$B$63,24))*(1-E219))</f>
        <v/>
      </c>
      <c r="AK220" s="15">
        <f>MAX(0,AJ219*(1-INDEX($B$11:$B$63,25))*(1-E219))</f>
        <v/>
      </c>
      <c r="AL220" s="15">
        <f>MAX(0,AK219*(1-INDEX($B$11:$B$63,26))*(1-E219))</f>
        <v/>
      </c>
      <c r="AM220" s="15">
        <f>MAX(0,AL219*(1-INDEX($B$11:$B$63,27))*(1-E219))</f>
        <v/>
      </c>
      <c r="AN220" s="15">
        <f>MAX(0,AM219*(1-INDEX($B$11:$B$63,28))*(1-E219))</f>
        <v/>
      </c>
      <c r="AO220" s="15">
        <f>MAX(0,AN219*(1-INDEX($B$11:$B$63,29))*(1-E219))</f>
        <v/>
      </c>
      <c r="AP220" s="15">
        <f>MAX(0,AO219*(1-INDEX($B$11:$B$63,30))*(1-E219))</f>
        <v/>
      </c>
      <c r="AQ220" s="15">
        <f>MAX(0,AP219*(1-INDEX($B$11:$B$63,31))*(1-E219))</f>
        <v/>
      </c>
      <c r="AR220" s="15">
        <f>MAX(0,AQ219*(1-INDEX($B$11:$B$63,32))*(1-E219))</f>
        <v/>
      </c>
      <c r="AS220" s="15">
        <f>MAX(0,AR219*(1-INDEX($B$11:$B$63,33))*(1-E219))</f>
        <v/>
      </c>
      <c r="AT220" s="15">
        <f>MAX(0,AS219*(1-INDEX($B$11:$B$63,34))*(1-E219))</f>
        <v/>
      </c>
      <c r="AU220" s="15">
        <f>MAX(0,AT219*(1-INDEX($B$11:$B$63,35))*(1-E219))</f>
        <v/>
      </c>
      <c r="AV220" s="15">
        <f>MAX(0,AU219*(1-INDEX($B$11:$B$63,36))*(1-E219))</f>
        <v/>
      </c>
      <c r="AW220" s="15">
        <f>MAX(0,AV219*(1-INDEX($B$11:$B$63,37))*(1-E219))</f>
        <v/>
      </c>
      <c r="AX220" s="15">
        <f>MAX(0,AW219*(1-INDEX($B$11:$B$63,38))*(1-E219))</f>
        <v/>
      </c>
      <c r="AY220" s="15">
        <f>MAX(0,AX219*(1-INDEX($B$11:$B$63,39))*(1-E219))</f>
        <v/>
      </c>
      <c r="AZ220" s="15">
        <f>MAX(0,AY219*(1-INDEX($B$11:$B$63,40))*(1-E219))</f>
        <v/>
      </c>
      <c r="BA220" s="15">
        <f>MAX(0,AZ219*(1-INDEX($B$11:$B$63,41))*(1-E219))</f>
        <v/>
      </c>
      <c r="BB220" s="15">
        <f>MAX(0,BA219*(1-INDEX($B$11:$B$63,42))*(1-E219))</f>
        <v/>
      </c>
      <c r="BC220" s="15">
        <f>MAX(0,BB219*(1-INDEX($B$11:$B$63,43))*(1-E219))</f>
        <v/>
      </c>
      <c r="BD220" s="15">
        <f>MAX(0,BC219*(1-INDEX($B$11:$B$63,44))*(1-E219))</f>
        <v/>
      </c>
      <c r="BE220" s="15">
        <f>MAX(0,BD219*(1-INDEX($B$11:$B$63,45))*(1-E219))</f>
        <v/>
      </c>
      <c r="BF220" s="15">
        <f>MAX(0,BE219*(1-INDEX($B$11:$B$63,46))*(1-E219))</f>
        <v/>
      </c>
      <c r="BG220" s="15">
        <f>MAX(0,BF219*(1-INDEX($B$11:$B$63,47))*(1-E219))</f>
        <v/>
      </c>
      <c r="BH220" s="15">
        <f>MAX(0,BG219*(1-INDEX($B$11:$B$63,48))*(1-E219))</f>
        <v/>
      </c>
      <c r="BI220" s="15">
        <f>MAX(0,BH219*(1-INDEX($B$11:$B$63,49))*(1-E219))</f>
        <v/>
      </c>
      <c r="BJ220" s="15">
        <f>MAX(0,BI219*(1-INDEX($B$11:$B$63,50))*(1-E219))</f>
        <v/>
      </c>
      <c r="BK220" s="15">
        <f>MAX(0,BJ219*(1-INDEX($B$11:$B$63,51))*(1-E219))</f>
        <v/>
      </c>
      <c r="BL220" s="15">
        <f>MAX(0,(BL219+BK219)*(1-INDEX($B$11:$B$63,53))*(1-E219))</f>
        <v/>
      </c>
    </row>
    <row r="221">
      <c r="A221" s="55" t="n">
        <v>155</v>
      </c>
      <c r="B221" s="15">
        <f>IF(A221&gt;Inputs!$C$62,"",SUM(M221:BK221))</f>
        <v/>
      </c>
      <c r="C221" s="15">
        <f>IF(A221&gt;Inputs!$C$62,"",INDEX(Trajectory!$C$23:$C$2000,A221))</f>
        <v/>
      </c>
      <c r="D221" s="15">
        <f>IF(A221&gt;Inputs!$C$62,"",SUM(L221:BK221))</f>
        <v/>
      </c>
      <c r="E221" s="12">
        <f>IF(A221&gt;Inputs!$C$62,"",INDEX(Trajectory!$AG$23:$AG$2000,A221))</f>
        <v/>
      </c>
      <c r="F221" s="12">
        <f>IF(D221=0,0,SUMPRODUCT(L221:BK221,$B$11:$B$63)/D221)</f>
        <v/>
      </c>
      <c r="G221" s="12">
        <f>IF(D221=0,0,MIN(0.95,1-(1-F221)*(1-E221)))</f>
        <v/>
      </c>
      <c r="H221" s="15">
        <f>IF(D221=0,0,D221*G221)</f>
        <v/>
      </c>
      <c r="I221" s="15">
        <f>IF(D221=0,0,D221-H221)</f>
        <v/>
      </c>
      <c r="L221" s="15">
        <f>C221</f>
        <v/>
      </c>
      <c r="M221" s="15">
        <f>MAX(0,L220*(1-INDEX($B$11:$B$63,1))*(1-E220))</f>
        <v/>
      </c>
      <c r="N221" s="15">
        <f>MAX(0,M220*(1-INDEX($B$11:$B$63,2))*(1-E220))</f>
        <v/>
      </c>
      <c r="O221" s="15">
        <f>MAX(0,N220*(1-INDEX($B$11:$B$63,3))*(1-E220))</f>
        <v/>
      </c>
      <c r="P221" s="15">
        <f>MAX(0,O220*(1-INDEX($B$11:$B$63,4))*(1-E220))</f>
        <v/>
      </c>
      <c r="Q221" s="15">
        <f>MAX(0,P220*(1-INDEX($B$11:$B$63,5))*(1-E220))</f>
        <v/>
      </c>
      <c r="R221" s="15">
        <f>MAX(0,Q220*(1-INDEX($B$11:$B$63,6))*(1-E220))</f>
        <v/>
      </c>
      <c r="S221" s="15">
        <f>MAX(0,R220*(1-INDEX($B$11:$B$63,7))*(1-E220))</f>
        <v/>
      </c>
      <c r="T221" s="15">
        <f>MAX(0,S220*(1-INDEX($B$11:$B$63,8))*(1-E220))</f>
        <v/>
      </c>
      <c r="U221" s="15">
        <f>MAX(0,T220*(1-INDEX($B$11:$B$63,9))*(1-E220))</f>
        <v/>
      </c>
      <c r="V221" s="15">
        <f>MAX(0,U220*(1-INDEX($B$11:$B$63,10))*(1-E220))</f>
        <v/>
      </c>
      <c r="W221" s="15">
        <f>MAX(0,V220*(1-INDEX($B$11:$B$63,11))*(1-E220))</f>
        <v/>
      </c>
      <c r="X221" s="15">
        <f>MAX(0,W220*(1-INDEX($B$11:$B$63,12))*(1-E220))</f>
        <v/>
      </c>
      <c r="Y221" s="15">
        <f>MAX(0,X220*(1-INDEX($B$11:$B$63,13))*(1-E220))</f>
        <v/>
      </c>
      <c r="Z221" s="15">
        <f>MAX(0,Y220*(1-INDEX($B$11:$B$63,14))*(1-E220))</f>
        <v/>
      </c>
      <c r="AA221" s="15">
        <f>MAX(0,Z220*(1-INDEX($B$11:$B$63,15))*(1-E220))</f>
        <v/>
      </c>
      <c r="AB221" s="15">
        <f>MAX(0,AA220*(1-INDEX($B$11:$B$63,16))*(1-E220))</f>
        <v/>
      </c>
      <c r="AC221" s="15">
        <f>MAX(0,AB220*(1-INDEX($B$11:$B$63,17))*(1-E220))</f>
        <v/>
      </c>
      <c r="AD221" s="15">
        <f>MAX(0,AC220*(1-INDEX($B$11:$B$63,18))*(1-E220))</f>
        <v/>
      </c>
      <c r="AE221" s="15">
        <f>MAX(0,AD220*(1-INDEX($B$11:$B$63,19))*(1-E220))</f>
        <v/>
      </c>
      <c r="AF221" s="15">
        <f>MAX(0,AE220*(1-INDEX($B$11:$B$63,20))*(1-E220))</f>
        <v/>
      </c>
      <c r="AG221" s="15">
        <f>MAX(0,AF220*(1-INDEX($B$11:$B$63,21))*(1-E220))</f>
        <v/>
      </c>
      <c r="AH221" s="15">
        <f>MAX(0,AG220*(1-INDEX($B$11:$B$63,22))*(1-E220))</f>
        <v/>
      </c>
      <c r="AI221" s="15">
        <f>MAX(0,AH220*(1-INDEX($B$11:$B$63,23))*(1-E220))</f>
        <v/>
      </c>
      <c r="AJ221" s="15">
        <f>MAX(0,AI220*(1-INDEX($B$11:$B$63,24))*(1-E220))</f>
        <v/>
      </c>
      <c r="AK221" s="15">
        <f>MAX(0,AJ220*(1-INDEX($B$11:$B$63,25))*(1-E220))</f>
        <v/>
      </c>
      <c r="AL221" s="15">
        <f>MAX(0,AK220*(1-INDEX($B$11:$B$63,26))*(1-E220))</f>
        <v/>
      </c>
      <c r="AM221" s="15">
        <f>MAX(0,AL220*(1-INDEX($B$11:$B$63,27))*(1-E220))</f>
        <v/>
      </c>
      <c r="AN221" s="15">
        <f>MAX(0,AM220*(1-INDEX($B$11:$B$63,28))*(1-E220))</f>
        <v/>
      </c>
      <c r="AO221" s="15">
        <f>MAX(0,AN220*(1-INDEX($B$11:$B$63,29))*(1-E220))</f>
        <v/>
      </c>
      <c r="AP221" s="15">
        <f>MAX(0,AO220*(1-INDEX($B$11:$B$63,30))*(1-E220))</f>
        <v/>
      </c>
      <c r="AQ221" s="15">
        <f>MAX(0,AP220*(1-INDEX($B$11:$B$63,31))*(1-E220))</f>
        <v/>
      </c>
      <c r="AR221" s="15">
        <f>MAX(0,AQ220*(1-INDEX($B$11:$B$63,32))*(1-E220))</f>
        <v/>
      </c>
      <c r="AS221" s="15">
        <f>MAX(0,AR220*(1-INDEX($B$11:$B$63,33))*(1-E220))</f>
        <v/>
      </c>
      <c r="AT221" s="15">
        <f>MAX(0,AS220*(1-INDEX($B$11:$B$63,34))*(1-E220))</f>
        <v/>
      </c>
      <c r="AU221" s="15">
        <f>MAX(0,AT220*(1-INDEX($B$11:$B$63,35))*(1-E220))</f>
        <v/>
      </c>
      <c r="AV221" s="15">
        <f>MAX(0,AU220*(1-INDEX($B$11:$B$63,36))*(1-E220))</f>
        <v/>
      </c>
      <c r="AW221" s="15">
        <f>MAX(0,AV220*(1-INDEX($B$11:$B$63,37))*(1-E220))</f>
        <v/>
      </c>
      <c r="AX221" s="15">
        <f>MAX(0,AW220*(1-INDEX($B$11:$B$63,38))*(1-E220))</f>
        <v/>
      </c>
      <c r="AY221" s="15">
        <f>MAX(0,AX220*(1-INDEX($B$11:$B$63,39))*(1-E220))</f>
        <v/>
      </c>
      <c r="AZ221" s="15">
        <f>MAX(0,AY220*(1-INDEX($B$11:$B$63,40))*(1-E220))</f>
        <v/>
      </c>
      <c r="BA221" s="15">
        <f>MAX(0,AZ220*(1-INDEX($B$11:$B$63,41))*(1-E220))</f>
        <v/>
      </c>
      <c r="BB221" s="15">
        <f>MAX(0,BA220*(1-INDEX($B$11:$B$63,42))*(1-E220))</f>
        <v/>
      </c>
      <c r="BC221" s="15">
        <f>MAX(0,BB220*(1-INDEX($B$11:$B$63,43))*(1-E220))</f>
        <v/>
      </c>
      <c r="BD221" s="15">
        <f>MAX(0,BC220*(1-INDEX($B$11:$B$63,44))*(1-E220))</f>
        <v/>
      </c>
      <c r="BE221" s="15">
        <f>MAX(0,BD220*(1-INDEX($B$11:$B$63,45))*(1-E220))</f>
        <v/>
      </c>
      <c r="BF221" s="15">
        <f>MAX(0,BE220*(1-INDEX($B$11:$B$63,46))*(1-E220))</f>
        <v/>
      </c>
      <c r="BG221" s="15">
        <f>MAX(0,BF220*(1-INDEX($B$11:$B$63,47))*(1-E220))</f>
        <v/>
      </c>
      <c r="BH221" s="15">
        <f>MAX(0,BG220*(1-INDEX($B$11:$B$63,48))*(1-E220))</f>
        <v/>
      </c>
      <c r="BI221" s="15">
        <f>MAX(0,BH220*(1-INDEX($B$11:$B$63,49))*(1-E220))</f>
        <v/>
      </c>
      <c r="BJ221" s="15">
        <f>MAX(0,BI220*(1-INDEX($B$11:$B$63,50))*(1-E220))</f>
        <v/>
      </c>
      <c r="BK221" s="15">
        <f>MAX(0,BJ220*(1-INDEX($B$11:$B$63,51))*(1-E220))</f>
        <v/>
      </c>
      <c r="BL221" s="15">
        <f>MAX(0,(BL220+BK220)*(1-INDEX($B$11:$B$63,53))*(1-E220))</f>
        <v/>
      </c>
    </row>
    <row r="222">
      <c r="A222" s="55" t="n">
        <v>156</v>
      </c>
      <c r="B222" s="15">
        <f>IF(A222&gt;Inputs!$C$62,"",SUM(M222:BK222))</f>
        <v/>
      </c>
      <c r="C222" s="15">
        <f>IF(A222&gt;Inputs!$C$62,"",INDEX(Trajectory!$C$23:$C$2000,A222))</f>
        <v/>
      </c>
      <c r="D222" s="15">
        <f>IF(A222&gt;Inputs!$C$62,"",SUM(L222:BK222))</f>
        <v/>
      </c>
      <c r="E222" s="12">
        <f>IF(A222&gt;Inputs!$C$62,"",INDEX(Trajectory!$AG$23:$AG$2000,A222))</f>
        <v/>
      </c>
      <c r="F222" s="12">
        <f>IF(D222=0,0,SUMPRODUCT(L222:BK222,$B$11:$B$63)/D222)</f>
        <v/>
      </c>
      <c r="G222" s="12">
        <f>IF(D222=0,0,MIN(0.95,1-(1-F222)*(1-E222)))</f>
        <v/>
      </c>
      <c r="H222" s="15">
        <f>IF(D222=0,0,D222*G222)</f>
        <v/>
      </c>
      <c r="I222" s="15">
        <f>IF(D222=0,0,D222-H222)</f>
        <v/>
      </c>
      <c r="L222" s="15">
        <f>C222</f>
        <v/>
      </c>
      <c r="M222" s="15">
        <f>MAX(0,L221*(1-INDEX($B$11:$B$63,1))*(1-E221))</f>
        <v/>
      </c>
      <c r="N222" s="15">
        <f>MAX(0,M221*(1-INDEX($B$11:$B$63,2))*(1-E221))</f>
        <v/>
      </c>
      <c r="O222" s="15">
        <f>MAX(0,N221*(1-INDEX($B$11:$B$63,3))*(1-E221))</f>
        <v/>
      </c>
      <c r="P222" s="15">
        <f>MAX(0,O221*(1-INDEX($B$11:$B$63,4))*(1-E221))</f>
        <v/>
      </c>
      <c r="Q222" s="15">
        <f>MAX(0,P221*(1-INDEX($B$11:$B$63,5))*(1-E221))</f>
        <v/>
      </c>
      <c r="R222" s="15">
        <f>MAX(0,Q221*(1-INDEX($B$11:$B$63,6))*(1-E221))</f>
        <v/>
      </c>
      <c r="S222" s="15">
        <f>MAX(0,R221*(1-INDEX($B$11:$B$63,7))*(1-E221))</f>
        <v/>
      </c>
      <c r="T222" s="15">
        <f>MAX(0,S221*(1-INDEX($B$11:$B$63,8))*(1-E221))</f>
        <v/>
      </c>
      <c r="U222" s="15">
        <f>MAX(0,T221*(1-INDEX($B$11:$B$63,9))*(1-E221))</f>
        <v/>
      </c>
      <c r="V222" s="15">
        <f>MAX(0,U221*(1-INDEX($B$11:$B$63,10))*(1-E221))</f>
        <v/>
      </c>
      <c r="W222" s="15">
        <f>MAX(0,V221*(1-INDEX($B$11:$B$63,11))*(1-E221))</f>
        <v/>
      </c>
      <c r="X222" s="15">
        <f>MAX(0,W221*(1-INDEX($B$11:$B$63,12))*(1-E221))</f>
        <v/>
      </c>
      <c r="Y222" s="15">
        <f>MAX(0,X221*(1-INDEX($B$11:$B$63,13))*(1-E221))</f>
        <v/>
      </c>
      <c r="Z222" s="15">
        <f>MAX(0,Y221*(1-INDEX($B$11:$B$63,14))*(1-E221))</f>
        <v/>
      </c>
      <c r="AA222" s="15">
        <f>MAX(0,Z221*(1-INDEX($B$11:$B$63,15))*(1-E221))</f>
        <v/>
      </c>
      <c r="AB222" s="15">
        <f>MAX(0,AA221*(1-INDEX($B$11:$B$63,16))*(1-E221))</f>
        <v/>
      </c>
      <c r="AC222" s="15">
        <f>MAX(0,AB221*(1-INDEX($B$11:$B$63,17))*(1-E221))</f>
        <v/>
      </c>
      <c r="AD222" s="15">
        <f>MAX(0,AC221*(1-INDEX($B$11:$B$63,18))*(1-E221))</f>
        <v/>
      </c>
      <c r="AE222" s="15">
        <f>MAX(0,AD221*(1-INDEX($B$11:$B$63,19))*(1-E221))</f>
        <v/>
      </c>
      <c r="AF222" s="15">
        <f>MAX(0,AE221*(1-INDEX($B$11:$B$63,20))*(1-E221))</f>
        <v/>
      </c>
      <c r="AG222" s="15">
        <f>MAX(0,AF221*(1-INDEX($B$11:$B$63,21))*(1-E221))</f>
        <v/>
      </c>
      <c r="AH222" s="15">
        <f>MAX(0,AG221*(1-INDEX($B$11:$B$63,22))*(1-E221))</f>
        <v/>
      </c>
      <c r="AI222" s="15">
        <f>MAX(0,AH221*(1-INDEX($B$11:$B$63,23))*(1-E221))</f>
        <v/>
      </c>
      <c r="AJ222" s="15">
        <f>MAX(0,AI221*(1-INDEX($B$11:$B$63,24))*(1-E221))</f>
        <v/>
      </c>
      <c r="AK222" s="15">
        <f>MAX(0,AJ221*(1-INDEX($B$11:$B$63,25))*(1-E221))</f>
        <v/>
      </c>
      <c r="AL222" s="15">
        <f>MAX(0,AK221*(1-INDEX($B$11:$B$63,26))*(1-E221))</f>
        <v/>
      </c>
      <c r="AM222" s="15">
        <f>MAX(0,AL221*(1-INDEX($B$11:$B$63,27))*(1-E221))</f>
        <v/>
      </c>
      <c r="AN222" s="15">
        <f>MAX(0,AM221*(1-INDEX($B$11:$B$63,28))*(1-E221))</f>
        <v/>
      </c>
      <c r="AO222" s="15">
        <f>MAX(0,AN221*(1-INDEX($B$11:$B$63,29))*(1-E221))</f>
        <v/>
      </c>
      <c r="AP222" s="15">
        <f>MAX(0,AO221*(1-INDEX($B$11:$B$63,30))*(1-E221))</f>
        <v/>
      </c>
      <c r="AQ222" s="15">
        <f>MAX(0,AP221*(1-INDEX($B$11:$B$63,31))*(1-E221))</f>
        <v/>
      </c>
      <c r="AR222" s="15">
        <f>MAX(0,AQ221*(1-INDEX($B$11:$B$63,32))*(1-E221))</f>
        <v/>
      </c>
      <c r="AS222" s="15">
        <f>MAX(0,AR221*(1-INDEX($B$11:$B$63,33))*(1-E221))</f>
        <v/>
      </c>
      <c r="AT222" s="15">
        <f>MAX(0,AS221*(1-INDEX($B$11:$B$63,34))*(1-E221))</f>
        <v/>
      </c>
      <c r="AU222" s="15">
        <f>MAX(0,AT221*(1-INDEX($B$11:$B$63,35))*(1-E221))</f>
        <v/>
      </c>
      <c r="AV222" s="15">
        <f>MAX(0,AU221*(1-INDEX($B$11:$B$63,36))*(1-E221))</f>
        <v/>
      </c>
      <c r="AW222" s="15">
        <f>MAX(0,AV221*(1-INDEX($B$11:$B$63,37))*(1-E221))</f>
        <v/>
      </c>
      <c r="AX222" s="15">
        <f>MAX(0,AW221*(1-INDEX($B$11:$B$63,38))*(1-E221))</f>
        <v/>
      </c>
      <c r="AY222" s="15">
        <f>MAX(0,AX221*(1-INDEX($B$11:$B$63,39))*(1-E221))</f>
        <v/>
      </c>
      <c r="AZ222" s="15">
        <f>MAX(0,AY221*(1-INDEX($B$11:$B$63,40))*(1-E221))</f>
        <v/>
      </c>
      <c r="BA222" s="15">
        <f>MAX(0,AZ221*(1-INDEX($B$11:$B$63,41))*(1-E221))</f>
        <v/>
      </c>
      <c r="BB222" s="15">
        <f>MAX(0,BA221*(1-INDEX($B$11:$B$63,42))*(1-E221))</f>
        <v/>
      </c>
      <c r="BC222" s="15">
        <f>MAX(0,BB221*(1-INDEX($B$11:$B$63,43))*(1-E221))</f>
        <v/>
      </c>
      <c r="BD222" s="15">
        <f>MAX(0,BC221*(1-INDEX($B$11:$B$63,44))*(1-E221))</f>
        <v/>
      </c>
      <c r="BE222" s="15">
        <f>MAX(0,BD221*(1-INDEX($B$11:$B$63,45))*(1-E221))</f>
        <v/>
      </c>
      <c r="BF222" s="15">
        <f>MAX(0,BE221*(1-INDEX($B$11:$B$63,46))*(1-E221))</f>
        <v/>
      </c>
      <c r="BG222" s="15">
        <f>MAX(0,BF221*(1-INDEX($B$11:$B$63,47))*(1-E221))</f>
        <v/>
      </c>
      <c r="BH222" s="15">
        <f>MAX(0,BG221*(1-INDEX($B$11:$B$63,48))*(1-E221))</f>
        <v/>
      </c>
      <c r="BI222" s="15">
        <f>MAX(0,BH221*(1-INDEX($B$11:$B$63,49))*(1-E221))</f>
        <v/>
      </c>
      <c r="BJ222" s="15">
        <f>MAX(0,BI221*(1-INDEX($B$11:$B$63,50))*(1-E221))</f>
        <v/>
      </c>
      <c r="BK222" s="15">
        <f>MAX(0,BJ221*(1-INDEX($B$11:$B$63,51))*(1-E221))</f>
        <v/>
      </c>
      <c r="BL222" s="15">
        <f>MAX(0,(BL221+BK221)*(1-INDEX($B$11:$B$63,53))*(1-E221))</f>
        <v/>
      </c>
    </row>
    <row r="223">
      <c r="A223" s="55" t="n">
        <v>157</v>
      </c>
      <c r="B223" s="15">
        <f>IF(A223&gt;Inputs!$C$62,"",SUM(M223:BK223))</f>
        <v/>
      </c>
      <c r="C223" s="15">
        <f>IF(A223&gt;Inputs!$C$62,"",INDEX(Trajectory!$C$23:$C$2000,A223))</f>
        <v/>
      </c>
      <c r="D223" s="15">
        <f>IF(A223&gt;Inputs!$C$62,"",SUM(L223:BK223))</f>
        <v/>
      </c>
      <c r="E223" s="12">
        <f>IF(A223&gt;Inputs!$C$62,"",INDEX(Trajectory!$AG$23:$AG$2000,A223))</f>
        <v/>
      </c>
      <c r="F223" s="12">
        <f>IF(D223=0,0,SUMPRODUCT(L223:BK223,$B$11:$B$63)/D223)</f>
        <v/>
      </c>
      <c r="G223" s="12">
        <f>IF(D223=0,0,MIN(0.95,1-(1-F223)*(1-E223)))</f>
        <v/>
      </c>
      <c r="H223" s="15">
        <f>IF(D223=0,0,D223*G223)</f>
        <v/>
      </c>
      <c r="I223" s="15">
        <f>IF(D223=0,0,D223-H223)</f>
        <v/>
      </c>
      <c r="L223" s="15">
        <f>C223</f>
        <v/>
      </c>
      <c r="M223" s="15">
        <f>MAX(0,L222*(1-INDEX($B$11:$B$63,1))*(1-E222))</f>
        <v/>
      </c>
      <c r="N223" s="15">
        <f>MAX(0,M222*(1-INDEX($B$11:$B$63,2))*(1-E222))</f>
        <v/>
      </c>
      <c r="O223" s="15">
        <f>MAX(0,N222*(1-INDEX($B$11:$B$63,3))*(1-E222))</f>
        <v/>
      </c>
      <c r="P223" s="15">
        <f>MAX(0,O222*(1-INDEX($B$11:$B$63,4))*(1-E222))</f>
        <v/>
      </c>
      <c r="Q223" s="15">
        <f>MAX(0,P222*(1-INDEX($B$11:$B$63,5))*(1-E222))</f>
        <v/>
      </c>
      <c r="R223" s="15">
        <f>MAX(0,Q222*(1-INDEX($B$11:$B$63,6))*(1-E222))</f>
        <v/>
      </c>
      <c r="S223" s="15">
        <f>MAX(0,R222*(1-INDEX($B$11:$B$63,7))*(1-E222))</f>
        <v/>
      </c>
      <c r="T223" s="15">
        <f>MAX(0,S222*(1-INDEX($B$11:$B$63,8))*(1-E222))</f>
        <v/>
      </c>
      <c r="U223" s="15">
        <f>MAX(0,T222*(1-INDEX($B$11:$B$63,9))*(1-E222))</f>
        <v/>
      </c>
      <c r="V223" s="15">
        <f>MAX(0,U222*(1-INDEX($B$11:$B$63,10))*(1-E222))</f>
        <v/>
      </c>
      <c r="W223" s="15">
        <f>MAX(0,V222*(1-INDEX($B$11:$B$63,11))*(1-E222))</f>
        <v/>
      </c>
      <c r="X223" s="15">
        <f>MAX(0,W222*(1-INDEX($B$11:$B$63,12))*(1-E222))</f>
        <v/>
      </c>
      <c r="Y223" s="15">
        <f>MAX(0,X222*(1-INDEX($B$11:$B$63,13))*(1-E222))</f>
        <v/>
      </c>
      <c r="Z223" s="15">
        <f>MAX(0,Y222*(1-INDEX($B$11:$B$63,14))*(1-E222))</f>
        <v/>
      </c>
      <c r="AA223" s="15">
        <f>MAX(0,Z222*(1-INDEX($B$11:$B$63,15))*(1-E222))</f>
        <v/>
      </c>
      <c r="AB223" s="15">
        <f>MAX(0,AA222*(1-INDEX($B$11:$B$63,16))*(1-E222))</f>
        <v/>
      </c>
      <c r="AC223" s="15">
        <f>MAX(0,AB222*(1-INDEX($B$11:$B$63,17))*(1-E222))</f>
        <v/>
      </c>
      <c r="AD223" s="15">
        <f>MAX(0,AC222*(1-INDEX($B$11:$B$63,18))*(1-E222))</f>
        <v/>
      </c>
      <c r="AE223" s="15">
        <f>MAX(0,AD222*(1-INDEX($B$11:$B$63,19))*(1-E222))</f>
        <v/>
      </c>
      <c r="AF223" s="15">
        <f>MAX(0,AE222*(1-INDEX($B$11:$B$63,20))*(1-E222))</f>
        <v/>
      </c>
      <c r="AG223" s="15">
        <f>MAX(0,AF222*(1-INDEX($B$11:$B$63,21))*(1-E222))</f>
        <v/>
      </c>
      <c r="AH223" s="15">
        <f>MAX(0,AG222*(1-INDEX($B$11:$B$63,22))*(1-E222))</f>
        <v/>
      </c>
      <c r="AI223" s="15">
        <f>MAX(0,AH222*(1-INDEX($B$11:$B$63,23))*(1-E222))</f>
        <v/>
      </c>
      <c r="AJ223" s="15">
        <f>MAX(0,AI222*(1-INDEX($B$11:$B$63,24))*(1-E222))</f>
        <v/>
      </c>
      <c r="AK223" s="15">
        <f>MAX(0,AJ222*(1-INDEX($B$11:$B$63,25))*(1-E222))</f>
        <v/>
      </c>
      <c r="AL223" s="15">
        <f>MAX(0,AK222*(1-INDEX($B$11:$B$63,26))*(1-E222))</f>
        <v/>
      </c>
      <c r="AM223" s="15">
        <f>MAX(0,AL222*(1-INDEX($B$11:$B$63,27))*(1-E222))</f>
        <v/>
      </c>
      <c r="AN223" s="15">
        <f>MAX(0,AM222*(1-INDEX($B$11:$B$63,28))*(1-E222))</f>
        <v/>
      </c>
      <c r="AO223" s="15">
        <f>MAX(0,AN222*(1-INDEX($B$11:$B$63,29))*(1-E222))</f>
        <v/>
      </c>
      <c r="AP223" s="15">
        <f>MAX(0,AO222*(1-INDEX($B$11:$B$63,30))*(1-E222))</f>
        <v/>
      </c>
      <c r="AQ223" s="15">
        <f>MAX(0,AP222*(1-INDEX($B$11:$B$63,31))*(1-E222))</f>
        <v/>
      </c>
      <c r="AR223" s="15">
        <f>MAX(0,AQ222*(1-INDEX($B$11:$B$63,32))*(1-E222))</f>
        <v/>
      </c>
      <c r="AS223" s="15">
        <f>MAX(0,AR222*(1-INDEX($B$11:$B$63,33))*(1-E222))</f>
        <v/>
      </c>
      <c r="AT223" s="15">
        <f>MAX(0,AS222*(1-INDEX($B$11:$B$63,34))*(1-E222))</f>
        <v/>
      </c>
      <c r="AU223" s="15">
        <f>MAX(0,AT222*(1-INDEX($B$11:$B$63,35))*(1-E222))</f>
        <v/>
      </c>
      <c r="AV223" s="15">
        <f>MAX(0,AU222*(1-INDEX($B$11:$B$63,36))*(1-E222))</f>
        <v/>
      </c>
      <c r="AW223" s="15">
        <f>MAX(0,AV222*(1-INDEX($B$11:$B$63,37))*(1-E222))</f>
        <v/>
      </c>
      <c r="AX223" s="15">
        <f>MAX(0,AW222*(1-INDEX($B$11:$B$63,38))*(1-E222))</f>
        <v/>
      </c>
      <c r="AY223" s="15">
        <f>MAX(0,AX222*(1-INDEX($B$11:$B$63,39))*(1-E222))</f>
        <v/>
      </c>
      <c r="AZ223" s="15">
        <f>MAX(0,AY222*(1-INDEX($B$11:$B$63,40))*(1-E222))</f>
        <v/>
      </c>
      <c r="BA223" s="15">
        <f>MAX(0,AZ222*(1-INDEX($B$11:$B$63,41))*(1-E222))</f>
        <v/>
      </c>
      <c r="BB223" s="15">
        <f>MAX(0,BA222*(1-INDEX($B$11:$B$63,42))*(1-E222))</f>
        <v/>
      </c>
      <c r="BC223" s="15">
        <f>MAX(0,BB222*(1-INDEX($B$11:$B$63,43))*(1-E222))</f>
        <v/>
      </c>
      <c r="BD223" s="15">
        <f>MAX(0,BC222*(1-INDEX($B$11:$B$63,44))*(1-E222))</f>
        <v/>
      </c>
      <c r="BE223" s="15">
        <f>MAX(0,BD222*(1-INDEX($B$11:$B$63,45))*(1-E222))</f>
        <v/>
      </c>
      <c r="BF223" s="15">
        <f>MAX(0,BE222*(1-INDEX($B$11:$B$63,46))*(1-E222))</f>
        <v/>
      </c>
      <c r="BG223" s="15">
        <f>MAX(0,BF222*(1-INDEX($B$11:$B$63,47))*(1-E222))</f>
        <v/>
      </c>
      <c r="BH223" s="15">
        <f>MAX(0,BG222*(1-INDEX($B$11:$B$63,48))*(1-E222))</f>
        <v/>
      </c>
      <c r="BI223" s="15">
        <f>MAX(0,BH222*(1-INDEX($B$11:$B$63,49))*(1-E222))</f>
        <v/>
      </c>
      <c r="BJ223" s="15">
        <f>MAX(0,BI222*(1-INDEX($B$11:$B$63,50))*(1-E222))</f>
        <v/>
      </c>
      <c r="BK223" s="15">
        <f>MAX(0,BJ222*(1-INDEX($B$11:$B$63,51))*(1-E222))</f>
        <v/>
      </c>
      <c r="BL223" s="15">
        <f>MAX(0,(BL222+BK222)*(1-INDEX($B$11:$B$63,53))*(1-E222))</f>
        <v/>
      </c>
    </row>
    <row r="224">
      <c r="A224" s="55" t="n">
        <v>158</v>
      </c>
      <c r="B224" s="15">
        <f>IF(A224&gt;Inputs!$C$62,"",SUM(M224:BK224))</f>
        <v/>
      </c>
      <c r="C224" s="15">
        <f>IF(A224&gt;Inputs!$C$62,"",INDEX(Trajectory!$C$23:$C$2000,A224))</f>
        <v/>
      </c>
      <c r="D224" s="15">
        <f>IF(A224&gt;Inputs!$C$62,"",SUM(L224:BK224))</f>
        <v/>
      </c>
      <c r="E224" s="12">
        <f>IF(A224&gt;Inputs!$C$62,"",INDEX(Trajectory!$AG$23:$AG$2000,A224))</f>
        <v/>
      </c>
      <c r="F224" s="12">
        <f>IF(D224=0,0,SUMPRODUCT(L224:BK224,$B$11:$B$63)/D224)</f>
        <v/>
      </c>
      <c r="G224" s="12">
        <f>IF(D224=0,0,MIN(0.95,1-(1-F224)*(1-E224)))</f>
        <v/>
      </c>
      <c r="H224" s="15">
        <f>IF(D224=0,0,D224*G224)</f>
        <v/>
      </c>
      <c r="I224" s="15">
        <f>IF(D224=0,0,D224-H224)</f>
        <v/>
      </c>
      <c r="L224" s="15">
        <f>C224</f>
        <v/>
      </c>
      <c r="M224" s="15">
        <f>MAX(0,L223*(1-INDEX($B$11:$B$63,1))*(1-E223))</f>
        <v/>
      </c>
      <c r="N224" s="15">
        <f>MAX(0,M223*(1-INDEX($B$11:$B$63,2))*(1-E223))</f>
        <v/>
      </c>
      <c r="O224" s="15">
        <f>MAX(0,N223*(1-INDEX($B$11:$B$63,3))*(1-E223))</f>
        <v/>
      </c>
      <c r="P224" s="15">
        <f>MAX(0,O223*(1-INDEX($B$11:$B$63,4))*(1-E223))</f>
        <v/>
      </c>
      <c r="Q224" s="15">
        <f>MAX(0,P223*(1-INDEX($B$11:$B$63,5))*(1-E223))</f>
        <v/>
      </c>
      <c r="R224" s="15">
        <f>MAX(0,Q223*(1-INDEX($B$11:$B$63,6))*(1-E223))</f>
        <v/>
      </c>
      <c r="S224" s="15">
        <f>MAX(0,R223*(1-INDEX($B$11:$B$63,7))*(1-E223))</f>
        <v/>
      </c>
      <c r="T224" s="15">
        <f>MAX(0,S223*(1-INDEX($B$11:$B$63,8))*(1-E223))</f>
        <v/>
      </c>
      <c r="U224" s="15">
        <f>MAX(0,T223*(1-INDEX($B$11:$B$63,9))*(1-E223))</f>
        <v/>
      </c>
      <c r="V224" s="15">
        <f>MAX(0,U223*(1-INDEX($B$11:$B$63,10))*(1-E223))</f>
        <v/>
      </c>
      <c r="W224" s="15">
        <f>MAX(0,V223*(1-INDEX($B$11:$B$63,11))*(1-E223))</f>
        <v/>
      </c>
      <c r="X224" s="15">
        <f>MAX(0,W223*(1-INDEX($B$11:$B$63,12))*(1-E223))</f>
        <v/>
      </c>
      <c r="Y224" s="15">
        <f>MAX(0,X223*(1-INDEX($B$11:$B$63,13))*(1-E223))</f>
        <v/>
      </c>
      <c r="Z224" s="15">
        <f>MAX(0,Y223*(1-INDEX($B$11:$B$63,14))*(1-E223))</f>
        <v/>
      </c>
      <c r="AA224" s="15">
        <f>MAX(0,Z223*(1-INDEX($B$11:$B$63,15))*(1-E223))</f>
        <v/>
      </c>
      <c r="AB224" s="15">
        <f>MAX(0,AA223*(1-INDEX($B$11:$B$63,16))*(1-E223))</f>
        <v/>
      </c>
      <c r="AC224" s="15">
        <f>MAX(0,AB223*(1-INDEX($B$11:$B$63,17))*(1-E223))</f>
        <v/>
      </c>
      <c r="AD224" s="15">
        <f>MAX(0,AC223*(1-INDEX($B$11:$B$63,18))*(1-E223))</f>
        <v/>
      </c>
      <c r="AE224" s="15">
        <f>MAX(0,AD223*(1-INDEX($B$11:$B$63,19))*(1-E223))</f>
        <v/>
      </c>
      <c r="AF224" s="15">
        <f>MAX(0,AE223*(1-INDEX($B$11:$B$63,20))*(1-E223))</f>
        <v/>
      </c>
      <c r="AG224" s="15">
        <f>MAX(0,AF223*(1-INDEX($B$11:$B$63,21))*(1-E223))</f>
        <v/>
      </c>
      <c r="AH224" s="15">
        <f>MAX(0,AG223*(1-INDEX($B$11:$B$63,22))*(1-E223))</f>
        <v/>
      </c>
      <c r="AI224" s="15">
        <f>MAX(0,AH223*(1-INDEX($B$11:$B$63,23))*(1-E223))</f>
        <v/>
      </c>
      <c r="AJ224" s="15">
        <f>MAX(0,AI223*(1-INDEX($B$11:$B$63,24))*(1-E223))</f>
        <v/>
      </c>
      <c r="AK224" s="15">
        <f>MAX(0,AJ223*(1-INDEX($B$11:$B$63,25))*(1-E223))</f>
        <v/>
      </c>
      <c r="AL224" s="15">
        <f>MAX(0,AK223*(1-INDEX($B$11:$B$63,26))*(1-E223))</f>
        <v/>
      </c>
      <c r="AM224" s="15">
        <f>MAX(0,AL223*(1-INDEX($B$11:$B$63,27))*(1-E223))</f>
        <v/>
      </c>
      <c r="AN224" s="15">
        <f>MAX(0,AM223*(1-INDEX($B$11:$B$63,28))*(1-E223))</f>
        <v/>
      </c>
      <c r="AO224" s="15">
        <f>MAX(0,AN223*(1-INDEX($B$11:$B$63,29))*(1-E223))</f>
        <v/>
      </c>
      <c r="AP224" s="15">
        <f>MAX(0,AO223*(1-INDEX($B$11:$B$63,30))*(1-E223))</f>
        <v/>
      </c>
      <c r="AQ224" s="15">
        <f>MAX(0,AP223*(1-INDEX($B$11:$B$63,31))*(1-E223))</f>
        <v/>
      </c>
      <c r="AR224" s="15">
        <f>MAX(0,AQ223*(1-INDEX($B$11:$B$63,32))*(1-E223))</f>
        <v/>
      </c>
      <c r="AS224" s="15">
        <f>MAX(0,AR223*(1-INDEX($B$11:$B$63,33))*(1-E223))</f>
        <v/>
      </c>
      <c r="AT224" s="15">
        <f>MAX(0,AS223*(1-INDEX($B$11:$B$63,34))*(1-E223))</f>
        <v/>
      </c>
      <c r="AU224" s="15">
        <f>MAX(0,AT223*(1-INDEX($B$11:$B$63,35))*(1-E223))</f>
        <v/>
      </c>
      <c r="AV224" s="15">
        <f>MAX(0,AU223*(1-INDEX($B$11:$B$63,36))*(1-E223))</f>
        <v/>
      </c>
      <c r="AW224" s="15">
        <f>MAX(0,AV223*(1-INDEX($B$11:$B$63,37))*(1-E223))</f>
        <v/>
      </c>
      <c r="AX224" s="15">
        <f>MAX(0,AW223*(1-INDEX($B$11:$B$63,38))*(1-E223))</f>
        <v/>
      </c>
      <c r="AY224" s="15">
        <f>MAX(0,AX223*(1-INDEX($B$11:$B$63,39))*(1-E223))</f>
        <v/>
      </c>
      <c r="AZ224" s="15">
        <f>MAX(0,AY223*(1-INDEX($B$11:$B$63,40))*(1-E223))</f>
        <v/>
      </c>
      <c r="BA224" s="15">
        <f>MAX(0,AZ223*(1-INDEX($B$11:$B$63,41))*(1-E223))</f>
        <v/>
      </c>
      <c r="BB224" s="15">
        <f>MAX(0,BA223*(1-INDEX($B$11:$B$63,42))*(1-E223))</f>
        <v/>
      </c>
      <c r="BC224" s="15">
        <f>MAX(0,BB223*(1-INDEX($B$11:$B$63,43))*(1-E223))</f>
        <v/>
      </c>
      <c r="BD224" s="15">
        <f>MAX(0,BC223*(1-INDEX($B$11:$B$63,44))*(1-E223))</f>
        <v/>
      </c>
      <c r="BE224" s="15">
        <f>MAX(0,BD223*(1-INDEX($B$11:$B$63,45))*(1-E223))</f>
        <v/>
      </c>
      <c r="BF224" s="15">
        <f>MAX(0,BE223*(1-INDEX($B$11:$B$63,46))*(1-E223))</f>
        <v/>
      </c>
      <c r="BG224" s="15">
        <f>MAX(0,BF223*(1-INDEX($B$11:$B$63,47))*(1-E223))</f>
        <v/>
      </c>
      <c r="BH224" s="15">
        <f>MAX(0,BG223*(1-INDEX($B$11:$B$63,48))*(1-E223))</f>
        <v/>
      </c>
      <c r="BI224" s="15">
        <f>MAX(0,BH223*(1-INDEX($B$11:$B$63,49))*(1-E223))</f>
        <v/>
      </c>
      <c r="BJ224" s="15">
        <f>MAX(0,BI223*(1-INDEX($B$11:$B$63,50))*(1-E223))</f>
        <v/>
      </c>
      <c r="BK224" s="15">
        <f>MAX(0,BJ223*(1-INDEX($B$11:$B$63,51))*(1-E223))</f>
        <v/>
      </c>
      <c r="BL224" s="15">
        <f>MAX(0,(BL223+BK223)*(1-INDEX($B$11:$B$63,53))*(1-E223))</f>
        <v/>
      </c>
    </row>
    <row r="225">
      <c r="A225" s="55" t="n">
        <v>159</v>
      </c>
      <c r="B225" s="15">
        <f>IF(A225&gt;Inputs!$C$62,"",SUM(M225:BK225))</f>
        <v/>
      </c>
      <c r="C225" s="15">
        <f>IF(A225&gt;Inputs!$C$62,"",INDEX(Trajectory!$C$23:$C$2000,A225))</f>
        <v/>
      </c>
      <c r="D225" s="15">
        <f>IF(A225&gt;Inputs!$C$62,"",SUM(L225:BK225))</f>
        <v/>
      </c>
      <c r="E225" s="12">
        <f>IF(A225&gt;Inputs!$C$62,"",INDEX(Trajectory!$AG$23:$AG$2000,A225))</f>
        <v/>
      </c>
      <c r="F225" s="12">
        <f>IF(D225=0,0,SUMPRODUCT(L225:BK225,$B$11:$B$63)/D225)</f>
        <v/>
      </c>
      <c r="G225" s="12">
        <f>IF(D225=0,0,MIN(0.95,1-(1-F225)*(1-E225)))</f>
        <v/>
      </c>
      <c r="H225" s="15">
        <f>IF(D225=0,0,D225*G225)</f>
        <v/>
      </c>
      <c r="I225" s="15">
        <f>IF(D225=0,0,D225-H225)</f>
        <v/>
      </c>
      <c r="L225" s="15">
        <f>C225</f>
        <v/>
      </c>
      <c r="M225" s="15">
        <f>MAX(0,L224*(1-INDEX($B$11:$B$63,1))*(1-E224))</f>
        <v/>
      </c>
      <c r="N225" s="15">
        <f>MAX(0,M224*(1-INDEX($B$11:$B$63,2))*(1-E224))</f>
        <v/>
      </c>
      <c r="O225" s="15">
        <f>MAX(0,N224*(1-INDEX($B$11:$B$63,3))*(1-E224))</f>
        <v/>
      </c>
      <c r="P225" s="15">
        <f>MAX(0,O224*(1-INDEX($B$11:$B$63,4))*(1-E224))</f>
        <v/>
      </c>
      <c r="Q225" s="15">
        <f>MAX(0,P224*(1-INDEX($B$11:$B$63,5))*(1-E224))</f>
        <v/>
      </c>
      <c r="R225" s="15">
        <f>MAX(0,Q224*(1-INDEX($B$11:$B$63,6))*(1-E224))</f>
        <v/>
      </c>
      <c r="S225" s="15">
        <f>MAX(0,R224*(1-INDEX($B$11:$B$63,7))*(1-E224))</f>
        <v/>
      </c>
      <c r="T225" s="15">
        <f>MAX(0,S224*(1-INDEX($B$11:$B$63,8))*(1-E224))</f>
        <v/>
      </c>
      <c r="U225" s="15">
        <f>MAX(0,T224*(1-INDEX($B$11:$B$63,9))*(1-E224))</f>
        <v/>
      </c>
      <c r="V225" s="15">
        <f>MAX(0,U224*(1-INDEX($B$11:$B$63,10))*(1-E224))</f>
        <v/>
      </c>
      <c r="W225" s="15">
        <f>MAX(0,V224*(1-INDEX($B$11:$B$63,11))*(1-E224))</f>
        <v/>
      </c>
      <c r="X225" s="15">
        <f>MAX(0,W224*(1-INDEX($B$11:$B$63,12))*(1-E224))</f>
        <v/>
      </c>
      <c r="Y225" s="15">
        <f>MAX(0,X224*(1-INDEX($B$11:$B$63,13))*(1-E224))</f>
        <v/>
      </c>
      <c r="Z225" s="15">
        <f>MAX(0,Y224*(1-INDEX($B$11:$B$63,14))*(1-E224))</f>
        <v/>
      </c>
      <c r="AA225" s="15">
        <f>MAX(0,Z224*(1-INDEX($B$11:$B$63,15))*(1-E224))</f>
        <v/>
      </c>
      <c r="AB225" s="15">
        <f>MAX(0,AA224*(1-INDEX($B$11:$B$63,16))*(1-E224))</f>
        <v/>
      </c>
      <c r="AC225" s="15">
        <f>MAX(0,AB224*(1-INDEX($B$11:$B$63,17))*(1-E224))</f>
        <v/>
      </c>
      <c r="AD225" s="15">
        <f>MAX(0,AC224*(1-INDEX($B$11:$B$63,18))*(1-E224))</f>
        <v/>
      </c>
      <c r="AE225" s="15">
        <f>MAX(0,AD224*(1-INDEX($B$11:$B$63,19))*(1-E224))</f>
        <v/>
      </c>
      <c r="AF225" s="15">
        <f>MAX(0,AE224*(1-INDEX($B$11:$B$63,20))*(1-E224))</f>
        <v/>
      </c>
      <c r="AG225" s="15">
        <f>MAX(0,AF224*(1-INDEX($B$11:$B$63,21))*(1-E224))</f>
        <v/>
      </c>
      <c r="AH225" s="15">
        <f>MAX(0,AG224*(1-INDEX($B$11:$B$63,22))*(1-E224))</f>
        <v/>
      </c>
      <c r="AI225" s="15">
        <f>MAX(0,AH224*(1-INDEX($B$11:$B$63,23))*(1-E224))</f>
        <v/>
      </c>
      <c r="AJ225" s="15">
        <f>MAX(0,AI224*(1-INDEX($B$11:$B$63,24))*(1-E224))</f>
        <v/>
      </c>
      <c r="AK225" s="15">
        <f>MAX(0,AJ224*(1-INDEX($B$11:$B$63,25))*(1-E224))</f>
        <v/>
      </c>
      <c r="AL225" s="15">
        <f>MAX(0,AK224*(1-INDEX($B$11:$B$63,26))*(1-E224))</f>
        <v/>
      </c>
      <c r="AM225" s="15">
        <f>MAX(0,AL224*(1-INDEX($B$11:$B$63,27))*(1-E224))</f>
        <v/>
      </c>
      <c r="AN225" s="15">
        <f>MAX(0,AM224*(1-INDEX($B$11:$B$63,28))*(1-E224))</f>
        <v/>
      </c>
      <c r="AO225" s="15">
        <f>MAX(0,AN224*(1-INDEX($B$11:$B$63,29))*(1-E224))</f>
        <v/>
      </c>
      <c r="AP225" s="15">
        <f>MAX(0,AO224*(1-INDEX($B$11:$B$63,30))*(1-E224))</f>
        <v/>
      </c>
      <c r="AQ225" s="15">
        <f>MAX(0,AP224*(1-INDEX($B$11:$B$63,31))*(1-E224))</f>
        <v/>
      </c>
      <c r="AR225" s="15">
        <f>MAX(0,AQ224*(1-INDEX($B$11:$B$63,32))*(1-E224))</f>
        <v/>
      </c>
      <c r="AS225" s="15">
        <f>MAX(0,AR224*(1-INDEX($B$11:$B$63,33))*(1-E224))</f>
        <v/>
      </c>
      <c r="AT225" s="15">
        <f>MAX(0,AS224*(1-INDEX($B$11:$B$63,34))*(1-E224))</f>
        <v/>
      </c>
      <c r="AU225" s="15">
        <f>MAX(0,AT224*(1-INDEX($B$11:$B$63,35))*(1-E224))</f>
        <v/>
      </c>
      <c r="AV225" s="15">
        <f>MAX(0,AU224*(1-INDEX($B$11:$B$63,36))*(1-E224))</f>
        <v/>
      </c>
      <c r="AW225" s="15">
        <f>MAX(0,AV224*(1-INDEX($B$11:$B$63,37))*(1-E224))</f>
        <v/>
      </c>
      <c r="AX225" s="15">
        <f>MAX(0,AW224*(1-INDEX($B$11:$B$63,38))*(1-E224))</f>
        <v/>
      </c>
      <c r="AY225" s="15">
        <f>MAX(0,AX224*(1-INDEX($B$11:$B$63,39))*(1-E224))</f>
        <v/>
      </c>
      <c r="AZ225" s="15">
        <f>MAX(0,AY224*(1-INDEX($B$11:$B$63,40))*(1-E224))</f>
        <v/>
      </c>
      <c r="BA225" s="15">
        <f>MAX(0,AZ224*(1-INDEX($B$11:$B$63,41))*(1-E224))</f>
        <v/>
      </c>
      <c r="BB225" s="15">
        <f>MAX(0,BA224*(1-INDEX($B$11:$B$63,42))*(1-E224))</f>
        <v/>
      </c>
      <c r="BC225" s="15">
        <f>MAX(0,BB224*(1-INDEX($B$11:$B$63,43))*(1-E224))</f>
        <v/>
      </c>
      <c r="BD225" s="15">
        <f>MAX(0,BC224*(1-INDEX($B$11:$B$63,44))*(1-E224))</f>
        <v/>
      </c>
      <c r="BE225" s="15">
        <f>MAX(0,BD224*(1-INDEX($B$11:$B$63,45))*(1-E224))</f>
        <v/>
      </c>
      <c r="BF225" s="15">
        <f>MAX(0,BE224*(1-INDEX($B$11:$B$63,46))*(1-E224))</f>
        <v/>
      </c>
      <c r="BG225" s="15">
        <f>MAX(0,BF224*(1-INDEX($B$11:$B$63,47))*(1-E224))</f>
        <v/>
      </c>
      <c r="BH225" s="15">
        <f>MAX(0,BG224*(1-INDEX($B$11:$B$63,48))*(1-E224))</f>
        <v/>
      </c>
      <c r="BI225" s="15">
        <f>MAX(0,BH224*(1-INDEX($B$11:$B$63,49))*(1-E224))</f>
        <v/>
      </c>
      <c r="BJ225" s="15">
        <f>MAX(0,BI224*(1-INDEX($B$11:$B$63,50))*(1-E224))</f>
        <v/>
      </c>
      <c r="BK225" s="15">
        <f>MAX(0,BJ224*(1-INDEX($B$11:$B$63,51))*(1-E224))</f>
        <v/>
      </c>
      <c r="BL225" s="15">
        <f>MAX(0,(BL224+BK224)*(1-INDEX($B$11:$B$63,53))*(1-E224))</f>
        <v/>
      </c>
    </row>
    <row r="226">
      <c r="A226" s="55" t="n">
        <v>160</v>
      </c>
      <c r="B226" s="15">
        <f>IF(A226&gt;Inputs!$C$62,"",SUM(M226:BK226))</f>
        <v/>
      </c>
      <c r="C226" s="15">
        <f>IF(A226&gt;Inputs!$C$62,"",INDEX(Trajectory!$C$23:$C$2000,A226))</f>
        <v/>
      </c>
      <c r="D226" s="15">
        <f>IF(A226&gt;Inputs!$C$62,"",SUM(L226:BK226))</f>
        <v/>
      </c>
      <c r="E226" s="12">
        <f>IF(A226&gt;Inputs!$C$62,"",INDEX(Trajectory!$AG$23:$AG$2000,A226))</f>
        <v/>
      </c>
      <c r="F226" s="12">
        <f>IF(D226=0,0,SUMPRODUCT(L226:BK226,$B$11:$B$63)/D226)</f>
        <v/>
      </c>
      <c r="G226" s="12">
        <f>IF(D226=0,0,MIN(0.95,1-(1-F226)*(1-E226)))</f>
        <v/>
      </c>
      <c r="H226" s="15">
        <f>IF(D226=0,0,D226*G226)</f>
        <v/>
      </c>
      <c r="I226" s="15">
        <f>IF(D226=0,0,D226-H226)</f>
        <v/>
      </c>
      <c r="L226" s="15">
        <f>C226</f>
        <v/>
      </c>
      <c r="M226" s="15">
        <f>MAX(0,L225*(1-INDEX($B$11:$B$63,1))*(1-E225))</f>
        <v/>
      </c>
      <c r="N226" s="15">
        <f>MAX(0,M225*(1-INDEX($B$11:$B$63,2))*(1-E225))</f>
        <v/>
      </c>
      <c r="O226" s="15">
        <f>MAX(0,N225*(1-INDEX($B$11:$B$63,3))*(1-E225))</f>
        <v/>
      </c>
      <c r="P226" s="15">
        <f>MAX(0,O225*(1-INDEX($B$11:$B$63,4))*(1-E225))</f>
        <v/>
      </c>
      <c r="Q226" s="15">
        <f>MAX(0,P225*(1-INDEX($B$11:$B$63,5))*(1-E225))</f>
        <v/>
      </c>
      <c r="R226" s="15">
        <f>MAX(0,Q225*(1-INDEX($B$11:$B$63,6))*(1-E225))</f>
        <v/>
      </c>
      <c r="S226" s="15">
        <f>MAX(0,R225*(1-INDEX($B$11:$B$63,7))*(1-E225))</f>
        <v/>
      </c>
      <c r="T226" s="15">
        <f>MAX(0,S225*(1-INDEX($B$11:$B$63,8))*(1-E225))</f>
        <v/>
      </c>
      <c r="U226" s="15">
        <f>MAX(0,T225*(1-INDEX($B$11:$B$63,9))*(1-E225))</f>
        <v/>
      </c>
      <c r="V226" s="15">
        <f>MAX(0,U225*(1-INDEX($B$11:$B$63,10))*(1-E225))</f>
        <v/>
      </c>
      <c r="W226" s="15">
        <f>MAX(0,V225*(1-INDEX($B$11:$B$63,11))*(1-E225))</f>
        <v/>
      </c>
      <c r="X226" s="15">
        <f>MAX(0,W225*(1-INDEX($B$11:$B$63,12))*(1-E225))</f>
        <v/>
      </c>
      <c r="Y226" s="15">
        <f>MAX(0,X225*(1-INDEX($B$11:$B$63,13))*(1-E225))</f>
        <v/>
      </c>
      <c r="Z226" s="15">
        <f>MAX(0,Y225*(1-INDEX($B$11:$B$63,14))*(1-E225))</f>
        <v/>
      </c>
      <c r="AA226" s="15">
        <f>MAX(0,Z225*(1-INDEX($B$11:$B$63,15))*(1-E225))</f>
        <v/>
      </c>
      <c r="AB226" s="15">
        <f>MAX(0,AA225*(1-INDEX($B$11:$B$63,16))*(1-E225))</f>
        <v/>
      </c>
      <c r="AC226" s="15">
        <f>MAX(0,AB225*(1-INDEX($B$11:$B$63,17))*(1-E225))</f>
        <v/>
      </c>
      <c r="AD226" s="15">
        <f>MAX(0,AC225*(1-INDEX($B$11:$B$63,18))*(1-E225))</f>
        <v/>
      </c>
      <c r="AE226" s="15">
        <f>MAX(0,AD225*(1-INDEX($B$11:$B$63,19))*(1-E225))</f>
        <v/>
      </c>
      <c r="AF226" s="15">
        <f>MAX(0,AE225*(1-INDEX($B$11:$B$63,20))*(1-E225))</f>
        <v/>
      </c>
      <c r="AG226" s="15">
        <f>MAX(0,AF225*(1-INDEX($B$11:$B$63,21))*(1-E225))</f>
        <v/>
      </c>
      <c r="AH226" s="15">
        <f>MAX(0,AG225*(1-INDEX($B$11:$B$63,22))*(1-E225))</f>
        <v/>
      </c>
      <c r="AI226" s="15">
        <f>MAX(0,AH225*(1-INDEX($B$11:$B$63,23))*(1-E225))</f>
        <v/>
      </c>
      <c r="AJ226" s="15">
        <f>MAX(0,AI225*(1-INDEX($B$11:$B$63,24))*(1-E225))</f>
        <v/>
      </c>
      <c r="AK226" s="15">
        <f>MAX(0,AJ225*(1-INDEX($B$11:$B$63,25))*(1-E225))</f>
        <v/>
      </c>
      <c r="AL226" s="15">
        <f>MAX(0,AK225*(1-INDEX($B$11:$B$63,26))*(1-E225))</f>
        <v/>
      </c>
      <c r="AM226" s="15">
        <f>MAX(0,AL225*(1-INDEX($B$11:$B$63,27))*(1-E225))</f>
        <v/>
      </c>
      <c r="AN226" s="15">
        <f>MAX(0,AM225*(1-INDEX($B$11:$B$63,28))*(1-E225))</f>
        <v/>
      </c>
      <c r="AO226" s="15">
        <f>MAX(0,AN225*(1-INDEX($B$11:$B$63,29))*(1-E225))</f>
        <v/>
      </c>
      <c r="AP226" s="15">
        <f>MAX(0,AO225*(1-INDEX($B$11:$B$63,30))*(1-E225))</f>
        <v/>
      </c>
      <c r="AQ226" s="15">
        <f>MAX(0,AP225*(1-INDEX($B$11:$B$63,31))*(1-E225))</f>
        <v/>
      </c>
      <c r="AR226" s="15">
        <f>MAX(0,AQ225*(1-INDEX($B$11:$B$63,32))*(1-E225))</f>
        <v/>
      </c>
      <c r="AS226" s="15">
        <f>MAX(0,AR225*(1-INDEX($B$11:$B$63,33))*(1-E225))</f>
        <v/>
      </c>
      <c r="AT226" s="15">
        <f>MAX(0,AS225*(1-INDEX($B$11:$B$63,34))*(1-E225))</f>
        <v/>
      </c>
      <c r="AU226" s="15">
        <f>MAX(0,AT225*(1-INDEX($B$11:$B$63,35))*(1-E225))</f>
        <v/>
      </c>
      <c r="AV226" s="15">
        <f>MAX(0,AU225*(1-INDEX($B$11:$B$63,36))*(1-E225))</f>
        <v/>
      </c>
      <c r="AW226" s="15">
        <f>MAX(0,AV225*(1-INDEX($B$11:$B$63,37))*(1-E225))</f>
        <v/>
      </c>
      <c r="AX226" s="15">
        <f>MAX(0,AW225*(1-INDEX($B$11:$B$63,38))*(1-E225))</f>
        <v/>
      </c>
      <c r="AY226" s="15">
        <f>MAX(0,AX225*(1-INDEX($B$11:$B$63,39))*(1-E225))</f>
        <v/>
      </c>
      <c r="AZ226" s="15">
        <f>MAX(0,AY225*(1-INDEX($B$11:$B$63,40))*(1-E225))</f>
        <v/>
      </c>
      <c r="BA226" s="15">
        <f>MAX(0,AZ225*(1-INDEX($B$11:$B$63,41))*(1-E225))</f>
        <v/>
      </c>
      <c r="BB226" s="15">
        <f>MAX(0,BA225*(1-INDEX($B$11:$B$63,42))*(1-E225))</f>
        <v/>
      </c>
      <c r="BC226" s="15">
        <f>MAX(0,BB225*(1-INDEX($B$11:$B$63,43))*(1-E225))</f>
        <v/>
      </c>
      <c r="BD226" s="15">
        <f>MAX(0,BC225*(1-INDEX($B$11:$B$63,44))*(1-E225))</f>
        <v/>
      </c>
      <c r="BE226" s="15">
        <f>MAX(0,BD225*(1-INDEX($B$11:$B$63,45))*(1-E225))</f>
        <v/>
      </c>
      <c r="BF226" s="15">
        <f>MAX(0,BE225*(1-INDEX($B$11:$B$63,46))*(1-E225))</f>
        <v/>
      </c>
      <c r="BG226" s="15">
        <f>MAX(0,BF225*(1-INDEX($B$11:$B$63,47))*(1-E225))</f>
        <v/>
      </c>
      <c r="BH226" s="15">
        <f>MAX(0,BG225*(1-INDEX($B$11:$B$63,48))*(1-E225))</f>
        <v/>
      </c>
      <c r="BI226" s="15">
        <f>MAX(0,BH225*(1-INDEX($B$11:$B$63,49))*(1-E225))</f>
        <v/>
      </c>
      <c r="BJ226" s="15">
        <f>MAX(0,BI225*(1-INDEX($B$11:$B$63,50))*(1-E225))</f>
        <v/>
      </c>
      <c r="BK226" s="15">
        <f>MAX(0,BJ225*(1-INDEX($B$11:$B$63,51))*(1-E225))</f>
        <v/>
      </c>
      <c r="BL226" s="15">
        <f>MAX(0,(BL225+BK225)*(1-INDEX($B$11:$B$63,53))*(1-E225))</f>
        <v/>
      </c>
    </row>
    <row r="227">
      <c r="A227" s="55" t="n">
        <v>161</v>
      </c>
      <c r="B227" s="15">
        <f>IF(A227&gt;Inputs!$C$62,"",SUM(M227:BK227))</f>
        <v/>
      </c>
      <c r="C227" s="15">
        <f>IF(A227&gt;Inputs!$C$62,"",INDEX(Trajectory!$C$23:$C$2000,A227))</f>
        <v/>
      </c>
      <c r="D227" s="15">
        <f>IF(A227&gt;Inputs!$C$62,"",SUM(L227:BK227))</f>
        <v/>
      </c>
      <c r="E227" s="12">
        <f>IF(A227&gt;Inputs!$C$62,"",INDEX(Trajectory!$AG$23:$AG$2000,A227))</f>
        <v/>
      </c>
      <c r="F227" s="12">
        <f>IF(D227=0,0,SUMPRODUCT(L227:BK227,$B$11:$B$63)/D227)</f>
        <v/>
      </c>
      <c r="G227" s="12">
        <f>IF(D227=0,0,MIN(0.95,1-(1-F227)*(1-E227)))</f>
        <v/>
      </c>
      <c r="H227" s="15">
        <f>IF(D227=0,0,D227*G227)</f>
        <v/>
      </c>
      <c r="I227" s="15">
        <f>IF(D227=0,0,D227-H227)</f>
        <v/>
      </c>
      <c r="L227" s="15">
        <f>C227</f>
        <v/>
      </c>
      <c r="M227" s="15">
        <f>MAX(0,L226*(1-INDEX($B$11:$B$63,1))*(1-E226))</f>
        <v/>
      </c>
      <c r="N227" s="15">
        <f>MAX(0,M226*(1-INDEX($B$11:$B$63,2))*(1-E226))</f>
        <v/>
      </c>
      <c r="O227" s="15">
        <f>MAX(0,N226*(1-INDEX($B$11:$B$63,3))*(1-E226))</f>
        <v/>
      </c>
      <c r="P227" s="15">
        <f>MAX(0,O226*(1-INDEX($B$11:$B$63,4))*(1-E226))</f>
        <v/>
      </c>
      <c r="Q227" s="15">
        <f>MAX(0,P226*(1-INDEX($B$11:$B$63,5))*(1-E226))</f>
        <v/>
      </c>
      <c r="R227" s="15">
        <f>MAX(0,Q226*(1-INDEX($B$11:$B$63,6))*(1-E226))</f>
        <v/>
      </c>
      <c r="S227" s="15">
        <f>MAX(0,R226*(1-INDEX($B$11:$B$63,7))*(1-E226))</f>
        <v/>
      </c>
      <c r="T227" s="15">
        <f>MAX(0,S226*(1-INDEX($B$11:$B$63,8))*(1-E226))</f>
        <v/>
      </c>
      <c r="U227" s="15">
        <f>MAX(0,T226*(1-INDEX($B$11:$B$63,9))*(1-E226))</f>
        <v/>
      </c>
      <c r="V227" s="15">
        <f>MAX(0,U226*(1-INDEX($B$11:$B$63,10))*(1-E226))</f>
        <v/>
      </c>
      <c r="W227" s="15">
        <f>MAX(0,V226*(1-INDEX($B$11:$B$63,11))*(1-E226))</f>
        <v/>
      </c>
      <c r="X227" s="15">
        <f>MAX(0,W226*(1-INDEX($B$11:$B$63,12))*(1-E226))</f>
        <v/>
      </c>
      <c r="Y227" s="15">
        <f>MAX(0,X226*(1-INDEX($B$11:$B$63,13))*(1-E226))</f>
        <v/>
      </c>
      <c r="Z227" s="15">
        <f>MAX(0,Y226*(1-INDEX($B$11:$B$63,14))*(1-E226))</f>
        <v/>
      </c>
      <c r="AA227" s="15">
        <f>MAX(0,Z226*(1-INDEX($B$11:$B$63,15))*(1-E226))</f>
        <v/>
      </c>
      <c r="AB227" s="15">
        <f>MAX(0,AA226*(1-INDEX($B$11:$B$63,16))*(1-E226))</f>
        <v/>
      </c>
      <c r="AC227" s="15">
        <f>MAX(0,AB226*(1-INDEX($B$11:$B$63,17))*(1-E226))</f>
        <v/>
      </c>
      <c r="AD227" s="15">
        <f>MAX(0,AC226*(1-INDEX($B$11:$B$63,18))*(1-E226))</f>
        <v/>
      </c>
      <c r="AE227" s="15">
        <f>MAX(0,AD226*(1-INDEX($B$11:$B$63,19))*(1-E226))</f>
        <v/>
      </c>
      <c r="AF227" s="15">
        <f>MAX(0,AE226*(1-INDEX($B$11:$B$63,20))*(1-E226))</f>
        <v/>
      </c>
      <c r="AG227" s="15">
        <f>MAX(0,AF226*(1-INDEX($B$11:$B$63,21))*(1-E226))</f>
        <v/>
      </c>
      <c r="AH227" s="15">
        <f>MAX(0,AG226*(1-INDEX($B$11:$B$63,22))*(1-E226))</f>
        <v/>
      </c>
      <c r="AI227" s="15">
        <f>MAX(0,AH226*(1-INDEX($B$11:$B$63,23))*(1-E226))</f>
        <v/>
      </c>
      <c r="AJ227" s="15">
        <f>MAX(0,AI226*(1-INDEX($B$11:$B$63,24))*(1-E226))</f>
        <v/>
      </c>
      <c r="AK227" s="15">
        <f>MAX(0,AJ226*(1-INDEX($B$11:$B$63,25))*(1-E226))</f>
        <v/>
      </c>
      <c r="AL227" s="15">
        <f>MAX(0,AK226*(1-INDEX($B$11:$B$63,26))*(1-E226))</f>
        <v/>
      </c>
      <c r="AM227" s="15">
        <f>MAX(0,AL226*(1-INDEX($B$11:$B$63,27))*(1-E226))</f>
        <v/>
      </c>
      <c r="AN227" s="15">
        <f>MAX(0,AM226*(1-INDEX($B$11:$B$63,28))*(1-E226))</f>
        <v/>
      </c>
      <c r="AO227" s="15">
        <f>MAX(0,AN226*(1-INDEX($B$11:$B$63,29))*(1-E226))</f>
        <v/>
      </c>
      <c r="AP227" s="15">
        <f>MAX(0,AO226*(1-INDEX($B$11:$B$63,30))*(1-E226))</f>
        <v/>
      </c>
      <c r="AQ227" s="15">
        <f>MAX(0,AP226*(1-INDEX($B$11:$B$63,31))*(1-E226))</f>
        <v/>
      </c>
      <c r="AR227" s="15">
        <f>MAX(0,AQ226*(1-INDEX($B$11:$B$63,32))*(1-E226))</f>
        <v/>
      </c>
      <c r="AS227" s="15">
        <f>MAX(0,AR226*(1-INDEX($B$11:$B$63,33))*(1-E226))</f>
        <v/>
      </c>
      <c r="AT227" s="15">
        <f>MAX(0,AS226*(1-INDEX($B$11:$B$63,34))*(1-E226))</f>
        <v/>
      </c>
      <c r="AU227" s="15">
        <f>MAX(0,AT226*(1-INDEX($B$11:$B$63,35))*(1-E226))</f>
        <v/>
      </c>
      <c r="AV227" s="15">
        <f>MAX(0,AU226*(1-INDEX($B$11:$B$63,36))*(1-E226))</f>
        <v/>
      </c>
      <c r="AW227" s="15">
        <f>MAX(0,AV226*(1-INDEX($B$11:$B$63,37))*(1-E226))</f>
        <v/>
      </c>
      <c r="AX227" s="15">
        <f>MAX(0,AW226*(1-INDEX($B$11:$B$63,38))*(1-E226))</f>
        <v/>
      </c>
      <c r="AY227" s="15">
        <f>MAX(0,AX226*(1-INDEX($B$11:$B$63,39))*(1-E226))</f>
        <v/>
      </c>
      <c r="AZ227" s="15">
        <f>MAX(0,AY226*(1-INDEX($B$11:$B$63,40))*(1-E226))</f>
        <v/>
      </c>
      <c r="BA227" s="15">
        <f>MAX(0,AZ226*(1-INDEX($B$11:$B$63,41))*(1-E226))</f>
        <v/>
      </c>
      <c r="BB227" s="15">
        <f>MAX(0,BA226*(1-INDEX($B$11:$B$63,42))*(1-E226))</f>
        <v/>
      </c>
      <c r="BC227" s="15">
        <f>MAX(0,BB226*(1-INDEX($B$11:$B$63,43))*(1-E226))</f>
        <v/>
      </c>
      <c r="BD227" s="15">
        <f>MAX(0,BC226*(1-INDEX($B$11:$B$63,44))*(1-E226))</f>
        <v/>
      </c>
      <c r="BE227" s="15">
        <f>MAX(0,BD226*(1-INDEX($B$11:$B$63,45))*(1-E226))</f>
        <v/>
      </c>
      <c r="BF227" s="15">
        <f>MAX(0,BE226*(1-INDEX($B$11:$B$63,46))*(1-E226))</f>
        <v/>
      </c>
      <c r="BG227" s="15">
        <f>MAX(0,BF226*(1-INDEX($B$11:$B$63,47))*(1-E226))</f>
        <v/>
      </c>
      <c r="BH227" s="15">
        <f>MAX(0,BG226*(1-INDEX($B$11:$B$63,48))*(1-E226))</f>
        <v/>
      </c>
      <c r="BI227" s="15">
        <f>MAX(0,BH226*(1-INDEX($B$11:$B$63,49))*(1-E226))</f>
        <v/>
      </c>
      <c r="BJ227" s="15">
        <f>MAX(0,BI226*(1-INDEX($B$11:$B$63,50))*(1-E226))</f>
        <v/>
      </c>
      <c r="BK227" s="15">
        <f>MAX(0,BJ226*(1-INDEX($B$11:$B$63,51))*(1-E226))</f>
        <v/>
      </c>
      <c r="BL227" s="15">
        <f>MAX(0,(BL226+BK226)*(1-INDEX($B$11:$B$63,53))*(1-E226))</f>
        <v/>
      </c>
    </row>
    <row r="228">
      <c r="A228" s="55" t="n">
        <v>162</v>
      </c>
      <c r="B228" s="15">
        <f>IF(A228&gt;Inputs!$C$62,"",SUM(M228:BK228))</f>
        <v/>
      </c>
      <c r="C228" s="15">
        <f>IF(A228&gt;Inputs!$C$62,"",INDEX(Trajectory!$C$23:$C$2000,A228))</f>
        <v/>
      </c>
      <c r="D228" s="15">
        <f>IF(A228&gt;Inputs!$C$62,"",SUM(L228:BK228))</f>
        <v/>
      </c>
      <c r="E228" s="12">
        <f>IF(A228&gt;Inputs!$C$62,"",INDEX(Trajectory!$AG$23:$AG$2000,A228))</f>
        <v/>
      </c>
      <c r="F228" s="12">
        <f>IF(D228=0,0,SUMPRODUCT(L228:BK228,$B$11:$B$63)/D228)</f>
        <v/>
      </c>
      <c r="G228" s="12">
        <f>IF(D228=0,0,MIN(0.95,1-(1-F228)*(1-E228)))</f>
        <v/>
      </c>
      <c r="H228" s="15">
        <f>IF(D228=0,0,D228*G228)</f>
        <v/>
      </c>
      <c r="I228" s="15">
        <f>IF(D228=0,0,D228-H228)</f>
        <v/>
      </c>
      <c r="L228" s="15">
        <f>C228</f>
        <v/>
      </c>
      <c r="M228" s="15">
        <f>MAX(0,L227*(1-INDEX($B$11:$B$63,1))*(1-E227))</f>
        <v/>
      </c>
      <c r="N228" s="15">
        <f>MAX(0,M227*(1-INDEX($B$11:$B$63,2))*(1-E227))</f>
        <v/>
      </c>
      <c r="O228" s="15">
        <f>MAX(0,N227*(1-INDEX($B$11:$B$63,3))*(1-E227))</f>
        <v/>
      </c>
      <c r="P228" s="15">
        <f>MAX(0,O227*(1-INDEX($B$11:$B$63,4))*(1-E227))</f>
        <v/>
      </c>
      <c r="Q228" s="15">
        <f>MAX(0,P227*(1-INDEX($B$11:$B$63,5))*(1-E227))</f>
        <v/>
      </c>
      <c r="R228" s="15">
        <f>MAX(0,Q227*(1-INDEX($B$11:$B$63,6))*(1-E227))</f>
        <v/>
      </c>
      <c r="S228" s="15">
        <f>MAX(0,R227*(1-INDEX($B$11:$B$63,7))*(1-E227))</f>
        <v/>
      </c>
      <c r="T228" s="15">
        <f>MAX(0,S227*(1-INDEX($B$11:$B$63,8))*(1-E227))</f>
        <v/>
      </c>
      <c r="U228" s="15">
        <f>MAX(0,T227*(1-INDEX($B$11:$B$63,9))*(1-E227))</f>
        <v/>
      </c>
      <c r="V228" s="15">
        <f>MAX(0,U227*(1-INDEX($B$11:$B$63,10))*(1-E227))</f>
        <v/>
      </c>
      <c r="W228" s="15">
        <f>MAX(0,V227*(1-INDEX($B$11:$B$63,11))*(1-E227))</f>
        <v/>
      </c>
      <c r="X228" s="15">
        <f>MAX(0,W227*(1-INDEX($B$11:$B$63,12))*(1-E227))</f>
        <v/>
      </c>
      <c r="Y228" s="15">
        <f>MAX(0,X227*(1-INDEX($B$11:$B$63,13))*(1-E227))</f>
        <v/>
      </c>
      <c r="Z228" s="15">
        <f>MAX(0,Y227*(1-INDEX($B$11:$B$63,14))*(1-E227))</f>
        <v/>
      </c>
      <c r="AA228" s="15">
        <f>MAX(0,Z227*(1-INDEX($B$11:$B$63,15))*(1-E227))</f>
        <v/>
      </c>
      <c r="AB228" s="15">
        <f>MAX(0,AA227*(1-INDEX($B$11:$B$63,16))*(1-E227))</f>
        <v/>
      </c>
      <c r="AC228" s="15">
        <f>MAX(0,AB227*(1-INDEX($B$11:$B$63,17))*(1-E227))</f>
        <v/>
      </c>
      <c r="AD228" s="15">
        <f>MAX(0,AC227*(1-INDEX($B$11:$B$63,18))*(1-E227))</f>
        <v/>
      </c>
      <c r="AE228" s="15">
        <f>MAX(0,AD227*(1-INDEX($B$11:$B$63,19))*(1-E227))</f>
        <v/>
      </c>
      <c r="AF228" s="15">
        <f>MAX(0,AE227*(1-INDEX($B$11:$B$63,20))*(1-E227))</f>
        <v/>
      </c>
      <c r="AG228" s="15">
        <f>MAX(0,AF227*(1-INDEX($B$11:$B$63,21))*(1-E227))</f>
        <v/>
      </c>
      <c r="AH228" s="15">
        <f>MAX(0,AG227*(1-INDEX($B$11:$B$63,22))*(1-E227))</f>
        <v/>
      </c>
      <c r="AI228" s="15">
        <f>MAX(0,AH227*(1-INDEX($B$11:$B$63,23))*(1-E227))</f>
        <v/>
      </c>
      <c r="AJ228" s="15">
        <f>MAX(0,AI227*(1-INDEX($B$11:$B$63,24))*(1-E227))</f>
        <v/>
      </c>
      <c r="AK228" s="15">
        <f>MAX(0,AJ227*(1-INDEX($B$11:$B$63,25))*(1-E227))</f>
        <v/>
      </c>
      <c r="AL228" s="15">
        <f>MAX(0,AK227*(1-INDEX($B$11:$B$63,26))*(1-E227))</f>
        <v/>
      </c>
      <c r="AM228" s="15">
        <f>MAX(0,AL227*(1-INDEX($B$11:$B$63,27))*(1-E227))</f>
        <v/>
      </c>
      <c r="AN228" s="15">
        <f>MAX(0,AM227*(1-INDEX($B$11:$B$63,28))*(1-E227))</f>
        <v/>
      </c>
      <c r="AO228" s="15">
        <f>MAX(0,AN227*(1-INDEX($B$11:$B$63,29))*(1-E227))</f>
        <v/>
      </c>
      <c r="AP228" s="15">
        <f>MAX(0,AO227*(1-INDEX($B$11:$B$63,30))*(1-E227))</f>
        <v/>
      </c>
      <c r="AQ228" s="15">
        <f>MAX(0,AP227*(1-INDEX($B$11:$B$63,31))*(1-E227))</f>
        <v/>
      </c>
      <c r="AR228" s="15">
        <f>MAX(0,AQ227*(1-INDEX($B$11:$B$63,32))*(1-E227))</f>
        <v/>
      </c>
      <c r="AS228" s="15">
        <f>MAX(0,AR227*(1-INDEX($B$11:$B$63,33))*(1-E227))</f>
        <v/>
      </c>
      <c r="AT228" s="15">
        <f>MAX(0,AS227*(1-INDEX($B$11:$B$63,34))*(1-E227))</f>
        <v/>
      </c>
      <c r="AU228" s="15">
        <f>MAX(0,AT227*(1-INDEX($B$11:$B$63,35))*(1-E227))</f>
        <v/>
      </c>
      <c r="AV228" s="15">
        <f>MAX(0,AU227*(1-INDEX($B$11:$B$63,36))*(1-E227))</f>
        <v/>
      </c>
      <c r="AW228" s="15">
        <f>MAX(0,AV227*(1-INDEX($B$11:$B$63,37))*(1-E227))</f>
        <v/>
      </c>
      <c r="AX228" s="15">
        <f>MAX(0,AW227*(1-INDEX($B$11:$B$63,38))*(1-E227))</f>
        <v/>
      </c>
      <c r="AY228" s="15">
        <f>MAX(0,AX227*(1-INDEX($B$11:$B$63,39))*(1-E227))</f>
        <v/>
      </c>
      <c r="AZ228" s="15">
        <f>MAX(0,AY227*(1-INDEX($B$11:$B$63,40))*(1-E227))</f>
        <v/>
      </c>
      <c r="BA228" s="15">
        <f>MAX(0,AZ227*(1-INDEX($B$11:$B$63,41))*(1-E227))</f>
        <v/>
      </c>
      <c r="BB228" s="15">
        <f>MAX(0,BA227*(1-INDEX($B$11:$B$63,42))*(1-E227))</f>
        <v/>
      </c>
      <c r="BC228" s="15">
        <f>MAX(0,BB227*(1-INDEX($B$11:$B$63,43))*(1-E227))</f>
        <v/>
      </c>
      <c r="BD228" s="15">
        <f>MAX(0,BC227*(1-INDEX($B$11:$B$63,44))*(1-E227))</f>
        <v/>
      </c>
      <c r="BE228" s="15">
        <f>MAX(0,BD227*(1-INDEX($B$11:$B$63,45))*(1-E227))</f>
        <v/>
      </c>
      <c r="BF228" s="15">
        <f>MAX(0,BE227*(1-INDEX($B$11:$B$63,46))*(1-E227))</f>
        <v/>
      </c>
      <c r="BG228" s="15">
        <f>MAX(0,BF227*(1-INDEX($B$11:$B$63,47))*(1-E227))</f>
        <v/>
      </c>
      <c r="BH228" s="15">
        <f>MAX(0,BG227*(1-INDEX($B$11:$B$63,48))*(1-E227))</f>
        <v/>
      </c>
      <c r="BI228" s="15">
        <f>MAX(0,BH227*(1-INDEX($B$11:$B$63,49))*(1-E227))</f>
        <v/>
      </c>
      <c r="BJ228" s="15">
        <f>MAX(0,BI227*(1-INDEX($B$11:$B$63,50))*(1-E227))</f>
        <v/>
      </c>
      <c r="BK228" s="15">
        <f>MAX(0,BJ227*(1-INDEX($B$11:$B$63,51))*(1-E227))</f>
        <v/>
      </c>
      <c r="BL228" s="15">
        <f>MAX(0,(BL227+BK227)*(1-INDEX($B$11:$B$63,53))*(1-E227))</f>
        <v/>
      </c>
    </row>
    <row r="229">
      <c r="A229" s="55" t="n">
        <v>163</v>
      </c>
      <c r="B229" s="15">
        <f>IF(A229&gt;Inputs!$C$62,"",SUM(M229:BK229))</f>
        <v/>
      </c>
      <c r="C229" s="15">
        <f>IF(A229&gt;Inputs!$C$62,"",INDEX(Trajectory!$C$23:$C$2000,A229))</f>
        <v/>
      </c>
      <c r="D229" s="15">
        <f>IF(A229&gt;Inputs!$C$62,"",SUM(L229:BK229))</f>
        <v/>
      </c>
      <c r="E229" s="12">
        <f>IF(A229&gt;Inputs!$C$62,"",INDEX(Trajectory!$AG$23:$AG$2000,A229))</f>
        <v/>
      </c>
      <c r="F229" s="12">
        <f>IF(D229=0,0,SUMPRODUCT(L229:BK229,$B$11:$B$63)/D229)</f>
        <v/>
      </c>
      <c r="G229" s="12">
        <f>IF(D229=0,0,MIN(0.95,1-(1-F229)*(1-E229)))</f>
        <v/>
      </c>
      <c r="H229" s="15">
        <f>IF(D229=0,0,D229*G229)</f>
        <v/>
      </c>
      <c r="I229" s="15">
        <f>IF(D229=0,0,D229-H229)</f>
        <v/>
      </c>
      <c r="L229" s="15">
        <f>C229</f>
        <v/>
      </c>
      <c r="M229" s="15">
        <f>MAX(0,L228*(1-INDEX($B$11:$B$63,1))*(1-E228))</f>
        <v/>
      </c>
      <c r="N229" s="15">
        <f>MAX(0,M228*(1-INDEX($B$11:$B$63,2))*(1-E228))</f>
        <v/>
      </c>
      <c r="O229" s="15">
        <f>MAX(0,N228*(1-INDEX($B$11:$B$63,3))*(1-E228))</f>
        <v/>
      </c>
      <c r="P229" s="15">
        <f>MAX(0,O228*(1-INDEX($B$11:$B$63,4))*(1-E228))</f>
        <v/>
      </c>
      <c r="Q229" s="15">
        <f>MAX(0,P228*(1-INDEX($B$11:$B$63,5))*(1-E228))</f>
        <v/>
      </c>
      <c r="R229" s="15">
        <f>MAX(0,Q228*(1-INDEX($B$11:$B$63,6))*(1-E228))</f>
        <v/>
      </c>
      <c r="S229" s="15">
        <f>MAX(0,R228*(1-INDEX($B$11:$B$63,7))*(1-E228))</f>
        <v/>
      </c>
      <c r="T229" s="15">
        <f>MAX(0,S228*(1-INDEX($B$11:$B$63,8))*(1-E228))</f>
        <v/>
      </c>
      <c r="U229" s="15">
        <f>MAX(0,T228*(1-INDEX($B$11:$B$63,9))*(1-E228))</f>
        <v/>
      </c>
      <c r="V229" s="15">
        <f>MAX(0,U228*(1-INDEX($B$11:$B$63,10))*(1-E228))</f>
        <v/>
      </c>
      <c r="W229" s="15">
        <f>MAX(0,V228*(1-INDEX($B$11:$B$63,11))*(1-E228))</f>
        <v/>
      </c>
      <c r="X229" s="15">
        <f>MAX(0,W228*(1-INDEX($B$11:$B$63,12))*(1-E228))</f>
        <v/>
      </c>
      <c r="Y229" s="15">
        <f>MAX(0,X228*(1-INDEX($B$11:$B$63,13))*(1-E228))</f>
        <v/>
      </c>
      <c r="Z229" s="15">
        <f>MAX(0,Y228*(1-INDEX($B$11:$B$63,14))*(1-E228))</f>
        <v/>
      </c>
      <c r="AA229" s="15">
        <f>MAX(0,Z228*(1-INDEX($B$11:$B$63,15))*(1-E228))</f>
        <v/>
      </c>
      <c r="AB229" s="15">
        <f>MAX(0,AA228*(1-INDEX($B$11:$B$63,16))*(1-E228))</f>
        <v/>
      </c>
      <c r="AC229" s="15">
        <f>MAX(0,AB228*(1-INDEX($B$11:$B$63,17))*(1-E228))</f>
        <v/>
      </c>
      <c r="AD229" s="15">
        <f>MAX(0,AC228*(1-INDEX($B$11:$B$63,18))*(1-E228))</f>
        <v/>
      </c>
      <c r="AE229" s="15">
        <f>MAX(0,AD228*(1-INDEX($B$11:$B$63,19))*(1-E228))</f>
        <v/>
      </c>
      <c r="AF229" s="15">
        <f>MAX(0,AE228*(1-INDEX($B$11:$B$63,20))*(1-E228))</f>
        <v/>
      </c>
      <c r="AG229" s="15">
        <f>MAX(0,AF228*(1-INDEX($B$11:$B$63,21))*(1-E228))</f>
        <v/>
      </c>
      <c r="AH229" s="15">
        <f>MAX(0,AG228*(1-INDEX($B$11:$B$63,22))*(1-E228))</f>
        <v/>
      </c>
      <c r="AI229" s="15">
        <f>MAX(0,AH228*(1-INDEX($B$11:$B$63,23))*(1-E228))</f>
        <v/>
      </c>
      <c r="AJ229" s="15">
        <f>MAX(0,AI228*(1-INDEX($B$11:$B$63,24))*(1-E228))</f>
        <v/>
      </c>
      <c r="AK229" s="15">
        <f>MAX(0,AJ228*(1-INDEX($B$11:$B$63,25))*(1-E228))</f>
        <v/>
      </c>
      <c r="AL229" s="15">
        <f>MAX(0,AK228*(1-INDEX($B$11:$B$63,26))*(1-E228))</f>
        <v/>
      </c>
      <c r="AM229" s="15">
        <f>MAX(0,AL228*(1-INDEX($B$11:$B$63,27))*(1-E228))</f>
        <v/>
      </c>
      <c r="AN229" s="15">
        <f>MAX(0,AM228*(1-INDEX($B$11:$B$63,28))*(1-E228))</f>
        <v/>
      </c>
      <c r="AO229" s="15">
        <f>MAX(0,AN228*(1-INDEX($B$11:$B$63,29))*(1-E228))</f>
        <v/>
      </c>
      <c r="AP229" s="15">
        <f>MAX(0,AO228*(1-INDEX($B$11:$B$63,30))*(1-E228))</f>
        <v/>
      </c>
      <c r="AQ229" s="15">
        <f>MAX(0,AP228*(1-INDEX($B$11:$B$63,31))*(1-E228))</f>
        <v/>
      </c>
      <c r="AR229" s="15">
        <f>MAX(0,AQ228*(1-INDEX($B$11:$B$63,32))*(1-E228))</f>
        <v/>
      </c>
      <c r="AS229" s="15">
        <f>MAX(0,AR228*(1-INDEX($B$11:$B$63,33))*(1-E228))</f>
        <v/>
      </c>
      <c r="AT229" s="15">
        <f>MAX(0,AS228*(1-INDEX($B$11:$B$63,34))*(1-E228))</f>
        <v/>
      </c>
      <c r="AU229" s="15">
        <f>MAX(0,AT228*(1-INDEX($B$11:$B$63,35))*(1-E228))</f>
        <v/>
      </c>
      <c r="AV229" s="15">
        <f>MAX(0,AU228*(1-INDEX($B$11:$B$63,36))*(1-E228))</f>
        <v/>
      </c>
      <c r="AW229" s="15">
        <f>MAX(0,AV228*(1-INDEX($B$11:$B$63,37))*(1-E228))</f>
        <v/>
      </c>
      <c r="AX229" s="15">
        <f>MAX(0,AW228*(1-INDEX($B$11:$B$63,38))*(1-E228))</f>
        <v/>
      </c>
      <c r="AY229" s="15">
        <f>MAX(0,AX228*(1-INDEX($B$11:$B$63,39))*(1-E228))</f>
        <v/>
      </c>
      <c r="AZ229" s="15">
        <f>MAX(0,AY228*(1-INDEX($B$11:$B$63,40))*(1-E228))</f>
        <v/>
      </c>
      <c r="BA229" s="15">
        <f>MAX(0,AZ228*(1-INDEX($B$11:$B$63,41))*(1-E228))</f>
        <v/>
      </c>
      <c r="BB229" s="15">
        <f>MAX(0,BA228*(1-INDEX($B$11:$B$63,42))*(1-E228))</f>
        <v/>
      </c>
      <c r="BC229" s="15">
        <f>MAX(0,BB228*(1-INDEX($B$11:$B$63,43))*(1-E228))</f>
        <v/>
      </c>
      <c r="BD229" s="15">
        <f>MAX(0,BC228*(1-INDEX($B$11:$B$63,44))*(1-E228))</f>
        <v/>
      </c>
      <c r="BE229" s="15">
        <f>MAX(0,BD228*(1-INDEX($B$11:$B$63,45))*(1-E228))</f>
        <v/>
      </c>
      <c r="BF229" s="15">
        <f>MAX(0,BE228*(1-INDEX($B$11:$B$63,46))*(1-E228))</f>
        <v/>
      </c>
      <c r="BG229" s="15">
        <f>MAX(0,BF228*(1-INDEX($B$11:$B$63,47))*(1-E228))</f>
        <v/>
      </c>
      <c r="BH229" s="15">
        <f>MAX(0,BG228*(1-INDEX($B$11:$B$63,48))*(1-E228))</f>
        <v/>
      </c>
      <c r="BI229" s="15">
        <f>MAX(0,BH228*(1-INDEX($B$11:$B$63,49))*(1-E228))</f>
        <v/>
      </c>
      <c r="BJ229" s="15">
        <f>MAX(0,BI228*(1-INDEX($B$11:$B$63,50))*(1-E228))</f>
        <v/>
      </c>
      <c r="BK229" s="15">
        <f>MAX(0,BJ228*(1-INDEX($B$11:$B$63,51))*(1-E228))</f>
        <v/>
      </c>
      <c r="BL229" s="15">
        <f>MAX(0,(BL228+BK228)*(1-INDEX($B$11:$B$63,53))*(1-E228))</f>
        <v/>
      </c>
    </row>
    <row r="230">
      <c r="A230" s="55" t="n">
        <v>164</v>
      </c>
      <c r="B230" s="15">
        <f>IF(A230&gt;Inputs!$C$62,"",SUM(M230:BK230))</f>
        <v/>
      </c>
      <c r="C230" s="15">
        <f>IF(A230&gt;Inputs!$C$62,"",INDEX(Trajectory!$C$23:$C$2000,A230))</f>
        <v/>
      </c>
      <c r="D230" s="15">
        <f>IF(A230&gt;Inputs!$C$62,"",SUM(L230:BK230))</f>
        <v/>
      </c>
      <c r="E230" s="12">
        <f>IF(A230&gt;Inputs!$C$62,"",INDEX(Trajectory!$AG$23:$AG$2000,A230))</f>
        <v/>
      </c>
      <c r="F230" s="12">
        <f>IF(D230=0,0,SUMPRODUCT(L230:BK230,$B$11:$B$63)/D230)</f>
        <v/>
      </c>
      <c r="G230" s="12">
        <f>IF(D230=0,0,MIN(0.95,1-(1-F230)*(1-E230)))</f>
        <v/>
      </c>
      <c r="H230" s="15">
        <f>IF(D230=0,0,D230*G230)</f>
        <v/>
      </c>
      <c r="I230" s="15">
        <f>IF(D230=0,0,D230-H230)</f>
        <v/>
      </c>
      <c r="L230" s="15">
        <f>C230</f>
        <v/>
      </c>
      <c r="M230" s="15">
        <f>MAX(0,L229*(1-INDEX($B$11:$B$63,1))*(1-E229))</f>
        <v/>
      </c>
      <c r="N230" s="15">
        <f>MAX(0,M229*(1-INDEX($B$11:$B$63,2))*(1-E229))</f>
        <v/>
      </c>
      <c r="O230" s="15">
        <f>MAX(0,N229*(1-INDEX($B$11:$B$63,3))*(1-E229))</f>
        <v/>
      </c>
      <c r="P230" s="15">
        <f>MAX(0,O229*(1-INDEX($B$11:$B$63,4))*(1-E229))</f>
        <v/>
      </c>
      <c r="Q230" s="15">
        <f>MAX(0,P229*(1-INDEX($B$11:$B$63,5))*(1-E229))</f>
        <v/>
      </c>
      <c r="R230" s="15">
        <f>MAX(0,Q229*(1-INDEX($B$11:$B$63,6))*(1-E229))</f>
        <v/>
      </c>
      <c r="S230" s="15">
        <f>MAX(0,R229*(1-INDEX($B$11:$B$63,7))*(1-E229))</f>
        <v/>
      </c>
      <c r="T230" s="15">
        <f>MAX(0,S229*(1-INDEX($B$11:$B$63,8))*(1-E229))</f>
        <v/>
      </c>
      <c r="U230" s="15">
        <f>MAX(0,T229*(1-INDEX($B$11:$B$63,9))*(1-E229))</f>
        <v/>
      </c>
      <c r="V230" s="15">
        <f>MAX(0,U229*(1-INDEX($B$11:$B$63,10))*(1-E229))</f>
        <v/>
      </c>
      <c r="W230" s="15">
        <f>MAX(0,V229*(1-INDEX($B$11:$B$63,11))*(1-E229))</f>
        <v/>
      </c>
      <c r="X230" s="15">
        <f>MAX(0,W229*(1-INDEX($B$11:$B$63,12))*(1-E229))</f>
        <v/>
      </c>
      <c r="Y230" s="15">
        <f>MAX(0,X229*(1-INDEX($B$11:$B$63,13))*(1-E229))</f>
        <v/>
      </c>
      <c r="Z230" s="15">
        <f>MAX(0,Y229*(1-INDEX($B$11:$B$63,14))*(1-E229))</f>
        <v/>
      </c>
      <c r="AA230" s="15">
        <f>MAX(0,Z229*(1-INDEX($B$11:$B$63,15))*(1-E229))</f>
        <v/>
      </c>
      <c r="AB230" s="15">
        <f>MAX(0,AA229*(1-INDEX($B$11:$B$63,16))*(1-E229))</f>
        <v/>
      </c>
      <c r="AC230" s="15">
        <f>MAX(0,AB229*(1-INDEX($B$11:$B$63,17))*(1-E229))</f>
        <v/>
      </c>
      <c r="AD230" s="15">
        <f>MAX(0,AC229*(1-INDEX($B$11:$B$63,18))*(1-E229))</f>
        <v/>
      </c>
      <c r="AE230" s="15">
        <f>MAX(0,AD229*(1-INDEX($B$11:$B$63,19))*(1-E229))</f>
        <v/>
      </c>
      <c r="AF230" s="15">
        <f>MAX(0,AE229*(1-INDEX($B$11:$B$63,20))*(1-E229))</f>
        <v/>
      </c>
      <c r="AG230" s="15">
        <f>MAX(0,AF229*(1-INDEX($B$11:$B$63,21))*(1-E229))</f>
        <v/>
      </c>
      <c r="AH230" s="15">
        <f>MAX(0,AG229*(1-INDEX($B$11:$B$63,22))*(1-E229))</f>
        <v/>
      </c>
      <c r="AI230" s="15">
        <f>MAX(0,AH229*(1-INDEX($B$11:$B$63,23))*(1-E229))</f>
        <v/>
      </c>
      <c r="AJ230" s="15">
        <f>MAX(0,AI229*(1-INDEX($B$11:$B$63,24))*(1-E229))</f>
        <v/>
      </c>
      <c r="AK230" s="15">
        <f>MAX(0,AJ229*(1-INDEX($B$11:$B$63,25))*(1-E229))</f>
        <v/>
      </c>
      <c r="AL230" s="15">
        <f>MAX(0,AK229*(1-INDEX($B$11:$B$63,26))*(1-E229))</f>
        <v/>
      </c>
      <c r="AM230" s="15">
        <f>MAX(0,AL229*(1-INDEX($B$11:$B$63,27))*(1-E229))</f>
        <v/>
      </c>
      <c r="AN230" s="15">
        <f>MAX(0,AM229*(1-INDEX($B$11:$B$63,28))*(1-E229))</f>
        <v/>
      </c>
      <c r="AO230" s="15">
        <f>MAX(0,AN229*(1-INDEX($B$11:$B$63,29))*(1-E229))</f>
        <v/>
      </c>
      <c r="AP230" s="15">
        <f>MAX(0,AO229*(1-INDEX($B$11:$B$63,30))*(1-E229))</f>
        <v/>
      </c>
      <c r="AQ230" s="15">
        <f>MAX(0,AP229*(1-INDEX($B$11:$B$63,31))*(1-E229))</f>
        <v/>
      </c>
      <c r="AR230" s="15">
        <f>MAX(0,AQ229*(1-INDEX($B$11:$B$63,32))*(1-E229))</f>
        <v/>
      </c>
      <c r="AS230" s="15">
        <f>MAX(0,AR229*(1-INDEX($B$11:$B$63,33))*(1-E229))</f>
        <v/>
      </c>
      <c r="AT230" s="15">
        <f>MAX(0,AS229*(1-INDEX($B$11:$B$63,34))*(1-E229))</f>
        <v/>
      </c>
      <c r="AU230" s="15">
        <f>MAX(0,AT229*(1-INDEX($B$11:$B$63,35))*(1-E229))</f>
        <v/>
      </c>
      <c r="AV230" s="15">
        <f>MAX(0,AU229*(1-INDEX($B$11:$B$63,36))*(1-E229))</f>
        <v/>
      </c>
      <c r="AW230" s="15">
        <f>MAX(0,AV229*(1-INDEX($B$11:$B$63,37))*(1-E229))</f>
        <v/>
      </c>
      <c r="AX230" s="15">
        <f>MAX(0,AW229*(1-INDEX($B$11:$B$63,38))*(1-E229))</f>
        <v/>
      </c>
      <c r="AY230" s="15">
        <f>MAX(0,AX229*(1-INDEX($B$11:$B$63,39))*(1-E229))</f>
        <v/>
      </c>
      <c r="AZ230" s="15">
        <f>MAX(0,AY229*(1-INDEX($B$11:$B$63,40))*(1-E229))</f>
        <v/>
      </c>
      <c r="BA230" s="15">
        <f>MAX(0,AZ229*(1-INDEX($B$11:$B$63,41))*(1-E229))</f>
        <v/>
      </c>
      <c r="BB230" s="15">
        <f>MAX(0,BA229*(1-INDEX($B$11:$B$63,42))*(1-E229))</f>
        <v/>
      </c>
      <c r="BC230" s="15">
        <f>MAX(0,BB229*(1-INDEX($B$11:$B$63,43))*(1-E229))</f>
        <v/>
      </c>
      <c r="BD230" s="15">
        <f>MAX(0,BC229*(1-INDEX($B$11:$B$63,44))*(1-E229))</f>
        <v/>
      </c>
      <c r="BE230" s="15">
        <f>MAX(0,BD229*(1-INDEX($B$11:$B$63,45))*(1-E229))</f>
        <v/>
      </c>
      <c r="BF230" s="15">
        <f>MAX(0,BE229*(1-INDEX($B$11:$B$63,46))*(1-E229))</f>
        <v/>
      </c>
      <c r="BG230" s="15">
        <f>MAX(0,BF229*(1-INDEX($B$11:$B$63,47))*(1-E229))</f>
        <v/>
      </c>
      <c r="BH230" s="15">
        <f>MAX(0,BG229*(1-INDEX($B$11:$B$63,48))*(1-E229))</f>
        <v/>
      </c>
      <c r="BI230" s="15">
        <f>MAX(0,BH229*(1-INDEX($B$11:$B$63,49))*(1-E229))</f>
        <v/>
      </c>
      <c r="BJ230" s="15">
        <f>MAX(0,BI229*(1-INDEX($B$11:$B$63,50))*(1-E229))</f>
        <v/>
      </c>
      <c r="BK230" s="15">
        <f>MAX(0,BJ229*(1-INDEX($B$11:$B$63,51))*(1-E229))</f>
        <v/>
      </c>
      <c r="BL230" s="15">
        <f>MAX(0,(BL229+BK229)*(1-INDEX($B$11:$B$63,53))*(1-E229))</f>
        <v/>
      </c>
    </row>
    <row r="231">
      <c r="A231" s="55" t="n">
        <v>165</v>
      </c>
      <c r="B231" s="15">
        <f>IF(A231&gt;Inputs!$C$62,"",SUM(M231:BK231))</f>
        <v/>
      </c>
      <c r="C231" s="15">
        <f>IF(A231&gt;Inputs!$C$62,"",INDEX(Trajectory!$C$23:$C$2000,A231))</f>
        <v/>
      </c>
      <c r="D231" s="15">
        <f>IF(A231&gt;Inputs!$C$62,"",SUM(L231:BK231))</f>
        <v/>
      </c>
      <c r="E231" s="12">
        <f>IF(A231&gt;Inputs!$C$62,"",INDEX(Trajectory!$AG$23:$AG$2000,A231))</f>
        <v/>
      </c>
      <c r="F231" s="12">
        <f>IF(D231=0,0,SUMPRODUCT(L231:BK231,$B$11:$B$63)/D231)</f>
        <v/>
      </c>
      <c r="G231" s="12">
        <f>IF(D231=0,0,MIN(0.95,1-(1-F231)*(1-E231)))</f>
        <v/>
      </c>
      <c r="H231" s="15">
        <f>IF(D231=0,0,D231*G231)</f>
        <v/>
      </c>
      <c r="I231" s="15">
        <f>IF(D231=0,0,D231-H231)</f>
        <v/>
      </c>
      <c r="L231" s="15">
        <f>C231</f>
        <v/>
      </c>
      <c r="M231" s="15">
        <f>MAX(0,L230*(1-INDEX($B$11:$B$63,1))*(1-E230))</f>
        <v/>
      </c>
      <c r="N231" s="15">
        <f>MAX(0,M230*(1-INDEX($B$11:$B$63,2))*(1-E230))</f>
        <v/>
      </c>
      <c r="O231" s="15">
        <f>MAX(0,N230*(1-INDEX($B$11:$B$63,3))*(1-E230))</f>
        <v/>
      </c>
      <c r="P231" s="15">
        <f>MAX(0,O230*(1-INDEX($B$11:$B$63,4))*(1-E230))</f>
        <v/>
      </c>
      <c r="Q231" s="15">
        <f>MAX(0,P230*(1-INDEX($B$11:$B$63,5))*(1-E230))</f>
        <v/>
      </c>
      <c r="R231" s="15">
        <f>MAX(0,Q230*(1-INDEX($B$11:$B$63,6))*(1-E230))</f>
        <v/>
      </c>
      <c r="S231" s="15">
        <f>MAX(0,R230*(1-INDEX($B$11:$B$63,7))*(1-E230))</f>
        <v/>
      </c>
      <c r="T231" s="15">
        <f>MAX(0,S230*(1-INDEX($B$11:$B$63,8))*(1-E230))</f>
        <v/>
      </c>
      <c r="U231" s="15">
        <f>MAX(0,T230*(1-INDEX($B$11:$B$63,9))*(1-E230))</f>
        <v/>
      </c>
      <c r="V231" s="15">
        <f>MAX(0,U230*(1-INDEX($B$11:$B$63,10))*(1-E230))</f>
        <v/>
      </c>
      <c r="W231" s="15">
        <f>MAX(0,V230*(1-INDEX($B$11:$B$63,11))*(1-E230))</f>
        <v/>
      </c>
      <c r="X231" s="15">
        <f>MAX(0,W230*(1-INDEX($B$11:$B$63,12))*(1-E230))</f>
        <v/>
      </c>
      <c r="Y231" s="15">
        <f>MAX(0,X230*(1-INDEX($B$11:$B$63,13))*(1-E230))</f>
        <v/>
      </c>
      <c r="Z231" s="15">
        <f>MAX(0,Y230*(1-INDEX($B$11:$B$63,14))*(1-E230))</f>
        <v/>
      </c>
      <c r="AA231" s="15">
        <f>MAX(0,Z230*(1-INDEX($B$11:$B$63,15))*(1-E230))</f>
        <v/>
      </c>
      <c r="AB231" s="15">
        <f>MAX(0,AA230*(1-INDEX($B$11:$B$63,16))*(1-E230))</f>
        <v/>
      </c>
      <c r="AC231" s="15">
        <f>MAX(0,AB230*(1-INDEX($B$11:$B$63,17))*(1-E230))</f>
        <v/>
      </c>
      <c r="AD231" s="15">
        <f>MAX(0,AC230*(1-INDEX($B$11:$B$63,18))*(1-E230))</f>
        <v/>
      </c>
      <c r="AE231" s="15">
        <f>MAX(0,AD230*(1-INDEX($B$11:$B$63,19))*(1-E230))</f>
        <v/>
      </c>
      <c r="AF231" s="15">
        <f>MAX(0,AE230*(1-INDEX($B$11:$B$63,20))*(1-E230))</f>
        <v/>
      </c>
      <c r="AG231" s="15">
        <f>MAX(0,AF230*(1-INDEX($B$11:$B$63,21))*(1-E230))</f>
        <v/>
      </c>
      <c r="AH231" s="15">
        <f>MAX(0,AG230*(1-INDEX($B$11:$B$63,22))*(1-E230))</f>
        <v/>
      </c>
      <c r="AI231" s="15">
        <f>MAX(0,AH230*(1-INDEX($B$11:$B$63,23))*(1-E230))</f>
        <v/>
      </c>
      <c r="AJ231" s="15">
        <f>MAX(0,AI230*(1-INDEX($B$11:$B$63,24))*(1-E230))</f>
        <v/>
      </c>
      <c r="AK231" s="15">
        <f>MAX(0,AJ230*(1-INDEX($B$11:$B$63,25))*(1-E230))</f>
        <v/>
      </c>
      <c r="AL231" s="15">
        <f>MAX(0,AK230*(1-INDEX($B$11:$B$63,26))*(1-E230))</f>
        <v/>
      </c>
      <c r="AM231" s="15">
        <f>MAX(0,AL230*(1-INDEX($B$11:$B$63,27))*(1-E230))</f>
        <v/>
      </c>
      <c r="AN231" s="15">
        <f>MAX(0,AM230*(1-INDEX($B$11:$B$63,28))*(1-E230))</f>
        <v/>
      </c>
      <c r="AO231" s="15">
        <f>MAX(0,AN230*(1-INDEX($B$11:$B$63,29))*(1-E230))</f>
        <v/>
      </c>
      <c r="AP231" s="15">
        <f>MAX(0,AO230*(1-INDEX($B$11:$B$63,30))*(1-E230))</f>
        <v/>
      </c>
      <c r="AQ231" s="15">
        <f>MAX(0,AP230*(1-INDEX($B$11:$B$63,31))*(1-E230))</f>
        <v/>
      </c>
      <c r="AR231" s="15">
        <f>MAX(0,AQ230*(1-INDEX($B$11:$B$63,32))*(1-E230))</f>
        <v/>
      </c>
      <c r="AS231" s="15">
        <f>MAX(0,AR230*(1-INDEX($B$11:$B$63,33))*(1-E230))</f>
        <v/>
      </c>
      <c r="AT231" s="15">
        <f>MAX(0,AS230*(1-INDEX($B$11:$B$63,34))*(1-E230))</f>
        <v/>
      </c>
      <c r="AU231" s="15">
        <f>MAX(0,AT230*(1-INDEX($B$11:$B$63,35))*(1-E230))</f>
        <v/>
      </c>
      <c r="AV231" s="15">
        <f>MAX(0,AU230*(1-INDEX($B$11:$B$63,36))*(1-E230))</f>
        <v/>
      </c>
      <c r="AW231" s="15">
        <f>MAX(0,AV230*(1-INDEX($B$11:$B$63,37))*(1-E230))</f>
        <v/>
      </c>
      <c r="AX231" s="15">
        <f>MAX(0,AW230*(1-INDEX($B$11:$B$63,38))*(1-E230))</f>
        <v/>
      </c>
      <c r="AY231" s="15">
        <f>MAX(0,AX230*(1-INDEX($B$11:$B$63,39))*(1-E230))</f>
        <v/>
      </c>
      <c r="AZ231" s="15">
        <f>MAX(0,AY230*(1-INDEX($B$11:$B$63,40))*(1-E230))</f>
        <v/>
      </c>
      <c r="BA231" s="15">
        <f>MAX(0,AZ230*(1-INDEX($B$11:$B$63,41))*(1-E230))</f>
        <v/>
      </c>
      <c r="BB231" s="15">
        <f>MAX(0,BA230*(1-INDEX($B$11:$B$63,42))*(1-E230))</f>
        <v/>
      </c>
      <c r="BC231" s="15">
        <f>MAX(0,BB230*(1-INDEX($B$11:$B$63,43))*(1-E230))</f>
        <v/>
      </c>
      <c r="BD231" s="15">
        <f>MAX(0,BC230*(1-INDEX($B$11:$B$63,44))*(1-E230))</f>
        <v/>
      </c>
      <c r="BE231" s="15">
        <f>MAX(0,BD230*(1-INDEX($B$11:$B$63,45))*(1-E230))</f>
        <v/>
      </c>
      <c r="BF231" s="15">
        <f>MAX(0,BE230*(1-INDEX($B$11:$B$63,46))*(1-E230))</f>
        <v/>
      </c>
      <c r="BG231" s="15">
        <f>MAX(0,BF230*(1-INDEX($B$11:$B$63,47))*(1-E230))</f>
        <v/>
      </c>
      <c r="BH231" s="15">
        <f>MAX(0,BG230*(1-INDEX($B$11:$B$63,48))*(1-E230))</f>
        <v/>
      </c>
      <c r="BI231" s="15">
        <f>MAX(0,BH230*(1-INDEX($B$11:$B$63,49))*(1-E230))</f>
        <v/>
      </c>
      <c r="BJ231" s="15">
        <f>MAX(0,BI230*(1-INDEX($B$11:$B$63,50))*(1-E230))</f>
        <v/>
      </c>
      <c r="BK231" s="15">
        <f>MAX(0,BJ230*(1-INDEX($B$11:$B$63,51))*(1-E230))</f>
        <v/>
      </c>
      <c r="BL231" s="15">
        <f>MAX(0,(BL230+BK230)*(1-INDEX($B$11:$B$63,53))*(1-E230))</f>
        <v/>
      </c>
    </row>
    <row r="232">
      <c r="A232" s="55" t="n">
        <v>166</v>
      </c>
      <c r="B232" s="15">
        <f>IF(A232&gt;Inputs!$C$62,"",SUM(M232:BK232))</f>
        <v/>
      </c>
      <c r="C232" s="15">
        <f>IF(A232&gt;Inputs!$C$62,"",INDEX(Trajectory!$C$23:$C$2000,A232))</f>
        <v/>
      </c>
      <c r="D232" s="15">
        <f>IF(A232&gt;Inputs!$C$62,"",SUM(L232:BK232))</f>
        <v/>
      </c>
      <c r="E232" s="12">
        <f>IF(A232&gt;Inputs!$C$62,"",INDEX(Trajectory!$AG$23:$AG$2000,A232))</f>
        <v/>
      </c>
      <c r="F232" s="12">
        <f>IF(D232=0,0,SUMPRODUCT(L232:BK232,$B$11:$B$63)/D232)</f>
        <v/>
      </c>
      <c r="G232" s="12">
        <f>IF(D232=0,0,MIN(0.95,1-(1-F232)*(1-E232)))</f>
        <v/>
      </c>
      <c r="H232" s="15">
        <f>IF(D232=0,0,D232*G232)</f>
        <v/>
      </c>
      <c r="I232" s="15">
        <f>IF(D232=0,0,D232-H232)</f>
        <v/>
      </c>
      <c r="L232" s="15">
        <f>C232</f>
        <v/>
      </c>
      <c r="M232" s="15">
        <f>MAX(0,L231*(1-INDEX($B$11:$B$63,1))*(1-E231))</f>
        <v/>
      </c>
      <c r="N232" s="15">
        <f>MAX(0,M231*(1-INDEX($B$11:$B$63,2))*(1-E231))</f>
        <v/>
      </c>
      <c r="O232" s="15">
        <f>MAX(0,N231*(1-INDEX($B$11:$B$63,3))*(1-E231))</f>
        <v/>
      </c>
      <c r="P232" s="15">
        <f>MAX(0,O231*(1-INDEX($B$11:$B$63,4))*(1-E231))</f>
        <v/>
      </c>
      <c r="Q232" s="15">
        <f>MAX(0,P231*(1-INDEX($B$11:$B$63,5))*(1-E231))</f>
        <v/>
      </c>
      <c r="R232" s="15">
        <f>MAX(0,Q231*(1-INDEX($B$11:$B$63,6))*(1-E231))</f>
        <v/>
      </c>
      <c r="S232" s="15">
        <f>MAX(0,R231*(1-INDEX($B$11:$B$63,7))*(1-E231))</f>
        <v/>
      </c>
      <c r="T232" s="15">
        <f>MAX(0,S231*(1-INDEX($B$11:$B$63,8))*(1-E231))</f>
        <v/>
      </c>
      <c r="U232" s="15">
        <f>MAX(0,T231*(1-INDEX($B$11:$B$63,9))*(1-E231))</f>
        <v/>
      </c>
      <c r="V232" s="15">
        <f>MAX(0,U231*(1-INDEX($B$11:$B$63,10))*(1-E231))</f>
        <v/>
      </c>
      <c r="W232" s="15">
        <f>MAX(0,V231*(1-INDEX($B$11:$B$63,11))*(1-E231))</f>
        <v/>
      </c>
      <c r="X232" s="15">
        <f>MAX(0,W231*(1-INDEX($B$11:$B$63,12))*(1-E231))</f>
        <v/>
      </c>
      <c r="Y232" s="15">
        <f>MAX(0,X231*(1-INDEX($B$11:$B$63,13))*(1-E231))</f>
        <v/>
      </c>
      <c r="Z232" s="15">
        <f>MAX(0,Y231*(1-INDEX($B$11:$B$63,14))*(1-E231))</f>
        <v/>
      </c>
      <c r="AA232" s="15">
        <f>MAX(0,Z231*(1-INDEX($B$11:$B$63,15))*(1-E231))</f>
        <v/>
      </c>
      <c r="AB232" s="15">
        <f>MAX(0,AA231*(1-INDEX($B$11:$B$63,16))*(1-E231))</f>
        <v/>
      </c>
      <c r="AC232" s="15">
        <f>MAX(0,AB231*(1-INDEX($B$11:$B$63,17))*(1-E231))</f>
        <v/>
      </c>
      <c r="AD232" s="15">
        <f>MAX(0,AC231*(1-INDEX($B$11:$B$63,18))*(1-E231))</f>
        <v/>
      </c>
      <c r="AE232" s="15">
        <f>MAX(0,AD231*(1-INDEX($B$11:$B$63,19))*(1-E231))</f>
        <v/>
      </c>
      <c r="AF232" s="15">
        <f>MAX(0,AE231*(1-INDEX($B$11:$B$63,20))*(1-E231))</f>
        <v/>
      </c>
      <c r="AG232" s="15">
        <f>MAX(0,AF231*(1-INDEX($B$11:$B$63,21))*(1-E231))</f>
        <v/>
      </c>
      <c r="AH232" s="15">
        <f>MAX(0,AG231*(1-INDEX($B$11:$B$63,22))*(1-E231))</f>
        <v/>
      </c>
      <c r="AI232" s="15">
        <f>MAX(0,AH231*(1-INDEX($B$11:$B$63,23))*(1-E231))</f>
        <v/>
      </c>
      <c r="AJ232" s="15">
        <f>MAX(0,AI231*(1-INDEX($B$11:$B$63,24))*(1-E231))</f>
        <v/>
      </c>
      <c r="AK232" s="15">
        <f>MAX(0,AJ231*(1-INDEX($B$11:$B$63,25))*(1-E231))</f>
        <v/>
      </c>
      <c r="AL232" s="15">
        <f>MAX(0,AK231*(1-INDEX($B$11:$B$63,26))*(1-E231))</f>
        <v/>
      </c>
      <c r="AM232" s="15">
        <f>MAX(0,AL231*(1-INDEX($B$11:$B$63,27))*(1-E231))</f>
        <v/>
      </c>
      <c r="AN232" s="15">
        <f>MAX(0,AM231*(1-INDEX($B$11:$B$63,28))*(1-E231))</f>
        <v/>
      </c>
      <c r="AO232" s="15">
        <f>MAX(0,AN231*(1-INDEX($B$11:$B$63,29))*(1-E231))</f>
        <v/>
      </c>
      <c r="AP232" s="15">
        <f>MAX(0,AO231*(1-INDEX($B$11:$B$63,30))*(1-E231))</f>
        <v/>
      </c>
      <c r="AQ232" s="15">
        <f>MAX(0,AP231*(1-INDEX($B$11:$B$63,31))*(1-E231))</f>
        <v/>
      </c>
      <c r="AR232" s="15">
        <f>MAX(0,AQ231*(1-INDEX($B$11:$B$63,32))*(1-E231))</f>
        <v/>
      </c>
      <c r="AS232" s="15">
        <f>MAX(0,AR231*(1-INDEX($B$11:$B$63,33))*(1-E231))</f>
        <v/>
      </c>
      <c r="AT232" s="15">
        <f>MAX(0,AS231*(1-INDEX($B$11:$B$63,34))*(1-E231))</f>
        <v/>
      </c>
      <c r="AU232" s="15">
        <f>MAX(0,AT231*(1-INDEX($B$11:$B$63,35))*(1-E231))</f>
        <v/>
      </c>
      <c r="AV232" s="15">
        <f>MAX(0,AU231*(1-INDEX($B$11:$B$63,36))*(1-E231))</f>
        <v/>
      </c>
      <c r="AW232" s="15">
        <f>MAX(0,AV231*(1-INDEX($B$11:$B$63,37))*(1-E231))</f>
        <v/>
      </c>
      <c r="AX232" s="15">
        <f>MAX(0,AW231*(1-INDEX($B$11:$B$63,38))*(1-E231))</f>
        <v/>
      </c>
      <c r="AY232" s="15">
        <f>MAX(0,AX231*(1-INDEX($B$11:$B$63,39))*(1-E231))</f>
        <v/>
      </c>
      <c r="AZ232" s="15">
        <f>MAX(0,AY231*(1-INDEX($B$11:$B$63,40))*(1-E231))</f>
        <v/>
      </c>
      <c r="BA232" s="15">
        <f>MAX(0,AZ231*(1-INDEX($B$11:$B$63,41))*(1-E231))</f>
        <v/>
      </c>
      <c r="BB232" s="15">
        <f>MAX(0,BA231*(1-INDEX($B$11:$B$63,42))*(1-E231))</f>
        <v/>
      </c>
      <c r="BC232" s="15">
        <f>MAX(0,BB231*(1-INDEX($B$11:$B$63,43))*(1-E231))</f>
        <v/>
      </c>
      <c r="BD232" s="15">
        <f>MAX(0,BC231*(1-INDEX($B$11:$B$63,44))*(1-E231))</f>
        <v/>
      </c>
      <c r="BE232" s="15">
        <f>MAX(0,BD231*(1-INDEX($B$11:$B$63,45))*(1-E231))</f>
        <v/>
      </c>
      <c r="BF232" s="15">
        <f>MAX(0,BE231*(1-INDEX($B$11:$B$63,46))*(1-E231))</f>
        <v/>
      </c>
      <c r="BG232" s="15">
        <f>MAX(0,BF231*(1-INDEX($B$11:$B$63,47))*(1-E231))</f>
        <v/>
      </c>
      <c r="BH232" s="15">
        <f>MAX(0,BG231*(1-INDEX($B$11:$B$63,48))*(1-E231))</f>
        <v/>
      </c>
      <c r="BI232" s="15">
        <f>MAX(0,BH231*(1-INDEX($B$11:$B$63,49))*(1-E231))</f>
        <v/>
      </c>
      <c r="BJ232" s="15">
        <f>MAX(0,BI231*(1-INDEX($B$11:$B$63,50))*(1-E231))</f>
        <v/>
      </c>
      <c r="BK232" s="15">
        <f>MAX(0,BJ231*(1-INDEX($B$11:$B$63,51))*(1-E231))</f>
        <v/>
      </c>
      <c r="BL232" s="15">
        <f>MAX(0,(BL231+BK231)*(1-INDEX($B$11:$B$63,53))*(1-E231))</f>
        <v/>
      </c>
    </row>
    <row r="233">
      <c r="A233" s="55" t="n">
        <v>167</v>
      </c>
      <c r="B233" s="15">
        <f>IF(A233&gt;Inputs!$C$62,"",SUM(M233:BK233))</f>
        <v/>
      </c>
      <c r="C233" s="15">
        <f>IF(A233&gt;Inputs!$C$62,"",INDEX(Trajectory!$C$23:$C$2000,A233))</f>
        <v/>
      </c>
      <c r="D233" s="15">
        <f>IF(A233&gt;Inputs!$C$62,"",SUM(L233:BK233))</f>
        <v/>
      </c>
      <c r="E233" s="12">
        <f>IF(A233&gt;Inputs!$C$62,"",INDEX(Trajectory!$AG$23:$AG$2000,A233))</f>
        <v/>
      </c>
      <c r="F233" s="12">
        <f>IF(D233=0,0,SUMPRODUCT(L233:BK233,$B$11:$B$63)/D233)</f>
        <v/>
      </c>
      <c r="G233" s="12">
        <f>IF(D233=0,0,MIN(0.95,1-(1-F233)*(1-E233)))</f>
        <v/>
      </c>
      <c r="H233" s="15">
        <f>IF(D233=0,0,D233*G233)</f>
        <v/>
      </c>
      <c r="I233" s="15">
        <f>IF(D233=0,0,D233-H233)</f>
        <v/>
      </c>
      <c r="L233" s="15">
        <f>C233</f>
        <v/>
      </c>
      <c r="M233" s="15">
        <f>MAX(0,L232*(1-INDEX($B$11:$B$63,1))*(1-E232))</f>
        <v/>
      </c>
      <c r="N233" s="15">
        <f>MAX(0,M232*(1-INDEX($B$11:$B$63,2))*(1-E232))</f>
        <v/>
      </c>
      <c r="O233" s="15">
        <f>MAX(0,N232*(1-INDEX($B$11:$B$63,3))*(1-E232))</f>
        <v/>
      </c>
      <c r="P233" s="15">
        <f>MAX(0,O232*(1-INDEX($B$11:$B$63,4))*(1-E232))</f>
        <v/>
      </c>
      <c r="Q233" s="15">
        <f>MAX(0,P232*(1-INDEX($B$11:$B$63,5))*(1-E232))</f>
        <v/>
      </c>
      <c r="R233" s="15">
        <f>MAX(0,Q232*(1-INDEX($B$11:$B$63,6))*(1-E232))</f>
        <v/>
      </c>
      <c r="S233" s="15">
        <f>MAX(0,R232*(1-INDEX($B$11:$B$63,7))*(1-E232))</f>
        <v/>
      </c>
      <c r="T233" s="15">
        <f>MAX(0,S232*(1-INDEX($B$11:$B$63,8))*(1-E232))</f>
        <v/>
      </c>
      <c r="U233" s="15">
        <f>MAX(0,T232*(1-INDEX($B$11:$B$63,9))*(1-E232))</f>
        <v/>
      </c>
      <c r="V233" s="15">
        <f>MAX(0,U232*(1-INDEX($B$11:$B$63,10))*(1-E232))</f>
        <v/>
      </c>
      <c r="W233" s="15">
        <f>MAX(0,V232*(1-INDEX($B$11:$B$63,11))*(1-E232))</f>
        <v/>
      </c>
      <c r="X233" s="15">
        <f>MAX(0,W232*(1-INDEX($B$11:$B$63,12))*(1-E232))</f>
        <v/>
      </c>
      <c r="Y233" s="15">
        <f>MAX(0,X232*(1-INDEX($B$11:$B$63,13))*(1-E232))</f>
        <v/>
      </c>
      <c r="Z233" s="15">
        <f>MAX(0,Y232*(1-INDEX($B$11:$B$63,14))*(1-E232))</f>
        <v/>
      </c>
      <c r="AA233" s="15">
        <f>MAX(0,Z232*(1-INDEX($B$11:$B$63,15))*(1-E232))</f>
        <v/>
      </c>
      <c r="AB233" s="15">
        <f>MAX(0,AA232*(1-INDEX($B$11:$B$63,16))*(1-E232))</f>
        <v/>
      </c>
      <c r="AC233" s="15">
        <f>MAX(0,AB232*(1-INDEX($B$11:$B$63,17))*(1-E232))</f>
        <v/>
      </c>
      <c r="AD233" s="15">
        <f>MAX(0,AC232*(1-INDEX($B$11:$B$63,18))*(1-E232))</f>
        <v/>
      </c>
      <c r="AE233" s="15">
        <f>MAX(0,AD232*(1-INDEX($B$11:$B$63,19))*(1-E232))</f>
        <v/>
      </c>
      <c r="AF233" s="15">
        <f>MAX(0,AE232*(1-INDEX($B$11:$B$63,20))*(1-E232))</f>
        <v/>
      </c>
      <c r="AG233" s="15">
        <f>MAX(0,AF232*(1-INDEX($B$11:$B$63,21))*(1-E232))</f>
        <v/>
      </c>
      <c r="AH233" s="15">
        <f>MAX(0,AG232*(1-INDEX($B$11:$B$63,22))*(1-E232))</f>
        <v/>
      </c>
      <c r="AI233" s="15">
        <f>MAX(0,AH232*(1-INDEX($B$11:$B$63,23))*(1-E232))</f>
        <v/>
      </c>
      <c r="AJ233" s="15">
        <f>MAX(0,AI232*(1-INDEX($B$11:$B$63,24))*(1-E232))</f>
        <v/>
      </c>
      <c r="AK233" s="15">
        <f>MAX(0,AJ232*(1-INDEX($B$11:$B$63,25))*(1-E232))</f>
        <v/>
      </c>
      <c r="AL233" s="15">
        <f>MAX(0,AK232*(1-INDEX($B$11:$B$63,26))*(1-E232))</f>
        <v/>
      </c>
      <c r="AM233" s="15">
        <f>MAX(0,AL232*(1-INDEX($B$11:$B$63,27))*(1-E232))</f>
        <v/>
      </c>
      <c r="AN233" s="15">
        <f>MAX(0,AM232*(1-INDEX($B$11:$B$63,28))*(1-E232))</f>
        <v/>
      </c>
      <c r="AO233" s="15">
        <f>MAX(0,AN232*(1-INDEX($B$11:$B$63,29))*(1-E232))</f>
        <v/>
      </c>
      <c r="AP233" s="15">
        <f>MAX(0,AO232*(1-INDEX($B$11:$B$63,30))*(1-E232))</f>
        <v/>
      </c>
      <c r="AQ233" s="15">
        <f>MAX(0,AP232*(1-INDEX($B$11:$B$63,31))*(1-E232))</f>
        <v/>
      </c>
      <c r="AR233" s="15">
        <f>MAX(0,AQ232*(1-INDEX($B$11:$B$63,32))*(1-E232))</f>
        <v/>
      </c>
      <c r="AS233" s="15">
        <f>MAX(0,AR232*(1-INDEX($B$11:$B$63,33))*(1-E232))</f>
        <v/>
      </c>
      <c r="AT233" s="15">
        <f>MAX(0,AS232*(1-INDEX($B$11:$B$63,34))*(1-E232))</f>
        <v/>
      </c>
      <c r="AU233" s="15">
        <f>MAX(0,AT232*(1-INDEX($B$11:$B$63,35))*(1-E232))</f>
        <v/>
      </c>
      <c r="AV233" s="15">
        <f>MAX(0,AU232*(1-INDEX($B$11:$B$63,36))*(1-E232))</f>
        <v/>
      </c>
      <c r="AW233" s="15">
        <f>MAX(0,AV232*(1-INDEX($B$11:$B$63,37))*(1-E232))</f>
        <v/>
      </c>
      <c r="AX233" s="15">
        <f>MAX(0,AW232*(1-INDEX($B$11:$B$63,38))*(1-E232))</f>
        <v/>
      </c>
      <c r="AY233" s="15">
        <f>MAX(0,AX232*(1-INDEX($B$11:$B$63,39))*(1-E232))</f>
        <v/>
      </c>
      <c r="AZ233" s="15">
        <f>MAX(0,AY232*(1-INDEX($B$11:$B$63,40))*(1-E232))</f>
        <v/>
      </c>
      <c r="BA233" s="15">
        <f>MAX(0,AZ232*(1-INDEX($B$11:$B$63,41))*(1-E232))</f>
        <v/>
      </c>
      <c r="BB233" s="15">
        <f>MAX(0,BA232*(1-INDEX($B$11:$B$63,42))*(1-E232))</f>
        <v/>
      </c>
      <c r="BC233" s="15">
        <f>MAX(0,BB232*(1-INDEX($B$11:$B$63,43))*(1-E232))</f>
        <v/>
      </c>
      <c r="BD233" s="15">
        <f>MAX(0,BC232*(1-INDEX($B$11:$B$63,44))*(1-E232))</f>
        <v/>
      </c>
      <c r="BE233" s="15">
        <f>MAX(0,BD232*(1-INDEX($B$11:$B$63,45))*(1-E232))</f>
        <v/>
      </c>
      <c r="BF233" s="15">
        <f>MAX(0,BE232*(1-INDEX($B$11:$B$63,46))*(1-E232))</f>
        <v/>
      </c>
      <c r="BG233" s="15">
        <f>MAX(0,BF232*(1-INDEX($B$11:$B$63,47))*(1-E232))</f>
        <v/>
      </c>
      <c r="BH233" s="15">
        <f>MAX(0,BG232*(1-INDEX($B$11:$B$63,48))*(1-E232))</f>
        <v/>
      </c>
      <c r="BI233" s="15">
        <f>MAX(0,BH232*(1-INDEX($B$11:$B$63,49))*(1-E232))</f>
        <v/>
      </c>
      <c r="BJ233" s="15">
        <f>MAX(0,BI232*(1-INDEX($B$11:$B$63,50))*(1-E232))</f>
        <v/>
      </c>
      <c r="BK233" s="15">
        <f>MAX(0,BJ232*(1-INDEX($B$11:$B$63,51))*(1-E232))</f>
        <v/>
      </c>
      <c r="BL233" s="15">
        <f>MAX(0,(BL232+BK232)*(1-INDEX($B$11:$B$63,53))*(1-E232))</f>
        <v/>
      </c>
    </row>
    <row r="234">
      <c r="A234" s="55" t="n">
        <v>168</v>
      </c>
      <c r="B234" s="15">
        <f>IF(A234&gt;Inputs!$C$62,"",SUM(M234:BK234))</f>
        <v/>
      </c>
      <c r="C234" s="15">
        <f>IF(A234&gt;Inputs!$C$62,"",INDEX(Trajectory!$C$23:$C$2000,A234))</f>
        <v/>
      </c>
      <c r="D234" s="15">
        <f>IF(A234&gt;Inputs!$C$62,"",SUM(L234:BK234))</f>
        <v/>
      </c>
      <c r="E234" s="12">
        <f>IF(A234&gt;Inputs!$C$62,"",INDEX(Trajectory!$AG$23:$AG$2000,A234))</f>
        <v/>
      </c>
      <c r="F234" s="12">
        <f>IF(D234=0,0,SUMPRODUCT(L234:BK234,$B$11:$B$63)/D234)</f>
        <v/>
      </c>
      <c r="G234" s="12">
        <f>IF(D234=0,0,MIN(0.95,1-(1-F234)*(1-E234)))</f>
        <v/>
      </c>
      <c r="H234" s="15">
        <f>IF(D234=0,0,D234*G234)</f>
        <v/>
      </c>
      <c r="I234" s="15">
        <f>IF(D234=0,0,D234-H234)</f>
        <v/>
      </c>
      <c r="L234" s="15">
        <f>C234</f>
        <v/>
      </c>
      <c r="M234" s="15">
        <f>MAX(0,L233*(1-INDEX($B$11:$B$63,1))*(1-E233))</f>
        <v/>
      </c>
      <c r="N234" s="15">
        <f>MAX(0,M233*(1-INDEX($B$11:$B$63,2))*(1-E233))</f>
        <v/>
      </c>
      <c r="O234" s="15">
        <f>MAX(0,N233*(1-INDEX($B$11:$B$63,3))*(1-E233))</f>
        <v/>
      </c>
      <c r="P234" s="15">
        <f>MAX(0,O233*(1-INDEX($B$11:$B$63,4))*(1-E233))</f>
        <v/>
      </c>
      <c r="Q234" s="15">
        <f>MAX(0,P233*(1-INDEX($B$11:$B$63,5))*(1-E233))</f>
        <v/>
      </c>
      <c r="R234" s="15">
        <f>MAX(0,Q233*(1-INDEX($B$11:$B$63,6))*(1-E233))</f>
        <v/>
      </c>
      <c r="S234" s="15">
        <f>MAX(0,R233*(1-INDEX($B$11:$B$63,7))*(1-E233))</f>
        <v/>
      </c>
      <c r="T234" s="15">
        <f>MAX(0,S233*(1-INDEX($B$11:$B$63,8))*(1-E233))</f>
        <v/>
      </c>
      <c r="U234" s="15">
        <f>MAX(0,T233*(1-INDEX($B$11:$B$63,9))*(1-E233))</f>
        <v/>
      </c>
      <c r="V234" s="15">
        <f>MAX(0,U233*(1-INDEX($B$11:$B$63,10))*(1-E233))</f>
        <v/>
      </c>
      <c r="W234" s="15">
        <f>MAX(0,V233*(1-INDEX($B$11:$B$63,11))*(1-E233))</f>
        <v/>
      </c>
      <c r="X234" s="15">
        <f>MAX(0,W233*(1-INDEX($B$11:$B$63,12))*(1-E233))</f>
        <v/>
      </c>
      <c r="Y234" s="15">
        <f>MAX(0,X233*(1-INDEX($B$11:$B$63,13))*(1-E233))</f>
        <v/>
      </c>
      <c r="Z234" s="15">
        <f>MAX(0,Y233*(1-INDEX($B$11:$B$63,14))*(1-E233))</f>
        <v/>
      </c>
      <c r="AA234" s="15">
        <f>MAX(0,Z233*(1-INDEX($B$11:$B$63,15))*(1-E233))</f>
        <v/>
      </c>
      <c r="AB234" s="15">
        <f>MAX(0,AA233*(1-INDEX($B$11:$B$63,16))*(1-E233))</f>
        <v/>
      </c>
      <c r="AC234" s="15">
        <f>MAX(0,AB233*(1-INDEX($B$11:$B$63,17))*(1-E233))</f>
        <v/>
      </c>
      <c r="AD234" s="15">
        <f>MAX(0,AC233*(1-INDEX($B$11:$B$63,18))*(1-E233))</f>
        <v/>
      </c>
      <c r="AE234" s="15">
        <f>MAX(0,AD233*(1-INDEX($B$11:$B$63,19))*(1-E233))</f>
        <v/>
      </c>
      <c r="AF234" s="15">
        <f>MAX(0,AE233*(1-INDEX($B$11:$B$63,20))*(1-E233))</f>
        <v/>
      </c>
      <c r="AG234" s="15">
        <f>MAX(0,AF233*(1-INDEX($B$11:$B$63,21))*(1-E233))</f>
        <v/>
      </c>
      <c r="AH234" s="15">
        <f>MAX(0,AG233*(1-INDEX($B$11:$B$63,22))*(1-E233))</f>
        <v/>
      </c>
      <c r="AI234" s="15">
        <f>MAX(0,AH233*(1-INDEX($B$11:$B$63,23))*(1-E233))</f>
        <v/>
      </c>
      <c r="AJ234" s="15">
        <f>MAX(0,AI233*(1-INDEX($B$11:$B$63,24))*(1-E233))</f>
        <v/>
      </c>
      <c r="AK234" s="15">
        <f>MAX(0,AJ233*(1-INDEX($B$11:$B$63,25))*(1-E233))</f>
        <v/>
      </c>
      <c r="AL234" s="15">
        <f>MAX(0,AK233*(1-INDEX($B$11:$B$63,26))*(1-E233))</f>
        <v/>
      </c>
      <c r="AM234" s="15">
        <f>MAX(0,AL233*(1-INDEX($B$11:$B$63,27))*(1-E233))</f>
        <v/>
      </c>
      <c r="AN234" s="15">
        <f>MAX(0,AM233*(1-INDEX($B$11:$B$63,28))*(1-E233))</f>
        <v/>
      </c>
      <c r="AO234" s="15">
        <f>MAX(0,AN233*(1-INDEX($B$11:$B$63,29))*(1-E233))</f>
        <v/>
      </c>
      <c r="AP234" s="15">
        <f>MAX(0,AO233*(1-INDEX($B$11:$B$63,30))*(1-E233))</f>
        <v/>
      </c>
      <c r="AQ234" s="15">
        <f>MAX(0,AP233*(1-INDEX($B$11:$B$63,31))*(1-E233))</f>
        <v/>
      </c>
      <c r="AR234" s="15">
        <f>MAX(0,AQ233*(1-INDEX($B$11:$B$63,32))*(1-E233))</f>
        <v/>
      </c>
      <c r="AS234" s="15">
        <f>MAX(0,AR233*(1-INDEX($B$11:$B$63,33))*(1-E233))</f>
        <v/>
      </c>
      <c r="AT234" s="15">
        <f>MAX(0,AS233*(1-INDEX($B$11:$B$63,34))*(1-E233))</f>
        <v/>
      </c>
      <c r="AU234" s="15">
        <f>MAX(0,AT233*(1-INDEX($B$11:$B$63,35))*(1-E233))</f>
        <v/>
      </c>
      <c r="AV234" s="15">
        <f>MAX(0,AU233*(1-INDEX($B$11:$B$63,36))*(1-E233))</f>
        <v/>
      </c>
      <c r="AW234" s="15">
        <f>MAX(0,AV233*(1-INDEX($B$11:$B$63,37))*(1-E233))</f>
        <v/>
      </c>
      <c r="AX234" s="15">
        <f>MAX(0,AW233*(1-INDEX($B$11:$B$63,38))*(1-E233))</f>
        <v/>
      </c>
      <c r="AY234" s="15">
        <f>MAX(0,AX233*(1-INDEX($B$11:$B$63,39))*(1-E233))</f>
        <v/>
      </c>
      <c r="AZ234" s="15">
        <f>MAX(0,AY233*(1-INDEX($B$11:$B$63,40))*(1-E233))</f>
        <v/>
      </c>
      <c r="BA234" s="15">
        <f>MAX(0,AZ233*(1-INDEX($B$11:$B$63,41))*(1-E233))</f>
        <v/>
      </c>
      <c r="BB234" s="15">
        <f>MAX(0,BA233*(1-INDEX($B$11:$B$63,42))*(1-E233))</f>
        <v/>
      </c>
      <c r="BC234" s="15">
        <f>MAX(0,BB233*(1-INDEX($B$11:$B$63,43))*(1-E233))</f>
        <v/>
      </c>
      <c r="BD234" s="15">
        <f>MAX(0,BC233*(1-INDEX($B$11:$B$63,44))*(1-E233))</f>
        <v/>
      </c>
      <c r="BE234" s="15">
        <f>MAX(0,BD233*(1-INDEX($B$11:$B$63,45))*(1-E233))</f>
        <v/>
      </c>
      <c r="BF234" s="15">
        <f>MAX(0,BE233*(1-INDEX($B$11:$B$63,46))*(1-E233))</f>
        <v/>
      </c>
      <c r="BG234" s="15">
        <f>MAX(0,BF233*(1-INDEX($B$11:$B$63,47))*(1-E233))</f>
        <v/>
      </c>
      <c r="BH234" s="15">
        <f>MAX(0,BG233*(1-INDEX($B$11:$B$63,48))*(1-E233))</f>
        <v/>
      </c>
      <c r="BI234" s="15">
        <f>MAX(0,BH233*(1-INDEX($B$11:$B$63,49))*(1-E233))</f>
        <v/>
      </c>
      <c r="BJ234" s="15">
        <f>MAX(0,BI233*(1-INDEX($B$11:$B$63,50))*(1-E233))</f>
        <v/>
      </c>
      <c r="BK234" s="15">
        <f>MAX(0,BJ233*(1-INDEX($B$11:$B$63,51))*(1-E233))</f>
        <v/>
      </c>
      <c r="BL234" s="15">
        <f>MAX(0,(BL233+BK233)*(1-INDEX($B$11:$B$63,53))*(1-E233))</f>
        <v/>
      </c>
    </row>
    <row r="235">
      <c r="A235" s="55" t="n">
        <v>169</v>
      </c>
      <c r="B235" s="15">
        <f>IF(A235&gt;Inputs!$C$62,"",SUM(M235:BK235))</f>
        <v/>
      </c>
      <c r="C235" s="15">
        <f>IF(A235&gt;Inputs!$C$62,"",INDEX(Trajectory!$C$23:$C$2000,A235))</f>
        <v/>
      </c>
      <c r="D235" s="15">
        <f>IF(A235&gt;Inputs!$C$62,"",SUM(L235:BK235))</f>
        <v/>
      </c>
      <c r="E235" s="12">
        <f>IF(A235&gt;Inputs!$C$62,"",INDEX(Trajectory!$AG$23:$AG$2000,A235))</f>
        <v/>
      </c>
      <c r="F235" s="12">
        <f>IF(D235=0,0,SUMPRODUCT(L235:BK235,$B$11:$B$63)/D235)</f>
        <v/>
      </c>
      <c r="G235" s="12">
        <f>IF(D235=0,0,MIN(0.95,1-(1-F235)*(1-E235)))</f>
        <v/>
      </c>
      <c r="H235" s="15">
        <f>IF(D235=0,0,D235*G235)</f>
        <v/>
      </c>
      <c r="I235" s="15">
        <f>IF(D235=0,0,D235-H235)</f>
        <v/>
      </c>
      <c r="L235" s="15">
        <f>C235</f>
        <v/>
      </c>
      <c r="M235" s="15">
        <f>MAX(0,L234*(1-INDEX($B$11:$B$63,1))*(1-E234))</f>
        <v/>
      </c>
      <c r="N235" s="15">
        <f>MAX(0,M234*(1-INDEX($B$11:$B$63,2))*(1-E234))</f>
        <v/>
      </c>
      <c r="O235" s="15">
        <f>MAX(0,N234*(1-INDEX($B$11:$B$63,3))*(1-E234))</f>
        <v/>
      </c>
      <c r="P235" s="15">
        <f>MAX(0,O234*(1-INDEX($B$11:$B$63,4))*(1-E234))</f>
        <v/>
      </c>
      <c r="Q235" s="15">
        <f>MAX(0,P234*(1-INDEX($B$11:$B$63,5))*(1-E234))</f>
        <v/>
      </c>
      <c r="R235" s="15">
        <f>MAX(0,Q234*(1-INDEX($B$11:$B$63,6))*(1-E234))</f>
        <v/>
      </c>
      <c r="S235" s="15">
        <f>MAX(0,R234*(1-INDEX($B$11:$B$63,7))*(1-E234))</f>
        <v/>
      </c>
      <c r="T235" s="15">
        <f>MAX(0,S234*(1-INDEX($B$11:$B$63,8))*(1-E234))</f>
        <v/>
      </c>
      <c r="U235" s="15">
        <f>MAX(0,T234*(1-INDEX($B$11:$B$63,9))*(1-E234))</f>
        <v/>
      </c>
      <c r="V235" s="15">
        <f>MAX(0,U234*(1-INDEX($B$11:$B$63,10))*(1-E234))</f>
        <v/>
      </c>
      <c r="W235" s="15">
        <f>MAX(0,V234*(1-INDEX($B$11:$B$63,11))*(1-E234))</f>
        <v/>
      </c>
      <c r="X235" s="15">
        <f>MAX(0,W234*(1-INDEX($B$11:$B$63,12))*(1-E234))</f>
        <v/>
      </c>
      <c r="Y235" s="15">
        <f>MAX(0,X234*(1-INDEX($B$11:$B$63,13))*(1-E234))</f>
        <v/>
      </c>
      <c r="Z235" s="15">
        <f>MAX(0,Y234*(1-INDEX($B$11:$B$63,14))*(1-E234))</f>
        <v/>
      </c>
      <c r="AA235" s="15">
        <f>MAX(0,Z234*(1-INDEX($B$11:$B$63,15))*(1-E234))</f>
        <v/>
      </c>
      <c r="AB235" s="15">
        <f>MAX(0,AA234*(1-INDEX($B$11:$B$63,16))*(1-E234))</f>
        <v/>
      </c>
      <c r="AC235" s="15">
        <f>MAX(0,AB234*(1-INDEX($B$11:$B$63,17))*(1-E234))</f>
        <v/>
      </c>
      <c r="AD235" s="15">
        <f>MAX(0,AC234*(1-INDEX($B$11:$B$63,18))*(1-E234))</f>
        <v/>
      </c>
      <c r="AE235" s="15">
        <f>MAX(0,AD234*(1-INDEX($B$11:$B$63,19))*(1-E234))</f>
        <v/>
      </c>
      <c r="AF235" s="15">
        <f>MAX(0,AE234*(1-INDEX($B$11:$B$63,20))*(1-E234))</f>
        <v/>
      </c>
      <c r="AG235" s="15">
        <f>MAX(0,AF234*(1-INDEX($B$11:$B$63,21))*(1-E234))</f>
        <v/>
      </c>
      <c r="AH235" s="15">
        <f>MAX(0,AG234*(1-INDEX($B$11:$B$63,22))*(1-E234))</f>
        <v/>
      </c>
      <c r="AI235" s="15">
        <f>MAX(0,AH234*(1-INDEX($B$11:$B$63,23))*(1-E234))</f>
        <v/>
      </c>
      <c r="AJ235" s="15">
        <f>MAX(0,AI234*(1-INDEX($B$11:$B$63,24))*(1-E234))</f>
        <v/>
      </c>
      <c r="AK235" s="15">
        <f>MAX(0,AJ234*(1-INDEX($B$11:$B$63,25))*(1-E234))</f>
        <v/>
      </c>
      <c r="AL235" s="15">
        <f>MAX(0,AK234*(1-INDEX($B$11:$B$63,26))*(1-E234))</f>
        <v/>
      </c>
      <c r="AM235" s="15">
        <f>MAX(0,AL234*(1-INDEX($B$11:$B$63,27))*(1-E234))</f>
        <v/>
      </c>
      <c r="AN235" s="15">
        <f>MAX(0,AM234*(1-INDEX($B$11:$B$63,28))*(1-E234))</f>
        <v/>
      </c>
      <c r="AO235" s="15">
        <f>MAX(0,AN234*(1-INDEX($B$11:$B$63,29))*(1-E234))</f>
        <v/>
      </c>
      <c r="AP235" s="15">
        <f>MAX(0,AO234*(1-INDEX($B$11:$B$63,30))*(1-E234))</f>
        <v/>
      </c>
      <c r="AQ235" s="15">
        <f>MAX(0,AP234*(1-INDEX($B$11:$B$63,31))*(1-E234))</f>
        <v/>
      </c>
      <c r="AR235" s="15">
        <f>MAX(0,AQ234*(1-INDEX($B$11:$B$63,32))*(1-E234))</f>
        <v/>
      </c>
      <c r="AS235" s="15">
        <f>MAX(0,AR234*(1-INDEX($B$11:$B$63,33))*(1-E234))</f>
        <v/>
      </c>
      <c r="AT235" s="15">
        <f>MAX(0,AS234*(1-INDEX($B$11:$B$63,34))*(1-E234))</f>
        <v/>
      </c>
      <c r="AU235" s="15">
        <f>MAX(0,AT234*(1-INDEX($B$11:$B$63,35))*(1-E234))</f>
        <v/>
      </c>
      <c r="AV235" s="15">
        <f>MAX(0,AU234*(1-INDEX($B$11:$B$63,36))*(1-E234))</f>
        <v/>
      </c>
      <c r="AW235" s="15">
        <f>MAX(0,AV234*(1-INDEX($B$11:$B$63,37))*(1-E234))</f>
        <v/>
      </c>
      <c r="AX235" s="15">
        <f>MAX(0,AW234*(1-INDEX($B$11:$B$63,38))*(1-E234))</f>
        <v/>
      </c>
      <c r="AY235" s="15">
        <f>MAX(0,AX234*(1-INDEX($B$11:$B$63,39))*(1-E234))</f>
        <v/>
      </c>
      <c r="AZ235" s="15">
        <f>MAX(0,AY234*(1-INDEX($B$11:$B$63,40))*(1-E234))</f>
        <v/>
      </c>
      <c r="BA235" s="15">
        <f>MAX(0,AZ234*(1-INDEX($B$11:$B$63,41))*(1-E234))</f>
        <v/>
      </c>
      <c r="BB235" s="15">
        <f>MAX(0,BA234*(1-INDEX($B$11:$B$63,42))*(1-E234))</f>
        <v/>
      </c>
      <c r="BC235" s="15">
        <f>MAX(0,BB234*(1-INDEX($B$11:$B$63,43))*(1-E234))</f>
        <v/>
      </c>
      <c r="BD235" s="15">
        <f>MAX(0,BC234*(1-INDEX($B$11:$B$63,44))*(1-E234))</f>
        <v/>
      </c>
      <c r="BE235" s="15">
        <f>MAX(0,BD234*(1-INDEX($B$11:$B$63,45))*(1-E234))</f>
        <v/>
      </c>
      <c r="BF235" s="15">
        <f>MAX(0,BE234*(1-INDEX($B$11:$B$63,46))*(1-E234))</f>
        <v/>
      </c>
      <c r="BG235" s="15">
        <f>MAX(0,BF234*(1-INDEX($B$11:$B$63,47))*(1-E234))</f>
        <v/>
      </c>
      <c r="BH235" s="15">
        <f>MAX(0,BG234*(1-INDEX($B$11:$B$63,48))*(1-E234))</f>
        <v/>
      </c>
      <c r="BI235" s="15">
        <f>MAX(0,BH234*(1-INDEX($B$11:$B$63,49))*(1-E234))</f>
        <v/>
      </c>
      <c r="BJ235" s="15">
        <f>MAX(0,BI234*(1-INDEX($B$11:$B$63,50))*(1-E234))</f>
        <v/>
      </c>
      <c r="BK235" s="15">
        <f>MAX(0,BJ234*(1-INDEX($B$11:$B$63,51))*(1-E234))</f>
        <v/>
      </c>
      <c r="BL235" s="15">
        <f>MAX(0,(BL234+BK234)*(1-INDEX($B$11:$B$63,53))*(1-E234))</f>
        <v/>
      </c>
    </row>
    <row r="236">
      <c r="A236" s="55" t="n">
        <v>170</v>
      </c>
      <c r="B236" s="15">
        <f>IF(A236&gt;Inputs!$C$62,"",SUM(M236:BK236))</f>
        <v/>
      </c>
      <c r="C236" s="15">
        <f>IF(A236&gt;Inputs!$C$62,"",INDEX(Trajectory!$C$23:$C$2000,A236))</f>
        <v/>
      </c>
      <c r="D236" s="15">
        <f>IF(A236&gt;Inputs!$C$62,"",SUM(L236:BK236))</f>
        <v/>
      </c>
      <c r="E236" s="12">
        <f>IF(A236&gt;Inputs!$C$62,"",INDEX(Trajectory!$AG$23:$AG$2000,A236))</f>
        <v/>
      </c>
      <c r="F236" s="12">
        <f>IF(D236=0,0,SUMPRODUCT(L236:BK236,$B$11:$B$63)/D236)</f>
        <v/>
      </c>
      <c r="G236" s="12">
        <f>IF(D236=0,0,MIN(0.95,1-(1-F236)*(1-E236)))</f>
        <v/>
      </c>
      <c r="H236" s="15">
        <f>IF(D236=0,0,D236*G236)</f>
        <v/>
      </c>
      <c r="I236" s="15">
        <f>IF(D236=0,0,D236-H236)</f>
        <v/>
      </c>
      <c r="L236" s="15">
        <f>C236</f>
        <v/>
      </c>
      <c r="M236" s="15">
        <f>MAX(0,L235*(1-INDEX($B$11:$B$63,1))*(1-E235))</f>
        <v/>
      </c>
      <c r="N236" s="15">
        <f>MAX(0,M235*(1-INDEX($B$11:$B$63,2))*(1-E235))</f>
        <v/>
      </c>
      <c r="O236" s="15">
        <f>MAX(0,N235*(1-INDEX($B$11:$B$63,3))*(1-E235))</f>
        <v/>
      </c>
      <c r="P236" s="15">
        <f>MAX(0,O235*(1-INDEX($B$11:$B$63,4))*(1-E235))</f>
        <v/>
      </c>
      <c r="Q236" s="15">
        <f>MAX(0,P235*(1-INDEX($B$11:$B$63,5))*(1-E235))</f>
        <v/>
      </c>
      <c r="R236" s="15">
        <f>MAX(0,Q235*(1-INDEX($B$11:$B$63,6))*(1-E235))</f>
        <v/>
      </c>
      <c r="S236" s="15">
        <f>MAX(0,R235*(1-INDEX($B$11:$B$63,7))*(1-E235))</f>
        <v/>
      </c>
      <c r="T236" s="15">
        <f>MAX(0,S235*(1-INDEX($B$11:$B$63,8))*(1-E235))</f>
        <v/>
      </c>
      <c r="U236" s="15">
        <f>MAX(0,T235*(1-INDEX($B$11:$B$63,9))*(1-E235))</f>
        <v/>
      </c>
      <c r="V236" s="15">
        <f>MAX(0,U235*(1-INDEX($B$11:$B$63,10))*(1-E235))</f>
        <v/>
      </c>
      <c r="W236" s="15">
        <f>MAX(0,V235*(1-INDEX($B$11:$B$63,11))*(1-E235))</f>
        <v/>
      </c>
      <c r="X236" s="15">
        <f>MAX(0,W235*(1-INDEX($B$11:$B$63,12))*(1-E235))</f>
        <v/>
      </c>
      <c r="Y236" s="15">
        <f>MAX(0,X235*(1-INDEX($B$11:$B$63,13))*(1-E235))</f>
        <v/>
      </c>
      <c r="Z236" s="15">
        <f>MAX(0,Y235*(1-INDEX($B$11:$B$63,14))*(1-E235))</f>
        <v/>
      </c>
      <c r="AA236" s="15">
        <f>MAX(0,Z235*(1-INDEX($B$11:$B$63,15))*(1-E235))</f>
        <v/>
      </c>
      <c r="AB236" s="15">
        <f>MAX(0,AA235*(1-INDEX($B$11:$B$63,16))*(1-E235))</f>
        <v/>
      </c>
      <c r="AC236" s="15">
        <f>MAX(0,AB235*(1-INDEX($B$11:$B$63,17))*(1-E235))</f>
        <v/>
      </c>
      <c r="AD236" s="15">
        <f>MAX(0,AC235*(1-INDEX($B$11:$B$63,18))*(1-E235))</f>
        <v/>
      </c>
      <c r="AE236" s="15">
        <f>MAX(0,AD235*(1-INDEX($B$11:$B$63,19))*(1-E235))</f>
        <v/>
      </c>
      <c r="AF236" s="15">
        <f>MAX(0,AE235*(1-INDEX($B$11:$B$63,20))*(1-E235))</f>
        <v/>
      </c>
      <c r="AG236" s="15">
        <f>MAX(0,AF235*(1-INDEX($B$11:$B$63,21))*(1-E235))</f>
        <v/>
      </c>
      <c r="AH236" s="15">
        <f>MAX(0,AG235*(1-INDEX($B$11:$B$63,22))*(1-E235))</f>
        <v/>
      </c>
      <c r="AI236" s="15">
        <f>MAX(0,AH235*(1-INDEX($B$11:$B$63,23))*(1-E235))</f>
        <v/>
      </c>
      <c r="AJ236" s="15">
        <f>MAX(0,AI235*(1-INDEX($B$11:$B$63,24))*(1-E235))</f>
        <v/>
      </c>
      <c r="AK236" s="15">
        <f>MAX(0,AJ235*(1-INDEX($B$11:$B$63,25))*(1-E235))</f>
        <v/>
      </c>
      <c r="AL236" s="15">
        <f>MAX(0,AK235*(1-INDEX($B$11:$B$63,26))*(1-E235))</f>
        <v/>
      </c>
      <c r="AM236" s="15">
        <f>MAX(0,AL235*(1-INDEX($B$11:$B$63,27))*(1-E235))</f>
        <v/>
      </c>
      <c r="AN236" s="15">
        <f>MAX(0,AM235*(1-INDEX($B$11:$B$63,28))*(1-E235))</f>
        <v/>
      </c>
      <c r="AO236" s="15">
        <f>MAX(0,AN235*(1-INDEX($B$11:$B$63,29))*(1-E235))</f>
        <v/>
      </c>
      <c r="AP236" s="15">
        <f>MAX(0,AO235*(1-INDEX($B$11:$B$63,30))*(1-E235))</f>
        <v/>
      </c>
      <c r="AQ236" s="15">
        <f>MAX(0,AP235*(1-INDEX($B$11:$B$63,31))*(1-E235))</f>
        <v/>
      </c>
      <c r="AR236" s="15">
        <f>MAX(0,AQ235*(1-INDEX($B$11:$B$63,32))*(1-E235))</f>
        <v/>
      </c>
      <c r="AS236" s="15">
        <f>MAX(0,AR235*(1-INDEX($B$11:$B$63,33))*(1-E235))</f>
        <v/>
      </c>
      <c r="AT236" s="15">
        <f>MAX(0,AS235*(1-INDEX($B$11:$B$63,34))*(1-E235))</f>
        <v/>
      </c>
      <c r="AU236" s="15">
        <f>MAX(0,AT235*(1-INDEX($B$11:$B$63,35))*(1-E235))</f>
        <v/>
      </c>
      <c r="AV236" s="15">
        <f>MAX(0,AU235*(1-INDEX($B$11:$B$63,36))*(1-E235))</f>
        <v/>
      </c>
      <c r="AW236" s="15">
        <f>MAX(0,AV235*(1-INDEX($B$11:$B$63,37))*(1-E235))</f>
        <v/>
      </c>
      <c r="AX236" s="15">
        <f>MAX(0,AW235*(1-INDEX($B$11:$B$63,38))*(1-E235))</f>
        <v/>
      </c>
      <c r="AY236" s="15">
        <f>MAX(0,AX235*(1-INDEX($B$11:$B$63,39))*(1-E235))</f>
        <v/>
      </c>
      <c r="AZ236" s="15">
        <f>MAX(0,AY235*(1-INDEX($B$11:$B$63,40))*(1-E235))</f>
        <v/>
      </c>
      <c r="BA236" s="15">
        <f>MAX(0,AZ235*(1-INDEX($B$11:$B$63,41))*(1-E235))</f>
        <v/>
      </c>
      <c r="BB236" s="15">
        <f>MAX(0,BA235*(1-INDEX($B$11:$B$63,42))*(1-E235))</f>
        <v/>
      </c>
      <c r="BC236" s="15">
        <f>MAX(0,BB235*(1-INDEX($B$11:$B$63,43))*(1-E235))</f>
        <v/>
      </c>
      <c r="BD236" s="15">
        <f>MAX(0,BC235*(1-INDEX($B$11:$B$63,44))*(1-E235))</f>
        <v/>
      </c>
      <c r="BE236" s="15">
        <f>MAX(0,BD235*(1-INDEX($B$11:$B$63,45))*(1-E235))</f>
        <v/>
      </c>
      <c r="BF236" s="15">
        <f>MAX(0,BE235*(1-INDEX($B$11:$B$63,46))*(1-E235))</f>
        <v/>
      </c>
      <c r="BG236" s="15">
        <f>MAX(0,BF235*(1-INDEX($B$11:$B$63,47))*(1-E235))</f>
        <v/>
      </c>
      <c r="BH236" s="15">
        <f>MAX(0,BG235*(1-INDEX($B$11:$B$63,48))*(1-E235))</f>
        <v/>
      </c>
      <c r="BI236" s="15">
        <f>MAX(0,BH235*(1-INDEX($B$11:$B$63,49))*(1-E235))</f>
        <v/>
      </c>
      <c r="BJ236" s="15">
        <f>MAX(0,BI235*(1-INDEX($B$11:$B$63,50))*(1-E235))</f>
        <v/>
      </c>
      <c r="BK236" s="15">
        <f>MAX(0,BJ235*(1-INDEX($B$11:$B$63,51))*(1-E235))</f>
        <v/>
      </c>
      <c r="BL236" s="15">
        <f>MAX(0,(BL235+BK235)*(1-INDEX($B$11:$B$63,53))*(1-E235))</f>
        <v/>
      </c>
    </row>
    <row r="237">
      <c r="A237" s="55" t="n">
        <v>171</v>
      </c>
      <c r="B237" s="15">
        <f>IF(A237&gt;Inputs!$C$62,"",SUM(M237:BK237))</f>
        <v/>
      </c>
      <c r="C237" s="15">
        <f>IF(A237&gt;Inputs!$C$62,"",INDEX(Trajectory!$C$23:$C$2000,A237))</f>
        <v/>
      </c>
      <c r="D237" s="15">
        <f>IF(A237&gt;Inputs!$C$62,"",SUM(L237:BK237))</f>
        <v/>
      </c>
      <c r="E237" s="12">
        <f>IF(A237&gt;Inputs!$C$62,"",INDEX(Trajectory!$AG$23:$AG$2000,A237))</f>
        <v/>
      </c>
      <c r="F237" s="12">
        <f>IF(D237=0,0,SUMPRODUCT(L237:BK237,$B$11:$B$63)/D237)</f>
        <v/>
      </c>
      <c r="G237" s="12">
        <f>IF(D237=0,0,MIN(0.95,1-(1-F237)*(1-E237)))</f>
        <v/>
      </c>
      <c r="H237" s="15">
        <f>IF(D237=0,0,D237*G237)</f>
        <v/>
      </c>
      <c r="I237" s="15">
        <f>IF(D237=0,0,D237-H237)</f>
        <v/>
      </c>
      <c r="L237" s="15">
        <f>C237</f>
        <v/>
      </c>
      <c r="M237" s="15">
        <f>MAX(0,L236*(1-INDEX($B$11:$B$63,1))*(1-E236))</f>
        <v/>
      </c>
      <c r="N237" s="15">
        <f>MAX(0,M236*(1-INDEX($B$11:$B$63,2))*(1-E236))</f>
        <v/>
      </c>
      <c r="O237" s="15">
        <f>MAX(0,N236*(1-INDEX($B$11:$B$63,3))*(1-E236))</f>
        <v/>
      </c>
      <c r="P237" s="15">
        <f>MAX(0,O236*(1-INDEX($B$11:$B$63,4))*(1-E236))</f>
        <v/>
      </c>
      <c r="Q237" s="15">
        <f>MAX(0,P236*(1-INDEX($B$11:$B$63,5))*(1-E236))</f>
        <v/>
      </c>
      <c r="R237" s="15">
        <f>MAX(0,Q236*(1-INDEX($B$11:$B$63,6))*(1-E236))</f>
        <v/>
      </c>
      <c r="S237" s="15">
        <f>MAX(0,R236*(1-INDEX($B$11:$B$63,7))*(1-E236))</f>
        <v/>
      </c>
      <c r="T237" s="15">
        <f>MAX(0,S236*(1-INDEX($B$11:$B$63,8))*(1-E236))</f>
        <v/>
      </c>
      <c r="U237" s="15">
        <f>MAX(0,T236*(1-INDEX($B$11:$B$63,9))*(1-E236))</f>
        <v/>
      </c>
      <c r="V237" s="15">
        <f>MAX(0,U236*(1-INDEX($B$11:$B$63,10))*(1-E236))</f>
        <v/>
      </c>
      <c r="W237" s="15">
        <f>MAX(0,V236*(1-INDEX($B$11:$B$63,11))*(1-E236))</f>
        <v/>
      </c>
      <c r="X237" s="15">
        <f>MAX(0,W236*(1-INDEX($B$11:$B$63,12))*(1-E236))</f>
        <v/>
      </c>
      <c r="Y237" s="15">
        <f>MAX(0,X236*(1-INDEX($B$11:$B$63,13))*(1-E236))</f>
        <v/>
      </c>
      <c r="Z237" s="15">
        <f>MAX(0,Y236*(1-INDEX($B$11:$B$63,14))*(1-E236))</f>
        <v/>
      </c>
      <c r="AA237" s="15">
        <f>MAX(0,Z236*(1-INDEX($B$11:$B$63,15))*(1-E236))</f>
        <v/>
      </c>
      <c r="AB237" s="15">
        <f>MAX(0,AA236*(1-INDEX($B$11:$B$63,16))*(1-E236))</f>
        <v/>
      </c>
      <c r="AC237" s="15">
        <f>MAX(0,AB236*(1-INDEX($B$11:$B$63,17))*(1-E236))</f>
        <v/>
      </c>
      <c r="AD237" s="15">
        <f>MAX(0,AC236*(1-INDEX($B$11:$B$63,18))*(1-E236))</f>
        <v/>
      </c>
      <c r="AE237" s="15">
        <f>MAX(0,AD236*(1-INDEX($B$11:$B$63,19))*(1-E236))</f>
        <v/>
      </c>
      <c r="AF237" s="15">
        <f>MAX(0,AE236*(1-INDEX($B$11:$B$63,20))*(1-E236))</f>
        <v/>
      </c>
      <c r="AG237" s="15">
        <f>MAX(0,AF236*(1-INDEX($B$11:$B$63,21))*(1-E236))</f>
        <v/>
      </c>
      <c r="AH237" s="15">
        <f>MAX(0,AG236*(1-INDEX($B$11:$B$63,22))*(1-E236))</f>
        <v/>
      </c>
      <c r="AI237" s="15">
        <f>MAX(0,AH236*(1-INDEX($B$11:$B$63,23))*(1-E236))</f>
        <v/>
      </c>
      <c r="AJ237" s="15">
        <f>MAX(0,AI236*(1-INDEX($B$11:$B$63,24))*(1-E236))</f>
        <v/>
      </c>
      <c r="AK237" s="15">
        <f>MAX(0,AJ236*(1-INDEX($B$11:$B$63,25))*(1-E236))</f>
        <v/>
      </c>
      <c r="AL237" s="15">
        <f>MAX(0,AK236*(1-INDEX($B$11:$B$63,26))*(1-E236))</f>
        <v/>
      </c>
      <c r="AM237" s="15">
        <f>MAX(0,AL236*(1-INDEX($B$11:$B$63,27))*(1-E236))</f>
        <v/>
      </c>
      <c r="AN237" s="15">
        <f>MAX(0,AM236*(1-INDEX($B$11:$B$63,28))*(1-E236))</f>
        <v/>
      </c>
      <c r="AO237" s="15">
        <f>MAX(0,AN236*(1-INDEX($B$11:$B$63,29))*(1-E236))</f>
        <v/>
      </c>
      <c r="AP237" s="15">
        <f>MAX(0,AO236*(1-INDEX($B$11:$B$63,30))*(1-E236))</f>
        <v/>
      </c>
      <c r="AQ237" s="15">
        <f>MAX(0,AP236*(1-INDEX($B$11:$B$63,31))*(1-E236))</f>
        <v/>
      </c>
      <c r="AR237" s="15">
        <f>MAX(0,AQ236*(1-INDEX($B$11:$B$63,32))*(1-E236))</f>
        <v/>
      </c>
      <c r="AS237" s="15">
        <f>MAX(0,AR236*(1-INDEX($B$11:$B$63,33))*(1-E236))</f>
        <v/>
      </c>
      <c r="AT237" s="15">
        <f>MAX(0,AS236*(1-INDEX($B$11:$B$63,34))*(1-E236))</f>
        <v/>
      </c>
      <c r="AU237" s="15">
        <f>MAX(0,AT236*(1-INDEX($B$11:$B$63,35))*(1-E236))</f>
        <v/>
      </c>
      <c r="AV237" s="15">
        <f>MAX(0,AU236*(1-INDEX($B$11:$B$63,36))*(1-E236))</f>
        <v/>
      </c>
      <c r="AW237" s="15">
        <f>MAX(0,AV236*(1-INDEX($B$11:$B$63,37))*(1-E236))</f>
        <v/>
      </c>
      <c r="AX237" s="15">
        <f>MAX(0,AW236*(1-INDEX($B$11:$B$63,38))*(1-E236))</f>
        <v/>
      </c>
      <c r="AY237" s="15">
        <f>MAX(0,AX236*(1-INDEX($B$11:$B$63,39))*(1-E236))</f>
        <v/>
      </c>
      <c r="AZ237" s="15">
        <f>MAX(0,AY236*(1-INDEX($B$11:$B$63,40))*(1-E236))</f>
        <v/>
      </c>
      <c r="BA237" s="15">
        <f>MAX(0,AZ236*(1-INDEX($B$11:$B$63,41))*(1-E236))</f>
        <v/>
      </c>
      <c r="BB237" s="15">
        <f>MAX(0,BA236*(1-INDEX($B$11:$B$63,42))*(1-E236))</f>
        <v/>
      </c>
      <c r="BC237" s="15">
        <f>MAX(0,BB236*(1-INDEX($B$11:$B$63,43))*(1-E236))</f>
        <v/>
      </c>
      <c r="BD237" s="15">
        <f>MAX(0,BC236*(1-INDEX($B$11:$B$63,44))*(1-E236))</f>
        <v/>
      </c>
      <c r="BE237" s="15">
        <f>MAX(0,BD236*(1-INDEX($B$11:$B$63,45))*(1-E236))</f>
        <v/>
      </c>
      <c r="BF237" s="15">
        <f>MAX(0,BE236*(1-INDEX($B$11:$B$63,46))*(1-E236))</f>
        <v/>
      </c>
      <c r="BG237" s="15">
        <f>MAX(0,BF236*(1-INDEX($B$11:$B$63,47))*(1-E236))</f>
        <v/>
      </c>
      <c r="BH237" s="15">
        <f>MAX(0,BG236*(1-INDEX($B$11:$B$63,48))*(1-E236))</f>
        <v/>
      </c>
      <c r="BI237" s="15">
        <f>MAX(0,BH236*(1-INDEX($B$11:$B$63,49))*(1-E236))</f>
        <v/>
      </c>
      <c r="BJ237" s="15">
        <f>MAX(0,BI236*(1-INDEX($B$11:$B$63,50))*(1-E236))</f>
        <v/>
      </c>
      <c r="BK237" s="15">
        <f>MAX(0,BJ236*(1-INDEX($B$11:$B$63,51))*(1-E236))</f>
        <v/>
      </c>
      <c r="BL237" s="15">
        <f>MAX(0,(BL236+BK236)*(1-INDEX($B$11:$B$63,53))*(1-E236))</f>
        <v/>
      </c>
    </row>
    <row r="238">
      <c r="A238" s="55" t="n">
        <v>172</v>
      </c>
      <c r="B238" s="15">
        <f>IF(A238&gt;Inputs!$C$62,"",SUM(M238:BK238))</f>
        <v/>
      </c>
      <c r="C238" s="15">
        <f>IF(A238&gt;Inputs!$C$62,"",INDEX(Trajectory!$C$23:$C$2000,A238))</f>
        <v/>
      </c>
      <c r="D238" s="15">
        <f>IF(A238&gt;Inputs!$C$62,"",SUM(L238:BK238))</f>
        <v/>
      </c>
      <c r="E238" s="12">
        <f>IF(A238&gt;Inputs!$C$62,"",INDEX(Trajectory!$AG$23:$AG$2000,A238))</f>
        <v/>
      </c>
      <c r="F238" s="12">
        <f>IF(D238=0,0,SUMPRODUCT(L238:BK238,$B$11:$B$63)/D238)</f>
        <v/>
      </c>
      <c r="G238" s="12">
        <f>IF(D238=0,0,MIN(0.95,1-(1-F238)*(1-E238)))</f>
        <v/>
      </c>
      <c r="H238" s="15">
        <f>IF(D238=0,0,D238*G238)</f>
        <v/>
      </c>
      <c r="I238" s="15">
        <f>IF(D238=0,0,D238-H238)</f>
        <v/>
      </c>
      <c r="L238" s="15">
        <f>C238</f>
        <v/>
      </c>
      <c r="M238" s="15">
        <f>MAX(0,L237*(1-INDEX($B$11:$B$63,1))*(1-E237))</f>
        <v/>
      </c>
      <c r="N238" s="15">
        <f>MAX(0,M237*(1-INDEX($B$11:$B$63,2))*(1-E237))</f>
        <v/>
      </c>
      <c r="O238" s="15">
        <f>MAX(0,N237*(1-INDEX($B$11:$B$63,3))*(1-E237))</f>
        <v/>
      </c>
      <c r="P238" s="15">
        <f>MAX(0,O237*(1-INDEX($B$11:$B$63,4))*(1-E237))</f>
        <v/>
      </c>
      <c r="Q238" s="15">
        <f>MAX(0,P237*(1-INDEX($B$11:$B$63,5))*(1-E237))</f>
        <v/>
      </c>
      <c r="R238" s="15">
        <f>MAX(0,Q237*(1-INDEX($B$11:$B$63,6))*(1-E237))</f>
        <v/>
      </c>
      <c r="S238" s="15">
        <f>MAX(0,R237*(1-INDEX($B$11:$B$63,7))*(1-E237))</f>
        <v/>
      </c>
      <c r="T238" s="15">
        <f>MAX(0,S237*(1-INDEX($B$11:$B$63,8))*(1-E237))</f>
        <v/>
      </c>
      <c r="U238" s="15">
        <f>MAX(0,T237*(1-INDEX($B$11:$B$63,9))*(1-E237))</f>
        <v/>
      </c>
      <c r="V238" s="15">
        <f>MAX(0,U237*(1-INDEX($B$11:$B$63,10))*(1-E237))</f>
        <v/>
      </c>
      <c r="W238" s="15">
        <f>MAX(0,V237*(1-INDEX($B$11:$B$63,11))*(1-E237))</f>
        <v/>
      </c>
      <c r="X238" s="15">
        <f>MAX(0,W237*(1-INDEX($B$11:$B$63,12))*(1-E237))</f>
        <v/>
      </c>
      <c r="Y238" s="15">
        <f>MAX(0,X237*(1-INDEX($B$11:$B$63,13))*(1-E237))</f>
        <v/>
      </c>
      <c r="Z238" s="15">
        <f>MAX(0,Y237*(1-INDEX($B$11:$B$63,14))*(1-E237))</f>
        <v/>
      </c>
      <c r="AA238" s="15">
        <f>MAX(0,Z237*(1-INDEX($B$11:$B$63,15))*(1-E237))</f>
        <v/>
      </c>
      <c r="AB238" s="15">
        <f>MAX(0,AA237*(1-INDEX($B$11:$B$63,16))*(1-E237))</f>
        <v/>
      </c>
      <c r="AC238" s="15">
        <f>MAX(0,AB237*(1-INDEX($B$11:$B$63,17))*(1-E237))</f>
        <v/>
      </c>
      <c r="AD238" s="15">
        <f>MAX(0,AC237*(1-INDEX($B$11:$B$63,18))*(1-E237))</f>
        <v/>
      </c>
      <c r="AE238" s="15">
        <f>MAX(0,AD237*(1-INDEX($B$11:$B$63,19))*(1-E237))</f>
        <v/>
      </c>
      <c r="AF238" s="15">
        <f>MAX(0,AE237*(1-INDEX($B$11:$B$63,20))*(1-E237))</f>
        <v/>
      </c>
      <c r="AG238" s="15">
        <f>MAX(0,AF237*(1-INDEX($B$11:$B$63,21))*(1-E237))</f>
        <v/>
      </c>
      <c r="AH238" s="15">
        <f>MAX(0,AG237*(1-INDEX($B$11:$B$63,22))*(1-E237))</f>
        <v/>
      </c>
      <c r="AI238" s="15">
        <f>MAX(0,AH237*(1-INDEX($B$11:$B$63,23))*(1-E237))</f>
        <v/>
      </c>
      <c r="AJ238" s="15">
        <f>MAX(0,AI237*(1-INDEX($B$11:$B$63,24))*(1-E237))</f>
        <v/>
      </c>
      <c r="AK238" s="15">
        <f>MAX(0,AJ237*(1-INDEX($B$11:$B$63,25))*(1-E237))</f>
        <v/>
      </c>
      <c r="AL238" s="15">
        <f>MAX(0,AK237*(1-INDEX($B$11:$B$63,26))*(1-E237))</f>
        <v/>
      </c>
      <c r="AM238" s="15">
        <f>MAX(0,AL237*(1-INDEX($B$11:$B$63,27))*(1-E237))</f>
        <v/>
      </c>
      <c r="AN238" s="15">
        <f>MAX(0,AM237*(1-INDEX($B$11:$B$63,28))*(1-E237))</f>
        <v/>
      </c>
      <c r="AO238" s="15">
        <f>MAX(0,AN237*(1-INDEX($B$11:$B$63,29))*(1-E237))</f>
        <v/>
      </c>
      <c r="AP238" s="15">
        <f>MAX(0,AO237*(1-INDEX($B$11:$B$63,30))*(1-E237))</f>
        <v/>
      </c>
      <c r="AQ238" s="15">
        <f>MAX(0,AP237*(1-INDEX($B$11:$B$63,31))*(1-E237))</f>
        <v/>
      </c>
      <c r="AR238" s="15">
        <f>MAX(0,AQ237*(1-INDEX($B$11:$B$63,32))*(1-E237))</f>
        <v/>
      </c>
      <c r="AS238" s="15">
        <f>MAX(0,AR237*(1-INDEX($B$11:$B$63,33))*(1-E237))</f>
        <v/>
      </c>
      <c r="AT238" s="15">
        <f>MAX(0,AS237*(1-INDEX($B$11:$B$63,34))*(1-E237))</f>
        <v/>
      </c>
      <c r="AU238" s="15">
        <f>MAX(0,AT237*(1-INDEX($B$11:$B$63,35))*(1-E237))</f>
        <v/>
      </c>
      <c r="AV238" s="15">
        <f>MAX(0,AU237*(1-INDEX($B$11:$B$63,36))*(1-E237))</f>
        <v/>
      </c>
      <c r="AW238" s="15">
        <f>MAX(0,AV237*(1-INDEX($B$11:$B$63,37))*(1-E237))</f>
        <v/>
      </c>
      <c r="AX238" s="15">
        <f>MAX(0,AW237*(1-INDEX($B$11:$B$63,38))*(1-E237))</f>
        <v/>
      </c>
      <c r="AY238" s="15">
        <f>MAX(0,AX237*(1-INDEX($B$11:$B$63,39))*(1-E237))</f>
        <v/>
      </c>
      <c r="AZ238" s="15">
        <f>MAX(0,AY237*(1-INDEX($B$11:$B$63,40))*(1-E237))</f>
        <v/>
      </c>
      <c r="BA238" s="15">
        <f>MAX(0,AZ237*(1-INDEX($B$11:$B$63,41))*(1-E237))</f>
        <v/>
      </c>
      <c r="BB238" s="15">
        <f>MAX(0,BA237*(1-INDEX($B$11:$B$63,42))*(1-E237))</f>
        <v/>
      </c>
      <c r="BC238" s="15">
        <f>MAX(0,BB237*(1-INDEX($B$11:$B$63,43))*(1-E237))</f>
        <v/>
      </c>
      <c r="BD238" s="15">
        <f>MAX(0,BC237*(1-INDEX($B$11:$B$63,44))*(1-E237))</f>
        <v/>
      </c>
      <c r="BE238" s="15">
        <f>MAX(0,BD237*(1-INDEX($B$11:$B$63,45))*(1-E237))</f>
        <v/>
      </c>
      <c r="BF238" s="15">
        <f>MAX(0,BE237*(1-INDEX($B$11:$B$63,46))*(1-E237))</f>
        <v/>
      </c>
      <c r="BG238" s="15">
        <f>MAX(0,BF237*(1-INDEX($B$11:$B$63,47))*(1-E237))</f>
        <v/>
      </c>
      <c r="BH238" s="15">
        <f>MAX(0,BG237*(1-INDEX($B$11:$B$63,48))*(1-E237))</f>
        <v/>
      </c>
      <c r="BI238" s="15">
        <f>MAX(0,BH237*(1-INDEX($B$11:$B$63,49))*(1-E237))</f>
        <v/>
      </c>
      <c r="BJ238" s="15">
        <f>MAX(0,BI237*(1-INDEX($B$11:$B$63,50))*(1-E237))</f>
        <v/>
      </c>
      <c r="BK238" s="15">
        <f>MAX(0,BJ237*(1-INDEX($B$11:$B$63,51))*(1-E237))</f>
        <v/>
      </c>
      <c r="BL238" s="15">
        <f>MAX(0,(BL237+BK237)*(1-INDEX($B$11:$B$63,53))*(1-E237))</f>
        <v/>
      </c>
    </row>
    <row r="239">
      <c r="A239" s="55" t="n">
        <v>173</v>
      </c>
      <c r="B239" s="15">
        <f>IF(A239&gt;Inputs!$C$62,"",SUM(M239:BK239))</f>
        <v/>
      </c>
      <c r="C239" s="15">
        <f>IF(A239&gt;Inputs!$C$62,"",INDEX(Trajectory!$C$23:$C$2000,A239))</f>
        <v/>
      </c>
      <c r="D239" s="15">
        <f>IF(A239&gt;Inputs!$C$62,"",SUM(L239:BK239))</f>
        <v/>
      </c>
      <c r="E239" s="12">
        <f>IF(A239&gt;Inputs!$C$62,"",INDEX(Trajectory!$AG$23:$AG$2000,A239))</f>
        <v/>
      </c>
      <c r="F239" s="12">
        <f>IF(D239=0,0,SUMPRODUCT(L239:BK239,$B$11:$B$63)/D239)</f>
        <v/>
      </c>
      <c r="G239" s="12">
        <f>IF(D239=0,0,MIN(0.95,1-(1-F239)*(1-E239)))</f>
        <v/>
      </c>
      <c r="H239" s="15">
        <f>IF(D239=0,0,D239*G239)</f>
        <v/>
      </c>
      <c r="I239" s="15">
        <f>IF(D239=0,0,D239-H239)</f>
        <v/>
      </c>
      <c r="L239" s="15">
        <f>C239</f>
        <v/>
      </c>
      <c r="M239" s="15">
        <f>MAX(0,L238*(1-INDEX($B$11:$B$63,1))*(1-E238))</f>
        <v/>
      </c>
      <c r="N239" s="15">
        <f>MAX(0,M238*(1-INDEX($B$11:$B$63,2))*(1-E238))</f>
        <v/>
      </c>
      <c r="O239" s="15">
        <f>MAX(0,N238*(1-INDEX($B$11:$B$63,3))*(1-E238))</f>
        <v/>
      </c>
      <c r="P239" s="15">
        <f>MAX(0,O238*(1-INDEX($B$11:$B$63,4))*(1-E238))</f>
        <v/>
      </c>
      <c r="Q239" s="15">
        <f>MAX(0,P238*(1-INDEX($B$11:$B$63,5))*(1-E238))</f>
        <v/>
      </c>
      <c r="R239" s="15">
        <f>MAX(0,Q238*(1-INDEX($B$11:$B$63,6))*(1-E238))</f>
        <v/>
      </c>
      <c r="S239" s="15">
        <f>MAX(0,R238*(1-INDEX($B$11:$B$63,7))*(1-E238))</f>
        <v/>
      </c>
      <c r="T239" s="15">
        <f>MAX(0,S238*(1-INDEX($B$11:$B$63,8))*(1-E238))</f>
        <v/>
      </c>
      <c r="U239" s="15">
        <f>MAX(0,T238*(1-INDEX($B$11:$B$63,9))*(1-E238))</f>
        <v/>
      </c>
      <c r="V239" s="15">
        <f>MAX(0,U238*(1-INDEX($B$11:$B$63,10))*(1-E238))</f>
        <v/>
      </c>
      <c r="W239" s="15">
        <f>MAX(0,V238*(1-INDEX($B$11:$B$63,11))*(1-E238))</f>
        <v/>
      </c>
      <c r="X239" s="15">
        <f>MAX(0,W238*(1-INDEX($B$11:$B$63,12))*(1-E238))</f>
        <v/>
      </c>
      <c r="Y239" s="15">
        <f>MAX(0,X238*(1-INDEX($B$11:$B$63,13))*(1-E238))</f>
        <v/>
      </c>
      <c r="Z239" s="15">
        <f>MAX(0,Y238*(1-INDEX($B$11:$B$63,14))*(1-E238))</f>
        <v/>
      </c>
      <c r="AA239" s="15">
        <f>MAX(0,Z238*(1-INDEX($B$11:$B$63,15))*(1-E238))</f>
        <v/>
      </c>
      <c r="AB239" s="15">
        <f>MAX(0,AA238*(1-INDEX($B$11:$B$63,16))*(1-E238))</f>
        <v/>
      </c>
      <c r="AC239" s="15">
        <f>MAX(0,AB238*(1-INDEX($B$11:$B$63,17))*(1-E238))</f>
        <v/>
      </c>
      <c r="AD239" s="15">
        <f>MAX(0,AC238*(1-INDEX($B$11:$B$63,18))*(1-E238))</f>
        <v/>
      </c>
      <c r="AE239" s="15">
        <f>MAX(0,AD238*(1-INDEX($B$11:$B$63,19))*(1-E238))</f>
        <v/>
      </c>
      <c r="AF239" s="15">
        <f>MAX(0,AE238*(1-INDEX($B$11:$B$63,20))*(1-E238))</f>
        <v/>
      </c>
      <c r="AG239" s="15">
        <f>MAX(0,AF238*(1-INDEX($B$11:$B$63,21))*(1-E238))</f>
        <v/>
      </c>
      <c r="AH239" s="15">
        <f>MAX(0,AG238*(1-INDEX($B$11:$B$63,22))*(1-E238))</f>
        <v/>
      </c>
      <c r="AI239" s="15">
        <f>MAX(0,AH238*(1-INDEX($B$11:$B$63,23))*(1-E238))</f>
        <v/>
      </c>
      <c r="AJ239" s="15">
        <f>MAX(0,AI238*(1-INDEX($B$11:$B$63,24))*(1-E238))</f>
        <v/>
      </c>
      <c r="AK239" s="15">
        <f>MAX(0,AJ238*(1-INDEX($B$11:$B$63,25))*(1-E238))</f>
        <v/>
      </c>
      <c r="AL239" s="15">
        <f>MAX(0,AK238*(1-INDEX($B$11:$B$63,26))*(1-E238))</f>
        <v/>
      </c>
      <c r="AM239" s="15">
        <f>MAX(0,AL238*(1-INDEX($B$11:$B$63,27))*(1-E238))</f>
        <v/>
      </c>
      <c r="AN239" s="15">
        <f>MAX(0,AM238*(1-INDEX($B$11:$B$63,28))*(1-E238))</f>
        <v/>
      </c>
      <c r="AO239" s="15">
        <f>MAX(0,AN238*(1-INDEX($B$11:$B$63,29))*(1-E238))</f>
        <v/>
      </c>
      <c r="AP239" s="15">
        <f>MAX(0,AO238*(1-INDEX($B$11:$B$63,30))*(1-E238))</f>
        <v/>
      </c>
      <c r="AQ239" s="15">
        <f>MAX(0,AP238*(1-INDEX($B$11:$B$63,31))*(1-E238))</f>
        <v/>
      </c>
      <c r="AR239" s="15">
        <f>MAX(0,AQ238*(1-INDEX($B$11:$B$63,32))*(1-E238))</f>
        <v/>
      </c>
      <c r="AS239" s="15">
        <f>MAX(0,AR238*(1-INDEX($B$11:$B$63,33))*(1-E238))</f>
        <v/>
      </c>
      <c r="AT239" s="15">
        <f>MAX(0,AS238*(1-INDEX($B$11:$B$63,34))*(1-E238))</f>
        <v/>
      </c>
      <c r="AU239" s="15">
        <f>MAX(0,AT238*(1-INDEX($B$11:$B$63,35))*(1-E238))</f>
        <v/>
      </c>
      <c r="AV239" s="15">
        <f>MAX(0,AU238*(1-INDEX($B$11:$B$63,36))*(1-E238))</f>
        <v/>
      </c>
      <c r="AW239" s="15">
        <f>MAX(0,AV238*(1-INDEX($B$11:$B$63,37))*(1-E238))</f>
        <v/>
      </c>
      <c r="AX239" s="15">
        <f>MAX(0,AW238*(1-INDEX($B$11:$B$63,38))*(1-E238))</f>
        <v/>
      </c>
      <c r="AY239" s="15">
        <f>MAX(0,AX238*(1-INDEX($B$11:$B$63,39))*(1-E238))</f>
        <v/>
      </c>
      <c r="AZ239" s="15">
        <f>MAX(0,AY238*(1-INDEX($B$11:$B$63,40))*(1-E238))</f>
        <v/>
      </c>
      <c r="BA239" s="15">
        <f>MAX(0,AZ238*(1-INDEX($B$11:$B$63,41))*(1-E238))</f>
        <v/>
      </c>
      <c r="BB239" s="15">
        <f>MAX(0,BA238*(1-INDEX($B$11:$B$63,42))*(1-E238))</f>
        <v/>
      </c>
      <c r="BC239" s="15">
        <f>MAX(0,BB238*(1-INDEX($B$11:$B$63,43))*(1-E238))</f>
        <v/>
      </c>
      <c r="BD239" s="15">
        <f>MAX(0,BC238*(1-INDEX($B$11:$B$63,44))*(1-E238))</f>
        <v/>
      </c>
      <c r="BE239" s="15">
        <f>MAX(0,BD238*(1-INDEX($B$11:$B$63,45))*(1-E238))</f>
        <v/>
      </c>
      <c r="BF239" s="15">
        <f>MAX(0,BE238*(1-INDEX($B$11:$B$63,46))*(1-E238))</f>
        <v/>
      </c>
      <c r="BG239" s="15">
        <f>MAX(0,BF238*(1-INDEX($B$11:$B$63,47))*(1-E238))</f>
        <v/>
      </c>
      <c r="BH239" s="15">
        <f>MAX(0,BG238*(1-INDEX($B$11:$B$63,48))*(1-E238))</f>
        <v/>
      </c>
      <c r="BI239" s="15">
        <f>MAX(0,BH238*(1-INDEX($B$11:$B$63,49))*(1-E238))</f>
        <v/>
      </c>
      <c r="BJ239" s="15">
        <f>MAX(0,BI238*(1-INDEX($B$11:$B$63,50))*(1-E238))</f>
        <v/>
      </c>
      <c r="BK239" s="15">
        <f>MAX(0,BJ238*(1-INDEX($B$11:$B$63,51))*(1-E238))</f>
        <v/>
      </c>
      <c r="BL239" s="15">
        <f>MAX(0,(BL238+BK238)*(1-INDEX($B$11:$B$63,53))*(1-E238))</f>
        <v/>
      </c>
    </row>
    <row r="240">
      <c r="A240" s="55" t="n">
        <v>174</v>
      </c>
      <c r="B240" s="15">
        <f>IF(A240&gt;Inputs!$C$62,"",SUM(M240:BK240))</f>
        <v/>
      </c>
      <c r="C240" s="15">
        <f>IF(A240&gt;Inputs!$C$62,"",INDEX(Trajectory!$C$23:$C$2000,A240))</f>
        <v/>
      </c>
      <c r="D240" s="15">
        <f>IF(A240&gt;Inputs!$C$62,"",SUM(L240:BK240))</f>
        <v/>
      </c>
      <c r="E240" s="12">
        <f>IF(A240&gt;Inputs!$C$62,"",INDEX(Trajectory!$AG$23:$AG$2000,A240))</f>
        <v/>
      </c>
      <c r="F240" s="12">
        <f>IF(D240=0,0,SUMPRODUCT(L240:BK240,$B$11:$B$63)/D240)</f>
        <v/>
      </c>
      <c r="G240" s="12">
        <f>IF(D240=0,0,MIN(0.95,1-(1-F240)*(1-E240)))</f>
        <v/>
      </c>
      <c r="H240" s="15">
        <f>IF(D240=0,0,D240*G240)</f>
        <v/>
      </c>
      <c r="I240" s="15">
        <f>IF(D240=0,0,D240-H240)</f>
        <v/>
      </c>
      <c r="L240" s="15">
        <f>C240</f>
        <v/>
      </c>
      <c r="M240" s="15">
        <f>MAX(0,L239*(1-INDEX($B$11:$B$63,1))*(1-E239))</f>
        <v/>
      </c>
      <c r="N240" s="15">
        <f>MAX(0,M239*(1-INDEX($B$11:$B$63,2))*(1-E239))</f>
        <v/>
      </c>
      <c r="O240" s="15">
        <f>MAX(0,N239*(1-INDEX($B$11:$B$63,3))*(1-E239))</f>
        <v/>
      </c>
      <c r="P240" s="15">
        <f>MAX(0,O239*(1-INDEX($B$11:$B$63,4))*(1-E239))</f>
        <v/>
      </c>
      <c r="Q240" s="15">
        <f>MAX(0,P239*(1-INDEX($B$11:$B$63,5))*(1-E239))</f>
        <v/>
      </c>
      <c r="R240" s="15">
        <f>MAX(0,Q239*(1-INDEX($B$11:$B$63,6))*(1-E239))</f>
        <v/>
      </c>
      <c r="S240" s="15">
        <f>MAX(0,R239*(1-INDEX($B$11:$B$63,7))*(1-E239))</f>
        <v/>
      </c>
      <c r="T240" s="15">
        <f>MAX(0,S239*(1-INDEX($B$11:$B$63,8))*(1-E239))</f>
        <v/>
      </c>
      <c r="U240" s="15">
        <f>MAX(0,T239*(1-INDEX($B$11:$B$63,9))*(1-E239))</f>
        <v/>
      </c>
      <c r="V240" s="15">
        <f>MAX(0,U239*(1-INDEX($B$11:$B$63,10))*(1-E239))</f>
        <v/>
      </c>
      <c r="W240" s="15">
        <f>MAX(0,V239*(1-INDEX($B$11:$B$63,11))*(1-E239))</f>
        <v/>
      </c>
      <c r="X240" s="15">
        <f>MAX(0,W239*(1-INDEX($B$11:$B$63,12))*(1-E239))</f>
        <v/>
      </c>
      <c r="Y240" s="15">
        <f>MAX(0,X239*(1-INDEX($B$11:$B$63,13))*(1-E239))</f>
        <v/>
      </c>
      <c r="Z240" s="15">
        <f>MAX(0,Y239*(1-INDEX($B$11:$B$63,14))*(1-E239))</f>
        <v/>
      </c>
      <c r="AA240" s="15">
        <f>MAX(0,Z239*(1-INDEX($B$11:$B$63,15))*(1-E239))</f>
        <v/>
      </c>
      <c r="AB240" s="15">
        <f>MAX(0,AA239*(1-INDEX($B$11:$B$63,16))*(1-E239))</f>
        <v/>
      </c>
      <c r="AC240" s="15">
        <f>MAX(0,AB239*(1-INDEX($B$11:$B$63,17))*(1-E239))</f>
        <v/>
      </c>
      <c r="AD240" s="15">
        <f>MAX(0,AC239*(1-INDEX($B$11:$B$63,18))*(1-E239))</f>
        <v/>
      </c>
      <c r="AE240" s="15">
        <f>MAX(0,AD239*(1-INDEX($B$11:$B$63,19))*(1-E239))</f>
        <v/>
      </c>
      <c r="AF240" s="15">
        <f>MAX(0,AE239*(1-INDEX($B$11:$B$63,20))*(1-E239))</f>
        <v/>
      </c>
      <c r="AG240" s="15">
        <f>MAX(0,AF239*(1-INDEX($B$11:$B$63,21))*(1-E239))</f>
        <v/>
      </c>
      <c r="AH240" s="15">
        <f>MAX(0,AG239*(1-INDEX($B$11:$B$63,22))*(1-E239))</f>
        <v/>
      </c>
      <c r="AI240" s="15">
        <f>MAX(0,AH239*(1-INDEX($B$11:$B$63,23))*(1-E239))</f>
        <v/>
      </c>
      <c r="AJ240" s="15">
        <f>MAX(0,AI239*(1-INDEX($B$11:$B$63,24))*(1-E239))</f>
        <v/>
      </c>
      <c r="AK240" s="15">
        <f>MAX(0,AJ239*(1-INDEX($B$11:$B$63,25))*(1-E239))</f>
        <v/>
      </c>
      <c r="AL240" s="15">
        <f>MAX(0,AK239*(1-INDEX($B$11:$B$63,26))*(1-E239))</f>
        <v/>
      </c>
      <c r="AM240" s="15">
        <f>MAX(0,AL239*(1-INDEX($B$11:$B$63,27))*(1-E239))</f>
        <v/>
      </c>
      <c r="AN240" s="15">
        <f>MAX(0,AM239*(1-INDEX($B$11:$B$63,28))*(1-E239))</f>
        <v/>
      </c>
      <c r="AO240" s="15">
        <f>MAX(0,AN239*(1-INDEX($B$11:$B$63,29))*(1-E239))</f>
        <v/>
      </c>
      <c r="AP240" s="15">
        <f>MAX(0,AO239*(1-INDEX($B$11:$B$63,30))*(1-E239))</f>
        <v/>
      </c>
      <c r="AQ240" s="15">
        <f>MAX(0,AP239*(1-INDEX($B$11:$B$63,31))*(1-E239))</f>
        <v/>
      </c>
      <c r="AR240" s="15">
        <f>MAX(0,AQ239*(1-INDEX($B$11:$B$63,32))*(1-E239))</f>
        <v/>
      </c>
      <c r="AS240" s="15">
        <f>MAX(0,AR239*(1-INDEX($B$11:$B$63,33))*(1-E239))</f>
        <v/>
      </c>
      <c r="AT240" s="15">
        <f>MAX(0,AS239*(1-INDEX($B$11:$B$63,34))*(1-E239))</f>
        <v/>
      </c>
      <c r="AU240" s="15">
        <f>MAX(0,AT239*(1-INDEX($B$11:$B$63,35))*(1-E239))</f>
        <v/>
      </c>
      <c r="AV240" s="15">
        <f>MAX(0,AU239*(1-INDEX($B$11:$B$63,36))*(1-E239))</f>
        <v/>
      </c>
      <c r="AW240" s="15">
        <f>MAX(0,AV239*(1-INDEX($B$11:$B$63,37))*(1-E239))</f>
        <v/>
      </c>
      <c r="AX240" s="15">
        <f>MAX(0,AW239*(1-INDEX($B$11:$B$63,38))*(1-E239))</f>
        <v/>
      </c>
      <c r="AY240" s="15">
        <f>MAX(0,AX239*(1-INDEX($B$11:$B$63,39))*(1-E239))</f>
        <v/>
      </c>
      <c r="AZ240" s="15">
        <f>MAX(0,AY239*(1-INDEX($B$11:$B$63,40))*(1-E239))</f>
        <v/>
      </c>
      <c r="BA240" s="15">
        <f>MAX(0,AZ239*(1-INDEX($B$11:$B$63,41))*(1-E239))</f>
        <v/>
      </c>
      <c r="BB240" s="15">
        <f>MAX(0,BA239*(1-INDEX($B$11:$B$63,42))*(1-E239))</f>
        <v/>
      </c>
      <c r="BC240" s="15">
        <f>MAX(0,BB239*(1-INDEX($B$11:$B$63,43))*(1-E239))</f>
        <v/>
      </c>
      <c r="BD240" s="15">
        <f>MAX(0,BC239*(1-INDEX($B$11:$B$63,44))*(1-E239))</f>
        <v/>
      </c>
      <c r="BE240" s="15">
        <f>MAX(0,BD239*(1-INDEX($B$11:$B$63,45))*(1-E239))</f>
        <v/>
      </c>
      <c r="BF240" s="15">
        <f>MAX(0,BE239*(1-INDEX($B$11:$B$63,46))*(1-E239))</f>
        <v/>
      </c>
      <c r="BG240" s="15">
        <f>MAX(0,BF239*(1-INDEX($B$11:$B$63,47))*(1-E239))</f>
        <v/>
      </c>
      <c r="BH240" s="15">
        <f>MAX(0,BG239*(1-INDEX($B$11:$B$63,48))*(1-E239))</f>
        <v/>
      </c>
      <c r="BI240" s="15">
        <f>MAX(0,BH239*(1-INDEX($B$11:$B$63,49))*(1-E239))</f>
        <v/>
      </c>
      <c r="BJ240" s="15">
        <f>MAX(0,BI239*(1-INDEX($B$11:$B$63,50))*(1-E239))</f>
        <v/>
      </c>
      <c r="BK240" s="15">
        <f>MAX(0,BJ239*(1-INDEX($B$11:$B$63,51))*(1-E239))</f>
        <v/>
      </c>
      <c r="BL240" s="15">
        <f>MAX(0,(BL239+BK239)*(1-INDEX($B$11:$B$63,53))*(1-E239))</f>
        <v/>
      </c>
    </row>
    <row r="241">
      <c r="A241" s="55" t="n">
        <v>175</v>
      </c>
      <c r="B241" s="15">
        <f>IF(A241&gt;Inputs!$C$62,"",SUM(M241:BK241))</f>
        <v/>
      </c>
      <c r="C241" s="15">
        <f>IF(A241&gt;Inputs!$C$62,"",INDEX(Trajectory!$C$23:$C$2000,A241))</f>
        <v/>
      </c>
      <c r="D241" s="15">
        <f>IF(A241&gt;Inputs!$C$62,"",SUM(L241:BK241))</f>
        <v/>
      </c>
      <c r="E241" s="12">
        <f>IF(A241&gt;Inputs!$C$62,"",INDEX(Trajectory!$AG$23:$AG$2000,A241))</f>
        <v/>
      </c>
      <c r="F241" s="12">
        <f>IF(D241=0,0,SUMPRODUCT(L241:BK241,$B$11:$B$63)/D241)</f>
        <v/>
      </c>
      <c r="G241" s="12">
        <f>IF(D241=0,0,MIN(0.95,1-(1-F241)*(1-E241)))</f>
        <v/>
      </c>
      <c r="H241" s="15">
        <f>IF(D241=0,0,D241*G241)</f>
        <v/>
      </c>
      <c r="I241" s="15">
        <f>IF(D241=0,0,D241-H241)</f>
        <v/>
      </c>
      <c r="L241" s="15">
        <f>C241</f>
        <v/>
      </c>
      <c r="M241" s="15">
        <f>MAX(0,L240*(1-INDEX($B$11:$B$63,1))*(1-E240))</f>
        <v/>
      </c>
      <c r="N241" s="15">
        <f>MAX(0,M240*(1-INDEX($B$11:$B$63,2))*(1-E240))</f>
        <v/>
      </c>
      <c r="O241" s="15">
        <f>MAX(0,N240*(1-INDEX($B$11:$B$63,3))*(1-E240))</f>
        <v/>
      </c>
      <c r="P241" s="15">
        <f>MAX(0,O240*(1-INDEX($B$11:$B$63,4))*(1-E240))</f>
        <v/>
      </c>
      <c r="Q241" s="15">
        <f>MAX(0,P240*(1-INDEX($B$11:$B$63,5))*(1-E240))</f>
        <v/>
      </c>
      <c r="R241" s="15">
        <f>MAX(0,Q240*(1-INDEX($B$11:$B$63,6))*(1-E240))</f>
        <v/>
      </c>
      <c r="S241" s="15">
        <f>MAX(0,R240*(1-INDEX($B$11:$B$63,7))*(1-E240))</f>
        <v/>
      </c>
      <c r="T241" s="15">
        <f>MAX(0,S240*(1-INDEX($B$11:$B$63,8))*(1-E240))</f>
        <v/>
      </c>
      <c r="U241" s="15">
        <f>MAX(0,T240*(1-INDEX($B$11:$B$63,9))*(1-E240))</f>
        <v/>
      </c>
      <c r="V241" s="15">
        <f>MAX(0,U240*(1-INDEX($B$11:$B$63,10))*(1-E240))</f>
        <v/>
      </c>
      <c r="W241" s="15">
        <f>MAX(0,V240*(1-INDEX($B$11:$B$63,11))*(1-E240))</f>
        <v/>
      </c>
      <c r="X241" s="15">
        <f>MAX(0,W240*(1-INDEX($B$11:$B$63,12))*(1-E240))</f>
        <v/>
      </c>
      <c r="Y241" s="15">
        <f>MAX(0,X240*(1-INDEX($B$11:$B$63,13))*(1-E240))</f>
        <v/>
      </c>
      <c r="Z241" s="15">
        <f>MAX(0,Y240*(1-INDEX($B$11:$B$63,14))*(1-E240))</f>
        <v/>
      </c>
      <c r="AA241" s="15">
        <f>MAX(0,Z240*(1-INDEX($B$11:$B$63,15))*(1-E240))</f>
        <v/>
      </c>
      <c r="AB241" s="15">
        <f>MAX(0,AA240*(1-INDEX($B$11:$B$63,16))*(1-E240))</f>
        <v/>
      </c>
      <c r="AC241" s="15">
        <f>MAX(0,AB240*(1-INDEX($B$11:$B$63,17))*(1-E240))</f>
        <v/>
      </c>
      <c r="AD241" s="15">
        <f>MAX(0,AC240*(1-INDEX($B$11:$B$63,18))*(1-E240))</f>
        <v/>
      </c>
      <c r="AE241" s="15">
        <f>MAX(0,AD240*(1-INDEX($B$11:$B$63,19))*(1-E240))</f>
        <v/>
      </c>
      <c r="AF241" s="15">
        <f>MAX(0,AE240*(1-INDEX($B$11:$B$63,20))*(1-E240))</f>
        <v/>
      </c>
      <c r="AG241" s="15">
        <f>MAX(0,AF240*(1-INDEX($B$11:$B$63,21))*(1-E240))</f>
        <v/>
      </c>
      <c r="AH241" s="15">
        <f>MAX(0,AG240*(1-INDEX($B$11:$B$63,22))*(1-E240))</f>
        <v/>
      </c>
      <c r="AI241" s="15">
        <f>MAX(0,AH240*(1-INDEX($B$11:$B$63,23))*(1-E240))</f>
        <v/>
      </c>
      <c r="AJ241" s="15">
        <f>MAX(0,AI240*(1-INDEX($B$11:$B$63,24))*(1-E240))</f>
        <v/>
      </c>
      <c r="AK241" s="15">
        <f>MAX(0,AJ240*(1-INDEX($B$11:$B$63,25))*(1-E240))</f>
        <v/>
      </c>
      <c r="AL241" s="15">
        <f>MAX(0,AK240*(1-INDEX($B$11:$B$63,26))*(1-E240))</f>
        <v/>
      </c>
      <c r="AM241" s="15">
        <f>MAX(0,AL240*(1-INDEX($B$11:$B$63,27))*(1-E240))</f>
        <v/>
      </c>
      <c r="AN241" s="15">
        <f>MAX(0,AM240*(1-INDEX($B$11:$B$63,28))*(1-E240))</f>
        <v/>
      </c>
      <c r="AO241" s="15">
        <f>MAX(0,AN240*(1-INDEX($B$11:$B$63,29))*(1-E240))</f>
        <v/>
      </c>
      <c r="AP241" s="15">
        <f>MAX(0,AO240*(1-INDEX($B$11:$B$63,30))*(1-E240))</f>
        <v/>
      </c>
      <c r="AQ241" s="15">
        <f>MAX(0,AP240*(1-INDEX($B$11:$B$63,31))*(1-E240))</f>
        <v/>
      </c>
      <c r="AR241" s="15">
        <f>MAX(0,AQ240*(1-INDEX($B$11:$B$63,32))*(1-E240))</f>
        <v/>
      </c>
      <c r="AS241" s="15">
        <f>MAX(0,AR240*(1-INDEX($B$11:$B$63,33))*(1-E240))</f>
        <v/>
      </c>
      <c r="AT241" s="15">
        <f>MAX(0,AS240*(1-INDEX($B$11:$B$63,34))*(1-E240))</f>
        <v/>
      </c>
      <c r="AU241" s="15">
        <f>MAX(0,AT240*(1-INDEX($B$11:$B$63,35))*(1-E240))</f>
        <v/>
      </c>
      <c r="AV241" s="15">
        <f>MAX(0,AU240*(1-INDEX($B$11:$B$63,36))*(1-E240))</f>
        <v/>
      </c>
      <c r="AW241" s="15">
        <f>MAX(0,AV240*(1-INDEX($B$11:$B$63,37))*(1-E240))</f>
        <v/>
      </c>
      <c r="AX241" s="15">
        <f>MAX(0,AW240*(1-INDEX($B$11:$B$63,38))*(1-E240))</f>
        <v/>
      </c>
      <c r="AY241" s="15">
        <f>MAX(0,AX240*(1-INDEX($B$11:$B$63,39))*(1-E240))</f>
        <v/>
      </c>
      <c r="AZ241" s="15">
        <f>MAX(0,AY240*(1-INDEX($B$11:$B$63,40))*(1-E240))</f>
        <v/>
      </c>
      <c r="BA241" s="15">
        <f>MAX(0,AZ240*(1-INDEX($B$11:$B$63,41))*(1-E240))</f>
        <v/>
      </c>
      <c r="BB241" s="15">
        <f>MAX(0,BA240*(1-INDEX($B$11:$B$63,42))*(1-E240))</f>
        <v/>
      </c>
      <c r="BC241" s="15">
        <f>MAX(0,BB240*(1-INDEX($B$11:$B$63,43))*(1-E240))</f>
        <v/>
      </c>
      <c r="BD241" s="15">
        <f>MAX(0,BC240*(1-INDEX($B$11:$B$63,44))*(1-E240))</f>
        <v/>
      </c>
      <c r="BE241" s="15">
        <f>MAX(0,BD240*(1-INDEX($B$11:$B$63,45))*(1-E240))</f>
        <v/>
      </c>
      <c r="BF241" s="15">
        <f>MAX(0,BE240*(1-INDEX($B$11:$B$63,46))*(1-E240))</f>
        <v/>
      </c>
      <c r="BG241" s="15">
        <f>MAX(0,BF240*(1-INDEX($B$11:$B$63,47))*(1-E240))</f>
        <v/>
      </c>
      <c r="BH241" s="15">
        <f>MAX(0,BG240*(1-INDEX($B$11:$B$63,48))*(1-E240))</f>
        <v/>
      </c>
      <c r="BI241" s="15">
        <f>MAX(0,BH240*(1-INDEX($B$11:$B$63,49))*(1-E240))</f>
        <v/>
      </c>
      <c r="BJ241" s="15">
        <f>MAX(0,BI240*(1-INDEX($B$11:$B$63,50))*(1-E240))</f>
        <v/>
      </c>
      <c r="BK241" s="15">
        <f>MAX(0,BJ240*(1-INDEX($B$11:$B$63,51))*(1-E240))</f>
        <v/>
      </c>
      <c r="BL241" s="15">
        <f>MAX(0,(BL240+BK240)*(1-INDEX($B$11:$B$63,53))*(1-E240))</f>
        <v/>
      </c>
    </row>
    <row r="242">
      <c r="A242" s="55" t="n">
        <v>176</v>
      </c>
      <c r="B242" s="15">
        <f>IF(A242&gt;Inputs!$C$62,"",SUM(M242:BK242))</f>
        <v/>
      </c>
      <c r="C242" s="15">
        <f>IF(A242&gt;Inputs!$C$62,"",INDEX(Trajectory!$C$23:$C$2000,A242))</f>
        <v/>
      </c>
      <c r="D242" s="15">
        <f>IF(A242&gt;Inputs!$C$62,"",SUM(L242:BK242))</f>
        <v/>
      </c>
      <c r="E242" s="12">
        <f>IF(A242&gt;Inputs!$C$62,"",INDEX(Trajectory!$AG$23:$AG$2000,A242))</f>
        <v/>
      </c>
      <c r="F242" s="12">
        <f>IF(D242=0,0,SUMPRODUCT(L242:BK242,$B$11:$B$63)/D242)</f>
        <v/>
      </c>
      <c r="G242" s="12">
        <f>IF(D242=0,0,MIN(0.95,1-(1-F242)*(1-E242)))</f>
        <v/>
      </c>
      <c r="H242" s="15">
        <f>IF(D242=0,0,D242*G242)</f>
        <v/>
      </c>
      <c r="I242" s="15">
        <f>IF(D242=0,0,D242-H242)</f>
        <v/>
      </c>
      <c r="L242" s="15">
        <f>C242</f>
        <v/>
      </c>
      <c r="M242" s="15">
        <f>MAX(0,L241*(1-INDEX($B$11:$B$63,1))*(1-E241))</f>
        <v/>
      </c>
      <c r="N242" s="15">
        <f>MAX(0,M241*(1-INDEX($B$11:$B$63,2))*(1-E241))</f>
        <v/>
      </c>
      <c r="O242" s="15">
        <f>MAX(0,N241*(1-INDEX($B$11:$B$63,3))*(1-E241))</f>
        <v/>
      </c>
      <c r="P242" s="15">
        <f>MAX(0,O241*(1-INDEX($B$11:$B$63,4))*(1-E241))</f>
        <v/>
      </c>
      <c r="Q242" s="15">
        <f>MAX(0,P241*(1-INDEX($B$11:$B$63,5))*(1-E241))</f>
        <v/>
      </c>
      <c r="R242" s="15">
        <f>MAX(0,Q241*(1-INDEX($B$11:$B$63,6))*(1-E241))</f>
        <v/>
      </c>
      <c r="S242" s="15">
        <f>MAX(0,R241*(1-INDEX($B$11:$B$63,7))*(1-E241))</f>
        <v/>
      </c>
      <c r="T242" s="15">
        <f>MAX(0,S241*(1-INDEX($B$11:$B$63,8))*(1-E241))</f>
        <v/>
      </c>
      <c r="U242" s="15">
        <f>MAX(0,T241*(1-INDEX($B$11:$B$63,9))*(1-E241))</f>
        <v/>
      </c>
      <c r="V242" s="15">
        <f>MAX(0,U241*(1-INDEX($B$11:$B$63,10))*(1-E241))</f>
        <v/>
      </c>
      <c r="W242" s="15">
        <f>MAX(0,V241*(1-INDEX($B$11:$B$63,11))*(1-E241))</f>
        <v/>
      </c>
      <c r="X242" s="15">
        <f>MAX(0,W241*(1-INDEX($B$11:$B$63,12))*(1-E241))</f>
        <v/>
      </c>
      <c r="Y242" s="15">
        <f>MAX(0,X241*(1-INDEX($B$11:$B$63,13))*(1-E241))</f>
        <v/>
      </c>
      <c r="Z242" s="15">
        <f>MAX(0,Y241*(1-INDEX($B$11:$B$63,14))*(1-E241))</f>
        <v/>
      </c>
      <c r="AA242" s="15">
        <f>MAX(0,Z241*(1-INDEX($B$11:$B$63,15))*(1-E241))</f>
        <v/>
      </c>
      <c r="AB242" s="15">
        <f>MAX(0,AA241*(1-INDEX($B$11:$B$63,16))*(1-E241))</f>
        <v/>
      </c>
      <c r="AC242" s="15">
        <f>MAX(0,AB241*(1-INDEX($B$11:$B$63,17))*(1-E241))</f>
        <v/>
      </c>
      <c r="AD242" s="15">
        <f>MAX(0,AC241*(1-INDEX($B$11:$B$63,18))*(1-E241))</f>
        <v/>
      </c>
      <c r="AE242" s="15">
        <f>MAX(0,AD241*(1-INDEX($B$11:$B$63,19))*(1-E241))</f>
        <v/>
      </c>
      <c r="AF242" s="15">
        <f>MAX(0,AE241*(1-INDEX($B$11:$B$63,20))*(1-E241))</f>
        <v/>
      </c>
      <c r="AG242" s="15">
        <f>MAX(0,AF241*(1-INDEX($B$11:$B$63,21))*(1-E241))</f>
        <v/>
      </c>
      <c r="AH242" s="15">
        <f>MAX(0,AG241*(1-INDEX($B$11:$B$63,22))*(1-E241))</f>
        <v/>
      </c>
      <c r="AI242" s="15">
        <f>MAX(0,AH241*(1-INDEX($B$11:$B$63,23))*(1-E241))</f>
        <v/>
      </c>
      <c r="AJ242" s="15">
        <f>MAX(0,AI241*(1-INDEX($B$11:$B$63,24))*(1-E241))</f>
        <v/>
      </c>
      <c r="AK242" s="15">
        <f>MAX(0,AJ241*(1-INDEX($B$11:$B$63,25))*(1-E241))</f>
        <v/>
      </c>
      <c r="AL242" s="15">
        <f>MAX(0,AK241*(1-INDEX($B$11:$B$63,26))*(1-E241))</f>
        <v/>
      </c>
      <c r="AM242" s="15">
        <f>MAX(0,AL241*(1-INDEX($B$11:$B$63,27))*(1-E241))</f>
        <v/>
      </c>
      <c r="AN242" s="15">
        <f>MAX(0,AM241*(1-INDEX($B$11:$B$63,28))*(1-E241))</f>
        <v/>
      </c>
      <c r="AO242" s="15">
        <f>MAX(0,AN241*(1-INDEX($B$11:$B$63,29))*(1-E241))</f>
        <v/>
      </c>
      <c r="AP242" s="15">
        <f>MAX(0,AO241*(1-INDEX($B$11:$B$63,30))*(1-E241))</f>
        <v/>
      </c>
      <c r="AQ242" s="15">
        <f>MAX(0,AP241*(1-INDEX($B$11:$B$63,31))*(1-E241))</f>
        <v/>
      </c>
      <c r="AR242" s="15">
        <f>MAX(0,AQ241*(1-INDEX($B$11:$B$63,32))*(1-E241))</f>
        <v/>
      </c>
      <c r="AS242" s="15">
        <f>MAX(0,AR241*(1-INDEX($B$11:$B$63,33))*(1-E241))</f>
        <v/>
      </c>
      <c r="AT242" s="15">
        <f>MAX(0,AS241*(1-INDEX($B$11:$B$63,34))*(1-E241))</f>
        <v/>
      </c>
      <c r="AU242" s="15">
        <f>MAX(0,AT241*(1-INDEX($B$11:$B$63,35))*(1-E241))</f>
        <v/>
      </c>
      <c r="AV242" s="15">
        <f>MAX(0,AU241*(1-INDEX($B$11:$B$63,36))*(1-E241))</f>
        <v/>
      </c>
      <c r="AW242" s="15">
        <f>MAX(0,AV241*(1-INDEX($B$11:$B$63,37))*(1-E241))</f>
        <v/>
      </c>
      <c r="AX242" s="15">
        <f>MAX(0,AW241*(1-INDEX($B$11:$B$63,38))*(1-E241))</f>
        <v/>
      </c>
      <c r="AY242" s="15">
        <f>MAX(0,AX241*(1-INDEX($B$11:$B$63,39))*(1-E241))</f>
        <v/>
      </c>
      <c r="AZ242" s="15">
        <f>MAX(0,AY241*(1-INDEX($B$11:$B$63,40))*(1-E241))</f>
        <v/>
      </c>
      <c r="BA242" s="15">
        <f>MAX(0,AZ241*(1-INDEX($B$11:$B$63,41))*(1-E241))</f>
        <v/>
      </c>
      <c r="BB242" s="15">
        <f>MAX(0,BA241*(1-INDEX($B$11:$B$63,42))*(1-E241))</f>
        <v/>
      </c>
      <c r="BC242" s="15">
        <f>MAX(0,BB241*(1-INDEX($B$11:$B$63,43))*(1-E241))</f>
        <v/>
      </c>
      <c r="BD242" s="15">
        <f>MAX(0,BC241*(1-INDEX($B$11:$B$63,44))*(1-E241))</f>
        <v/>
      </c>
      <c r="BE242" s="15">
        <f>MAX(0,BD241*(1-INDEX($B$11:$B$63,45))*(1-E241))</f>
        <v/>
      </c>
      <c r="BF242" s="15">
        <f>MAX(0,BE241*(1-INDEX($B$11:$B$63,46))*(1-E241))</f>
        <v/>
      </c>
      <c r="BG242" s="15">
        <f>MAX(0,BF241*(1-INDEX($B$11:$B$63,47))*(1-E241))</f>
        <v/>
      </c>
      <c r="BH242" s="15">
        <f>MAX(0,BG241*(1-INDEX($B$11:$B$63,48))*(1-E241))</f>
        <v/>
      </c>
      <c r="BI242" s="15">
        <f>MAX(0,BH241*(1-INDEX($B$11:$B$63,49))*(1-E241))</f>
        <v/>
      </c>
      <c r="BJ242" s="15">
        <f>MAX(0,BI241*(1-INDEX($B$11:$B$63,50))*(1-E241))</f>
        <v/>
      </c>
      <c r="BK242" s="15">
        <f>MAX(0,BJ241*(1-INDEX($B$11:$B$63,51))*(1-E241))</f>
        <v/>
      </c>
      <c r="BL242" s="15">
        <f>MAX(0,(BL241+BK241)*(1-INDEX($B$11:$B$63,53))*(1-E241))</f>
        <v/>
      </c>
    </row>
    <row r="243">
      <c r="A243" s="55" t="n">
        <v>177</v>
      </c>
      <c r="B243" s="15">
        <f>IF(A243&gt;Inputs!$C$62,"",SUM(M243:BK243))</f>
        <v/>
      </c>
      <c r="C243" s="15">
        <f>IF(A243&gt;Inputs!$C$62,"",INDEX(Trajectory!$C$23:$C$2000,A243))</f>
        <v/>
      </c>
      <c r="D243" s="15">
        <f>IF(A243&gt;Inputs!$C$62,"",SUM(L243:BK243))</f>
        <v/>
      </c>
      <c r="E243" s="12">
        <f>IF(A243&gt;Inputs!$C$62,"",INDEX(Trajectory!$AG$23:$AG$2000,A243))</f>
        <v/>
      </c>
      <c r="F243" s="12">
        <f>IF(D243=0,0,SUMPRODUCT(L243:BK243,$B$11:$B$63)/D243)</f>
        <v/>
      </c>
      <c r="G243" s="12">
        <f>IF(D243=0,0,MIN(0.95,1-(1-F243)*(1-E243)))</f>
        <v/>
      </c>
      <c r="H243" s="15">
        <f>IF(D243=0,0,D243*G243)</f>
        <v/>
      </c>
      <c r="I243" s="15">
        <f>IF(D243=0,0,D243-H243)</f>
        <v/>
      </c>
      <c r="L243" s="15">
        <f>C243</f>
        <v/>
      </c>
      <c r="M243" s="15">
        <f>MAX(0,L242*(1-INDEX($B$11:$B$63,1))*(1-E242))</f>
        <v/>
      </c>
      <c r="N243" s="15">
        <f>MAX(0,M242*(1-INDEX($B$11:$B$63,2))*(1-E242))</f>
        <v/>
      </c>
      <c r="O243" s="15">
        <f>MAX(0,N242*(1-INDEX($B$11:$B$63,3))*(1-E242))</f>
        <v/>
      </c>
      <c r="P243" s="15">
        <f>MAX(0,O242*(1-INDEX($B$11:$B$63,4))*(1-E242))</f>
        <v/>
      </c>
      <c r="Q243" s="15">
        <f>MAX(0,P242*(1-INDEX($B$11:$B$63,5))*(1-E242))</f>
        <v/>
      </c>
      <c r="R243" s="15">
        <f>MAX(0,Q242*(1-INDEX($B$11:$B$63,6))*(1-E242))</f>
        <v/>
      </c>
      <c r="S243" s="15">
        <f>MAX(0,R242*(1-INDEX($B$11:$B$63,7))*(1-E242))</f>
        <v/>
      </c>
      <c r="T243" s="15">
        <f>MAX(0,S242*(1-INDEX($B$11:$B$63,8))*(1-E242))</f>
        <v/>
      </c>
      <c r="U243" s="15">
        <f>MAX(0,T242*(1-INDEX($B$11:$B$63,9))*(1-E242))</f>
        <v/>
      </c>
      <c r="V243" s="15">
        <f>MAX(0,U242*(1-INDEX($B$11:$B$63,10))*(1-E242))</f>
        <v/>
      </c>
      <c r="W243" s="15">
        <f>MAX(0,V242*(1-INDEX($B$11:$B$63,11))*(1-E242))</f>
        <v/>
      </c>
      <c r="X243" s="15">
        <f>MAX(0,W242*(1-INDEX($B$11:$B$63,12))*(1-E242))</f>
        <v/>
      </c>
      <c r="Y243" s="15">
        <f>MAX(0,X242*(1-INDEX($B$11:$B$63,13))*(1-E242))</f>
        <v/>
      </c>
      <c r="Z243" s="15">
        <f>MAX(0,Y242*(1-INDEX($B$11:$B$63,14))*(1-E242))</f>
        <v/>
      </c>
      <c r="AA243" s="15">
        <f>MAX(0,Z242*(1-INDEX($B$11:$B$63,15))*(1-E242))</f>
        <v/>
      </c>
      <c r="AB243" s="15">
        <f>MAX(0,AA242*(1-INDEX($B$11:$B$63,16))*(1-E242))</f>
        <v/>
      </c>
      <c r="AC243" s="15">
        <f>MAX(0,AB242*(1-INDEX($B$11:$B$63,17))*(1-E242))</f>
        <v/>
      </c>
      <c r="AD243" s="15">
        <f>MAX(0,AC242*(1-INDEX($B$11:$B$63,18))*(1-E242))</f>
        <v/>
      </c>
      <c r="AE243" s="15">
        <f>MAX(0,AD242*(1-INDEX($B$11:$B$63,19))*(1-E242))</f>
        <v/>
      </c>
      <c r="AF243" s="15">
        <f>MAX(0,AE242*(1-INDEX($B$11:$B$63,20))*(1-E242))</f>
        <v/>
      </c>
      <c r="AG243" s="15">
        <f>MAX(0,AF242*(1-INDEX($B$11:$B$63,21))*(1-E242))</f>
        <v/>
      </c>
      <c r="AH243" s="15">
        <f>MAX(0,AG242*(1-INDEX($B$11:$B$63,22))*(1-E242))</f>
        <v/>
      </c>
      <c r="AI243" s="15">
        <f>MAX(0,AH242*(1-INDEX($B$11:$B$63,23))*(1-E242))</f>
        <v/>
      </c>
      <c r="AJ243" s="15">
        <f>MAX(0,AI242*(1-INDEX($B$11:$B$63,24))*(1-E242))</f>
        <v/>
      </c>
      <c r="AK243" s="15">
        <f>MAX(0,AJ242*(1-INDEX($B$11:$B$63,25))*(1-E242))</f>
        <v/>
      </c>
      <c r="AL243" s="15">
        <f>MAX(0,AK242*(1-INDEX($B$11:$B$63,26))*(1-E242))</f>
        <v/>
      </c>
      <c r="AM243" s="15">
        <f>MAX(0,AL242*(1-INDEX($B$11:$B$63,27))*(1-E242))</f>
        <v/>
      </c>
      <c r="AN243" s="15">
        <f>MAX(0,AM242*(1-INDEX($B$11:$B$63,28))*(1-E242))</f>
        <v/>
      </c>
      <c r="AO243" s="15">
        <f>MAX(0,AN242*(1-INDEX($B$11:$B$63,29))*(1-E242))</f>
        <v/>
      </c>
      <c r="AP243" s="15">
        <f>MAX(0,AO242*(1-INDEX($B$11:$B$63,30))*(1-E242))</f>
        <v/>
      </c>
      <c r="AQ243" s="15">
        <f>MAX(0,AP242*(1-INDEX($B$11:$B$63,31))*(1-E242))</f>
        <v/>
      </c>
      <c r="AR243" s="15">
        <f>MAX(0,AQ242*(1-INDEX($B$11:$B$63,32))*(1-E242))</f>
        <v/>
      </c>
      <c r="AS243" s="15">
        <f>MAX(0,AR242*(1-INDEX($B$11:$B$63,33))*(1-E242))</f>
        <v/>
      </c>
      <c r="AT243" s="15">
        <f>MAX(0,AS242*(1-INDEX($B$11:$B$63,34))*(1-E242))</f>
        <v/>
      </c>
      <c r="AU243" s="15">
        <f>MAX(0,AT242*(1-INDEX($B$11:$B$63,35))*(1-E242))</f>
        <v/>
      </c>
      <c r="AV243" s="15">
        <f>MAX(0,AU242*(1-INDEX($B$11:$B$63,36))*(1-E242))</f>
        <v/>
      </c>
      <c r="AW243" s="15">
        <f>MAX(0,AV242*(1-INDEX($B$11:$B$63,37))*(1-E242))</f>
        <v/>
      </c>
      <c r="AX243" s="15">
        <f>MAX(0,AW242*(1-INDEX($B$11:$B$63,38))*(1-E242))</f>
        <v/>
      </c>
      <c r="AY243" s="15">
        <f>MAX(0,AX242*(1-INDEX($B$11:$B$63,39))*(1-E242))</f>
        <v/>
      </c>
      <c r="AZ243" s="15">
        <f>MAX(0,AY242*(1-INDEX($B$11:$B$63,40))*(1-E242))</f>
        <v/>
      </c>
      <c r="BA243" s="15">
        <f>MAX(0,AZ242*(1-INDEX($B$11:$B$63,41))*(1-E242))</f>
        <v/>
      </c>
      <c r="BB243" s="15">
        <f>MAX(0,BA242*(1-INDEX($B$11:$B$63,42))*(1-E242))</f>
        <v/>
      </c>
      <c r="BC243" s="15">
        <f>MAX(0,BB242*(1-INDEX($B$11:$B$63,43))*(1-E242))</f>
        <v/>
      </c>
      <c r="BD243" s="15">
        <f>MAX(0,BC242*(1-INDEX($B$11:$B$63,44))*(1-E242))</f>
        <v/>
      </c>
      <c r="BE243" s="15">
        <f>MAX(0,BD242*(1-INDEX($B$11:$B$63,45))*(1-E242))</f>
        <v/>
      </c>
      <c r="BF243" s="15">
        <f>MAX(0,BE242*(1-INDEX($B$11:$B$63,46))*(1-E242))</f>
        <v/>
      </c>
      <c r="BG243" s="15">
        <f>MAX(0,BF242*(1-INDEX($B$11:$B$63,47))*(1-E242))</f>
        <v/>
      </c>
      <c r="BH243" s="15">
        <f>MAX(0,BG242*(1-INDEX($B$11:$B$63,48))*(1-E242))</f>
        <v/>
      </c>
      <c r="BI243" s="15">
        <f>MAX(0,BH242*(1-INDEX($B$11:$B$63,49))*(1-E242))</f>
        <v/>
      </c>
      <c r="BJ243" s="15">
        <f>MAX(0,BI242*(1-INDEX($B$11:$B$63,50))*(1-E242))</f>
        <v/>
      </c>
      <c r="BK243" s="15">
        <f>MAX(0,BJ242*(1-INDEX($B$11:$B$63,51))*(1-E242))</f>
        <v/>
      </c>
      <c r="BL243" s="15">
        <f>MAX(0,(BL242+BK242)*(1-INDEX($B$11:$B$63,53))*(1-E242))</f>
        <v/>
      </c>
    </row>
    <row r="244">
      <c r="A244" s="55" t="n">
        <v>178</v>
      </c>
      <c r="B244" s="15">
        <f>IF(A244&gt;Inputs!$C$62,"",SUM(M244:BK244))</f>
        <v/>
      </c>
      <c r="C244" s="15">
        <f>IF(A244&gt;Inputs!$C$62,"",INDEX(Trajectory!$C$23:$C$2000,A244))</f>
        <v/>
      </c>
      <c r="D244" s="15">
        <f>IF(A244&gt;Inputs!$C$62,"",SUM(L244:BK244))</f>
        <v/>
      </c>
      <c r="E244" s="12">
        <f>IF(A244&gt;Inputs!$C$62,"",INDEX(Trajectory!$AG$23:$AG$2000,A244))</f>
        <v/>
      </c>
      <c r="F244" s="12">
        <f>IF(D244=0,0,SUMPRODUCT(L244:BK244,$B$11:$B$63)/D244)</f>
        <v/>
      </c>
      <c r="G244" s="12">
        <f>IF(D244=0,0,MIN(0.95,1-(1-F244)*(1-E244)))</f>
        <v/>
      </c>
      <c r="H244" s="15">
        <f>IF(D244=0,0,D244*G244)</f>
        <v/>
      </c>
      <c r="I244" s="15">
        <f>IF(D244=0,0,D244-H244)</f>
        <v/>
      </c>
      <c r="L244" s="15">
        <f>C244</f>
        <v/>
      </c>
      <c r="M244" s="15">
        <f>MAX(0,L243*(1-INDEX($B$11:$B$63,1))*(1-E243))</f>
        <v/>
      </c>
      <c r="N244" s="15">
        <f>MAX(0,M243*(1-INDEX($B$11:$B$63,2))*(1-E243))</f>
        <v/>
      </c>
      <c r="O244" s="15">
        <f>MAX(0,N243*(1-INDEX($B$11:$B$63,3))*(1-E243))</f>
        <v/>
      </c>
      <c r="P244" s="15">
        <f>MAX(0,O243*(1-INDEX($B$11:$B$63,4))*(1-E243))</f>
        <v/>
      </c>
      <c r="Q244" s="15">
        <f>MAX(0,P243*(1-INDEX($B$11:$B$63,5))*(1-E243))</f>
        <v/>
      </c>
      <c r="R244" s="15">
        <f>MAX(0,Q243*(1-INDEX($B$11:$B$63,6))*(1-E243))</f>
        <v/>
      </c>
      <c r="S244" s="15">
        <f>MAX(0,R243*(1-INDEX($B$11:$B$63,7))*(1-E243))</f>
        <v/>
      </c>
      <c r="T244" s="15">
        <f>MAX(0,S243*(1-INDEX($B$11:$B$63,8))*(1-E243))</f>
        <v/>
      </c>
      <c r="U244" s="15">
        <f>MAX(0,T243*(1-INDEX($B$11:$B$63,9))*(1-E243))</f>
        <v/>
      </c>
      <c r="V244" s="15">
        <f>MAX(0,U243*(1-INDEX($B$11:$B$63,10))*(1-E243))</f>
        <v/>
      </c>
      <c r="W244" s="15">
        <f>MAX(0,V243*(1-INDEX($B$11:$B$63,11))*(1-E243))</f>
        <v/>
      </c>
      <c r="X244" s="15">
        <f>MAX(0,W243*(1-INDEX($B$11:$B$63,12))*(1-E243))</f>
        <v/>
      </c>
      <c r="Y244" s="15">
        <f>MAX(0,X243*(1-INDEX($B$11:$B$63,13))*(1-E243))</f>
        <v/>
      </c>
      <c r="Z244" s="15">
        <f>MAX(0,Y243*(1-INDEX($B$11:$B$63,14))*(1-E243))</f>
        <v/>
      </c>
      <c r="AA244" s="15">
        <f>MAX(0,Z243*(1-INDEX($B$11:$B$63,15))*(1-E243))</f>
        <v/>
      </c>
      <c r="AB244" s="15">
        <f>MAX(0,AA243*(1-INDEX($B$11:$B$63,16))*(1-E243))</f>
        <v/>
      </c>
      <c r="AC244" s="15">
        <f>MAX(0,AB243*(1-INDEX($B$11:$B$63,17))*(1-E243))</f>
        <v/>
      </c>
      <c r="AD244" s="15">
        <f>MAX(0,AC243*(1-INDEX($B$11:$B$63,18))*(1-E243))</f>
        <v/>
      </c>
      <c r="AE244" s="15">
        <f>MAX(0,AD243*(1-INDEX($B$11:$B$63,19))*(1-E243))</f>
        <v/>
      </c>
      <c r="AF244" s="15">
        <f>MAX(0,AE243*(1-INDEX($B$11:$B$63,20))*(1-E243))</f>
        <v/>
      </c>
      <c r="AG244" s="15">
        <f>MAX(0,AF243*(1-INDEX($B$11:$B$63,21))*(1-E243))</f>
        <v/>
      </c>
      <c r="AH244" s="15">
        <f>MAX(0,AG243*(1-INDEX($B$11:$B$63,22))*(1-E243))</f>
        <v/>
      </c>
      <c r="AI244" s="15">
        <f>MAX(0,AH243*(1-INDEX($B$11:$B$63,23))*(1-E243))</f>
        <v/>
      </c>
      <c r="AJ244" s="15">
        <f>MAX(0,AI243*(1-INDEX($B$11:$B$63,24))*(1-E243))</f>
        <v/>
      </c>
      <c r="AK244" s="15">
        <f>MAX(0,AJ243*(1-INDEX($B$11:$B$63,25))*(1-E243))</f>
        <v/>
      </c>
      <c r="AL244" s="15">
        <f>MAX(0,AK243*(1-INDEX($B$11:$B$63,26))*(1-E243))</f>
        <v/>
      </c>
      <c r="AM244" s="15">
        <f>MAX(0,AL243*(1-INDEX($B$11:$B$63,27))*(1-E243))</f>
        <v/>
      </c>
      <c r="AN244" s="15">
        <f>MAX(0,AM243*(1-INDEX($B$11:$B$63,28))*(1-E243))</f>
        <v/>
      </c>
      <c r="AO244" s="15">
        <f>MAX(0,AN243*(1-INDEX($B$11:$B$63,29))*(1-E243))</f>
        <v/>
      </c>
      <c r="AP244" s="15">
        <f>MAX(0,AO243*(1-INDEX($B$11:$B$63,30))*(1-E243))</f>
        <v/>
      </c>
      <c r="AQ244" s="15">
        <f>MAX(0,AP243*(1-INDEX($B$11:$B$63,31))*(1-E243))</f>
        <v/>
      </c>
      <c r="AR244" s="15">
        <f>MAX(0,AQ243*(1-INDEX($B$11:$B$63,32))*(1-E243))</f>
        <v/>
      </c>
      <c r="AS244" s="15">
        <f>MAX(0,AR243*(1-INDEX($B$11:$B$63,33))*(1-E243))</f>
        <v/>
      </c>
      <c r="AT244" s="15">
        <f>MAX(0,AS243*(1-INDEX($B$11:$B$63,34))*(1-E243))</f>
        <v/>
      </c>
      <c r="AU244" s="15">
        <f>MAX(0,AT243*(1-INDEX($B$11:$B$63,35))*(1-E243))</f>
        <v/>
      </c>
      <c r="AV244" s="15">
        <f>MAX(0,AU243*(1-INDEX($B$11:$B$63,36))*(1-E243))</f>
        <v/>
      </c>
      <c r="AW244" s="15">
        <f>MAX(0,AV243*(1-INDEX($B$11:$B$63,37))*(1-E243))</f>
        <v/>
      </c>
      <c r="AX244" s="15">
        <f>MAX(0,AW243*(1-INDEX($B$11:$B$63,38))*(1-E243))</f>
        <v/>
      </c>
      <c r="AY244" s="15">
        <f>MAX(0,AX243*(1-INDEX($B$11:$B$63,39))*(1-E243))</f>
        <v/>
      </c>
      <c r="AZ244" s="15">
        <f>MAX(0,AY243*(1-INDEX($B$11:$B$63,40))*(1-E243))</f>
        <v/>
      </c>
      <c r="BA244" s="15">
        <f>MAX(0,AZ243*(1-INDEX($B$11:$B$63,41))*(1-E243))</f>
        <v/>
      </c>
      <c r="BB244" s="15">
        <f>MAX(0,BA243*(1-INDEX($B$11:$B$63,42))*(1-E243))</f>
        <v/>
      </c>
      <c r="BC244" s="15">
        <f>MAX(0,BB243*(1-INDEX($B$11:$B$63,43))*(1-E243))</f>
        <v/>
      </c>
      <c r="BD244" s="15">
        <f>MAX(0,BC243*(1-INDEX($B$11:$B$63,44))*(1-E243))</f>
        <v/>
      </c>
      <c r="BE244" s="15">
        <f>MAX(0,BD243*(1-INDEX($B$11:$B$63,45))*(1-E243))</f>
        <v/>
      </c>
      <c r="BF244" s="15">
        <f>MAX(0,BE243*(1-INDEX($B$11:$B$63,46))*(1-E243))</f>
        <v/>
      </c>
      <c r="BG244" s="15">
        <f>MAX(0,BF243*(1-INDEX($B$11:$B$63,47))*(1-E243))</f>
        <v/>
      </c>
      <c r="BH244" s="15">
        <f>MAX(0,BG243*(1-INDEX($B$11:$B$63,48))*(1-E243))</f>
        <v/>
      </c>
      <c r="BI244" s="15">
        <f>MAX(0,BH243*(1-INDEX($B$11:$B$63,49))*(1-E243))</f>
        <v/>
      </c>
      <c r="BJ244" s="15">
        <f>MAX(0,BI243*(1-INDEX($B$11:$B$63,50))*(1-E243))</f>
        <v/>
      </c>
      <c r="BK244" s="15">
        <f>MAX(0,BJ243*(1-INDEX($B$11:$B$63,51))*(1-E243))</f>
        <v/>
      </c>
      <c r="BL244" s="15">
        <f>MAX(0,(BL243+BK243)*(1-INDEX($B$11:$B$63,53))*(1-E243))</f>
        <v/>
      </c>
    </row>
    <row r="245">
      <c r="A245" s="55" t="n">
        <v>179</v>
      </c>
      <c r="B245" s="15">
        <f>IF(A245&gt;Inputs!$C$62,"",SUM(M245:BK245))</f>
        <v/>
      </c>
      <c r="C245" s="15">
        <f>IF(A245&gt;Inputs!$C$62,"",INDEX(Trajectory!$C$23:$C$2000,A245))</f>
        <v/>
      </c>
      <c r="D245" s="15">
        <f>IF(A245&gt;Inputs!$C$62,"",SUM(L245:BK245))</f>
        <v/>
      </c>
      <c r="E245" s="12">
        <f>IF(A245&gt;Inputs!$C$62,"",INDEX(Trajectory!$AG$23:$AG$2000,A245))</f>
        <v/>
      </c>
      <c r="F245" s="12">
        <f>IF(D245=0,0,SUMPRODUCT(L245:BK245,$B$11:$B$63)/D245)</f>
        <v/>
      </c>
      <c r="G245" s="12">
        <f>IF(D245=0,0,MIN(0.95,1-(1-F245)*(1-E245)))</f>
        <v/>
      </c>
      <c r="H245" s="15">
        <f>IF(D245=0,0,D245*G245)</f>
        <v/>
      </c>
      <c r="I245" s="15">
        <f>IF(D245=0,0,D245-H245)</f>
        <v/>
      </c>
      <c r="L245" s="15">
        <f>C245</f>
        <v/>
      </c>
      <c r="M245" s="15">
        <f>MAX(0,L244*(1-INDEX($B$11:$B$63,1))*(1-E244))</f>
        <v/>
      </c>
      <c r="N245" s="15">
        <f>MAX(0,M244*(1-INDEX($B$11:$B$63,2))*(1-E244))</f>
        <v/>
      </c>
      <c r="O245" s="15">
        <f>MAX(0,N244*(1-INDEX($B$11:$B$63,3))*(1-E244))</f>
        <v/>
      </c>
      <c r="P245" s="15">
        <f>MAX(0,O244*(1-INDEX($B$11:$B$63,4))*(1-E244))</f>
        <v/>
      </c>
      <c r="Q245" s="15">
        <f>MAX(0,P244*(1-INDEX($B$11:$B$63,5))*(1-E244))</f>
        <v/>
      </c>
      <c r="R245" s="15">
        <f>MAX(0,Q244*(1-INDEX($B$11:$B$63,6))*(1-E244))</f>
        <v/>
      </c>
      <c r="S245" s="15">
        <f>MAX(0,R244*(1-INDEX($B$11:$B$63,7))*(1-E244))</f>
        <v/>
      </c>
      <c r="T245" s="15">
        <f>MAX(0,S244*(1-INDEX($B$11:$B$63,8))*(1-E244))</f>
        <v/>
      </c>
      <c r="U245" s="15">
        <f>MAX(0,T244*(1-INDEX($B$11:$B$63,9))*(1-E244))</f>
        <v/>
      </c>
      <c r="V245" s="15">
        <f>MAX(0,U244*(1-INDEX($B$11:$B$63,10))*(1-E244))</f>
        <v/>
      </c>
      <c r="W245" s="15">
        <f>MAX(0,V244*(1-INDEX($B$11:$B$63,11))*(1-E244))</f>
        <v/>
      </c>
      <c r="X245" s="15">
        <f>MAX(0,W244*(1-INDEX($B$11:$B$63,12))*(1-E244))</f>
        <v/>
      </c>
      <c r="Y245" s="15">
        <f>MAX(0,X244*(1-INDEX($B$11:$B$63,13))*(1-E244))</f>
        <v/>
      </c>
      <c r="Z245" s="15">
        <f>MAX(0,Y244*(1-INDEX($B$11:$B$63,14))*(1-E244))</f>
        <v/>
      </c>
      <c r="AA245" s="15">
        <f>MAX(0,Z244*(1-INDEX($B$11:$B$63,15))*(1-E244))</f>
        <v/>
      </c>
      <c r="AB245" s="15">
        <f>MAX(0,AA244*(1-INDEX($B$11:$B$63,16))*(1-E244))</f>
        <v/>
      </c>
      <c r="AC245" s="15">
        <f>MAX(0,AB244*(1-INDEX($B$11:$B$63,17))*(1-E244))</f>
        <v/>
      </c>
      <c r="AD245" s="15">
        <f>MAX(0,AC244*(1-INDEX($B$11:$B$63,18))*(1-E244))</f>
        <v/>
      </c>
      <c r="AE245" s="15">
        <f>MAX(0,AD244*(1-INDEX($B$11:$B$63,19))*(1-E244))</f>
        <v/>
      </c>
      <c r="AF245" s="15">
        <f>MAX(0,AE244*(1-INDEX($B$11:$B$63,20))*(1-E244))</f>
        <v/>
      </c>
      <c r="AG245" s="15">
        <f>MAX(0,AF244*(1-INDEX($B$11:$B$63,21))*(1-E244))</f>
        <v/>
      </c>
      <c r="AH245" s="15">
        <f>MAX(0,AG244*(1-INDEX($B$11:$B$63,22))*(1-E244))</f>
        <v/>
      </c>
      <c r="AI245" s="15">
        <f>MAX(0,AH244*(1-INDEX($B$11:$B$63,23))*(1-E244))</f>
        <v/>
      </c>
      <c r="AJ245" s="15">
        <f>MAX(0,AI244*(1-INDEX($B$11:$B$63,24))*(1-E244))</f>
        <v/>
      </c>
      <c r="AK245" s="15">
        <f>MAX(0,AJ244*(1-INDEX($B$11:$B$63,25))*(1-E244))</f>
        <v/>
      </c>
      <c r="AL245" s="15">
        <f>MAX(0,AK244*(1-INDEX($B$11:$B$63,26))*(1-E244))</f>
        <v/>
      </c>
      <c r="AM245" s="15">
        <f>MAX(0,AL244*(1-INDEX($B$11:$B$63,27))*(1-E244))</f>
        <v/>
      </c>
      <c r="AN245" s="15">
        <f>MAX(0,AM244*(1-INDEX($B$11:$B$63,28))*(1-E244))</f>
        <v/>
      </c>
      <c r="AO245" s="15">
        <f>MAX(0,AN244*(1-INDEX($B$11:$B$63,29))*(1-E244))</f>
        <v/>
      </c>
      <c r="AP245" s="15">
        <f>MAX(0,AO244*(1-INDEX($B$11:$B$63,30))*(1-E244))</f>
        <v/>
      </c>
      <c r="AQ245" s="15">
        <f>MAX(0,AP244*(1-INDEX($B$11:$B$63,31))*(1-E244))</f>
        <v/>
      </c>
      <c r="AR245" s="15">
        <f>MAX(0,AQ244*(1-INDEX($B$11:$B$63,32))*(1-E244))</f>
        <v/>
      </c>
      <c r="AS245" s="15">
        <f>MAX(0,AR244*(1-INDEX($B$11:$B$63,33))*(1-E244))</f>
        <v/>
      </c>
      <c r="AT245" s="15">
        <f>MAX(0,AS244*(1-INDEX($B$11:$B$63,34))*(1-E244))</f>
        <v/>
      </c>
      <c r="AU245" s="15">
        <f>MAX(0,AT244*(1-INDEX($B$11:$B$63,35))*(1-E244))</f>
        <v/>
      </c>
      <c r="AV245" s="15">
        <f>MAX(0,AU244*(1-INDEX($B$11:$B$63,36))*(1-E244))</f>
        <v/>
      </c>
      <c r="AW245" s="15">
        <f>MAX(0,AV244*(1-INDEX($B$11:$B$63,37))*(1-E244))</f>
        <v/>
      </c>
      <c r="AX245" s="15">
        <f>MAX(0,AW244*(1-INDEX($B$11:$B$63,38))*(1-E244))</f>
        <v/>
      </c>
      <c r="AY245" s="15">
        <f>MAX(0,AX244*(1-INDEX($B$11:$B$63,39))*(1-E244))</f>
        <v/>
      </c>
      <c r="AZ245" s="15">
        <f>MAX(0,AY244*(1-INDEX($B$11:$B$63,40))*(1-E244))</f>
        <v/>
      </c>
      <c r="BA245" s="15">
        <f>MAX(0,AZ244*(1-INDEX($B$11:$B$63,41))*(1-E244))</f>
        <v/>
      </c>
      <c r="BB245" s="15">
        <f>MAX(0,BA244*(1-INDEX($B$11:$B$63,42))*(1-E244))</f>
        <v/>
      </c>
      <c r="BC245" s="15">
        <f>MAX(0,BB244*(1-INDEX($B$11:$B$63,43))*(1-E244))</f>
        <v/>
      </c>
      <c r="BD245" s="15">
        <f>MAX(0,BC244*(1-INDEX($B$11:$B$63,44))*(1-E244))</f>
        <v/>
      </c>
      <c r="BE245" s="15">
        <f>MAX(0,BD244*(1-INDEX($B$11:$B$63,45))*(1-E244))</f>
        <v/>
      </c>
      <c r="BF245" s="15">
        <f>MAX(0,BE244*(1-INDEX($B$11:$B$63,46))*(1-E244))</f>
        <v/>
      </c>
      <c r="BG245" s="15">
        <f>MAX(0,BF244*(1-INDEX($B$11:$B$63,47))*(1-E244))</f>
        <v/>
      </c>
      <c r="BH245" s="15">
        <f>MAX(0,BG244*(1-INDEX($B$11:$B$63,48))*(1-E244))</f>
        <v/>
      </c>
      <c r="BI245" s="15">
        <f>MAX(0,BH244*(1-INDEX($B$11:$B$63,49))*(1-E244))</f>
        <v/>
      </c>
      <c r="BJ245" s="15">
        <f>MAX(0,BI244*(1-INDEX($B$11:$B$63,50))*(1-E244))</f>
        <v/>
      </c>
      <c r="BK245" s="15">
        <f>MAX(0,BJ244*(1-INDEX($B$11:$B$63,51))*(1-E244))</f>
        <v/>
      </c>
      <c r="BL245" s="15">
        <f>MAX(0,(BL244+BK244)*(1-INDEX($B$11:$B$63,53))*(1-E244))</f>
        <v/>
      </c>
    </row>
    <row r="246">
      <c r="A246" s="55" t="n">
        <v>180</v>
      </c>
      <c r="B246" s="15">
        <f>IF(A246&gt;Inputs!$C$62,"",SUM(M246:BK246))</f>
        <v/>
      </c>
      <c r="C246" s="15">
        <f>IF(A246&gt;Inputs!$C$62,"",INDEX(Trajectory!$C$23:$C$2000,A246))</f>
        <v/>
      </c>
      <c r="D246" s="15">
        <f>IF(A246&gt;Inputs!$C$62,"",SUM(L246:BK246))</f>
        <v/>
      </c>
      <c r="E246" s="12">
        <f>IF(A246&gt;Inputs!$C$62,"",INDEX(Trajectory!$AG$23:$AG$2000,A246))</f>
        <v/>
      </c>
      <c r="F246" s="12">
        <f>IF(D246=0,0,SUMPRODUCT(L246:BK246,$B$11:$B$63)/D246)</f>
        <v/>
      </c>
      <c r="G246" s="12">
        <f>IF(D246=0,0,MIN(0.95,1-(1-F246)*(1-E246)))</f>
        <v/>
      </c>
      <c r="H246" s="15">
        <f>IF(D246=0,0,D246*G246)</f>
        <v/>
      </c>
      <c r="I246" s="15">
        <f>IF(D246=0,0,D246-H246)</f>
        <v/>
      </c>
      <c r="L246" s="15">
        <f>C246</f>
        <v/>
      </c>
      <c r="M246" s="15">
        <f>MAX(0,L245*(1-INDEX($B$11:$B$63,1))*(1-E245))</f>
        <v/>
      </c>
      <c r="N246" s="15">
        <f>MAX(0,M245*(1-INDEX($B$11:$B$63,2))*(1-E245))</f>
        <v/>
      </c>
      <c r="O246" s="15">
        <f>MAX(0,N245*(1-INDEX($B$11:$B$63,3))*(1-E245))</f>
        <v/>
      </c>
      <c r="P246" s="15">
        <f>MAX(0,O245*(1-INDEX($B$11:$B$63,4))*(1-E245))</f>
        <v/>
      </c>
      <c r="Q246" s="15">
        <f>MAX(0,P245*(1-INDEX($B$11:$B$63,5))*(1-E245))</f>
        <v/>
      </c>
      <c r="R246" s="15">
        <f>MAX(0,Q245*(1-INDEX($B$11:$B$63,6))*(1-E245))</f>
        <v/>
      </c>
      <c r="S246" s="15">
        <f>MAX(0,R245*(1-INDEX($B$11:$B$63,7))*(1-E245))</f>
        <v/>
      </c>
      <c r="T246" s="15">
        <f>MAX(0,S245*(1-INDEX($B$11:$B$63,8))*(1-E245))</f>
        <v/>
      </c>
      <c r="U246" s="15">
        <f>MAX(0,T245*(1-INDEX($B$11:$B$63,9))*(1-E245))</f>
        <v/>
      </c>
      <c r="V246" s="15">
        <f>MAX(0,U245*(1-INDEX($B$11:$B$63,10))*(1-E245))</f>
        <v/>
      </c>
      <c r="W246" s="15">
        <f>MAX(0,V245*(1-INDEX($B$11:$B$63,11))*(1-E245))</f>
        <v/>
      </c>
      <c r="X246" s="15">
        <f>MAX(0,W245*(1-INDEX($B$11:$B$63,12))*(1-E245))</f>
        <v/>
      </c>
      <c r="Y246" s="15">
        <f>MAX(0,X245*(1-INDEX($B$11:$B$63,13))*(1-E245))</f>
        <v/>
      </c>
      <c r="Z246" s="15">
        <f>MAX(0,Y245*(1-INDEX($B$11:$B$63,14))*(1-E245))</f>
        <v/>
      </c>
      <c r="AA246" s="15">
        <f>MAX(0,Z245*(1-INDEX($B$11:$B$63,15))*(1-E245))</f>
        <v/>
      </c>
      <c r="AB246" s="15">
        <f>MAX(0,AA245*(1-INDEX($B$11:$B$63,16))*(1-E245))</f>
        <v/>
      </c>
      <c r="AC246" s="15">
        <f>MAX(0,AB245*(1-INDEX($B$11:$B$63,17))*(1-E245))</f>
        <v/>
      </c>
      <c r="AD246" s="15">
        <f>MAX(0,AC245*(1-INDEX($B$11:$B$63,18))*(1-E245))</f>
        <v/>
      </c>
      <c r="AE246" s="15">
        <f>MAX(0,AD245*(1-INDEX($B$11:$B$63,19))*(1-E245))</f>
        <v/>
      </c>
      <c r="AF246" s="15">
        <f>MAX(0,AE245*(1-INDEX($B$11:$B$63,20))*(1-E245))</f>
        <v/>
      </c>
      <c r="AG246" s="15">
        <f>MAX(0,AF245*(1-INDEX($B$11:$B$63,21))*(1-E245))</f>
        <v/>
      </c>
      <c r="AH246" s="15">
        <f>MAX(0,AG245*(1-INDEX($B$11:$B$63,22))*(1-E245))</f>
        <v/>
      </c>
      <c r="AI246" s="15">
        <f>MAX(0,AH245*(1-INDEX($B$11:$B$63,23))*(1-E245))</f>
        <v/>
      </c>
      <c r="AJ246" s="15">
        <f>MAX(0,AI245*(1-INDEX($B$11:$B$63,24))*(1-E245))</f>
        <v/>
      </c>
      <c r="AK246" s="15">
        <f>MAX(0,AJ245*(1-INDEX($B$11:$B$63,25))*(1-E245))</f>
        <v/>
      </c>
      <c r="AL246" s="15">
        <f>MAX(0,AK245*(1-INDEX($B$11:$B$63,26))*(1-E245))</f>
        <v/>
      </c>
      <c r="AM246" s="15">
        <f>MAX(0,AL245*(1-INDEX($B$11:$B$63,27))*(1-E245))</f>
        <v/>
      </c>
      <c r="AN246" s="15">
        <f>MAX(0,AM245*(1-INDEX($B$11:$B$63,28))*(1-E245))</f>
        <v/>
      </c>
      <c r="AO246" s="15">
        <f>MAX(0,AN245*(1-INDEX($B$11:$B$63,29))*(1-E245))</f>
        <v/>
      </c>
      <c r="AP246" s="15">
        <f>MAX(0,AO245*(1-INDEX($B$11:$B$63,30))*(1-E245))</f>
        <v/>
      </c>
      <c r="AQ246" s="15">
        <f>MAX(0,AP245*(1-INDEX($B$11:$B$63,31))*(1-E245))</f>
        <v/>
      </c>
      <c r="AR246" s="15">
        <f>MAX(0,AQ245*(1-INDEX($B$11:$B$63,32))*(1-E245))</f>
        <v/>
      </c>
      <c r="AS246" s="15">
        <f>MAX(0,AR245*(1-INDEX($B$11:$B$63,33))*(1-E245))</f>
        <v/>
      </c>
      <c r="AT246" s="15">
        <f>MAX(0,AS245*(1-INDEX($B$11:$B$63,34))*(1-E245))</f>
        <v/>
      </c>
      <c r="AU246" s="15">
        <f>MAX(0,AT245*(1-INDEX($B$11:$B$63,35))*(1-E245))</f>
        <v/>
      </c>
      <c r="AV246" s="15">
        <f>MAX(0,AU245*(1-INDEX($B$11:$B$63,36))*(1-E245))</f>
        <v/>
      </c>
      <c r="AW246" s="15">
        <f>MAX(0,AV245*(1-INDEX($B$11:$B$63,37))*(1-E245))</f>
        <v/>
      </c>
      <c r="AX246" s="15">
        <f>MAX(0,AW245*(1-INDEX($B$11:$B$63,38))*(1-E245))</f>
        <v/>
      </c>
      <c r="AY246" s="15">
        <f>MAX(0,AX245*(1-INDEX($B$11:$B$63,39))*(1-E245))</f>
        <v/>
      </c>
      <c r="AZ246" s="15">
        <f>MAX(0,AY245*(1-INDEX($B$11:$B$63,40))*(1-E245))</f>
        <v/>
      </c>
      <c r="BA246" s="15">
        <f>MAX(0,AZ245*(1-INDEX($B$11:$B$63,41))*(1-E245))</f>
        <v/>
      </c>
      <c r="BB246" s="15">
        <f>MAX(0,BA245*(1-INDEX($B$11:$B$63,42))*(1-E245))</f>
        <v/>
      </c>
      <c r="BC246" s="15">
        <f>MAX(0,BB245*(1-INDEX($B$11:$B$63,43))*(1-E245))</f>
        <v/>
      </c>
      <c r="BD246" s="15">
        <f>MAX(0,BC245*(1-INDEX($B$11:$B$63,44))*(1-E245))</f>
        <v/>
      </c>
      <c r="BE246" s="15">
        <f>MAX(0,BD245*(1-INDEX($B$11:$B$63,45))*(1-E245))</f>
        <v/>
      </c>
      <c r="BF246" s="15">
        <f>MAX(0,BE245*(1-INDEX($B$11:$B$63,46))*(1-E245))</f>
        <v/>
      </c>
      <c r="BG246" s="15">
        <f>MAX(0,BF245*(1-INDEX($B$11:$B$63,47))*(1-E245))</f>
        <v/>
      </c>
      <c r="BH246" s="15">
        <f>MAX(0,BG245*(1-INDEX($B$11:$B$63,48))*(1-E245))</f>
        <v/>
      </c>
      <c r="BI246" s="15">
        <f>MAX(0,BH245*(1-INDEX($B$11:$B$63,49))*(1-E245))</f>
        <v/>
      </c>
      <c r="BJ246" s="15">
        <f>MAX(0,BI245*(1-INDEX($B$11:$B$63,50))*(1-E245))</f>
        <v/>
      </c>
      <c r="BK246" s="15">
        <f>MAX(0,BJ245*(1-INDEX($B$11:$B$63,51))*(1-E245))</f>
        <v/>
      </c>
      <c r="BL246" s="15">
        <f>MAX(0,(BL245+BK245)*(1-INDEX($B$11:$B$63,53))*(1-E245))</f>
        <v/>
      </c>
    </row>
    <row r="247">
      <c r="A247" s="55" t="n">
        <v>181</v>
      </c>
      <c r="B247" s="15">
        <f>IF(A247&gt;Inputs!$C$62,"",SUM(M247:BK247))</f>
        <v/>
      </c>
      <c r="C247" s="15">
        <f>IF(A247&gt;Inputs!$C$62,"",INDEX(Trajectory!$C$23:$C$2000,A247))</f>
        <v/>
      </c>
      <c r="D247" s="15">
        <f>IF(A247&gt;Inputs!$C$62,"",SUM(L247:BK247))</f>
        <v/>
      </c>
      <c r="E247" s="12">
        <f>IF(A247&gt;Inputs!$C$62,"",INDEX(Trajectory!$AG$23:$AG$2000,A247))</f>
        <v/>
      </c>
      <c r="F247" s="12">
        <f>IF(D247=0,0,SUMPRODUCT(L247:BK247,$B$11:$B$63)/D247)</f>
        <v/>
      </c>
      <c r="G247" s="12">
        <f>IF(D247=0,0,MIN(0.95,1-(1-F247)*(1-E247)))</f>
        <v/>
      </c>
      <c r="H247" s="15">
        <f>IF(D247=0,0,D247*G247)</f>
        <v/>
      </c>
      <c r="I247" s="15">
        <f>IF(D247=0,0,D247-H247)</f>
        <v/>
      </c>
      <c r="L247" s="15">
        <f>C247</f>
        <v/>
      </c>
      <c r="M247" s="15">
        <f>MAX(0,L246*(1-INDEX($B$11:$B$63,1))*(1-E246))</f>
        <v/>
      </c>
      <c r="N247" s="15">
        <f>MAX(0,M246*(1-INDEX($B$11:$B$63,2))*(1-E246))</f>
        <v/>
      </c>
      <c r="O247" s="15">
        <f>MAX(0,N246*(1-INDEX($B$11:$B$63,3))*(1-E246))</f>
        <v/>
      </c>
      <c r="P247" s="15">
        <f>MAX(0,O246*(1-INDEX($B$11:$B$63,4))*(1-E246))</f>
        <v/>
      </c>
      <c r="Q247" s="15">
        <f>MAX(0,P246*(1-INDEX($B$11:$B$63,5))*(1-E246))</f>
        <v/>
      </c>
      <c r="R247" s="15">
        <f>MAX(0,Q246*(1-INDEX($B$11:$B$63,6))*(1-E246))</f>
        <v/>
      </c>
      <c r="S247" s="15">
        <f>MAX(0,R246*(1-INDEX($B$11:$B$63,7))*(1-E246))</f>
        <v/>
      </c>
      <c r="T247" s="15">
        <f>MAX(0,S246*(1-INDEX($B$11:$B$63,8))*(1-E246))</f>
        <v/>
      </c>
      <c r="U247" s="15">
        <f>MAX(0,T246*(1-INDEX($B$11:$B$63,9))*(1-E246))</f>
        <v/>
      </c>
      <c r="V247" s="15">
        <f>MAX(0,U246*(1-INDEX($B$11:$B$63,10))*(1-E246))</f>
        <v/>
      </c>
      <c r="W247" s="15">
        <f>MAX(0,V246*(1-INDEX($B$11:$B$63,11))*(1-E246))</f>
        <v/>
      </c>
      <c r="X247" s="15">
        <f>MAX(0,W246*(1-INDEX($B$11:$B$63,12))*(1-E246))</f>
        <v/>
      </c>
      <c r="Y247" s="15">
        <f>MAX(0,X246*(1-INDEX($B$11:$B$63,13))*(1-E246))</f>
        <v/>
      </c>
      <c r="Z247" s="15">
        <f>MAX(0,Y246*(1-INDEX($B$11:$B$63,14))*(1-E246))</f>
        <v/>
      </c>
      <c r="AA247" s="15">
        <f>MAX(0,Z246*(1-INDEX($B$11:$B$63,15))*(1-E246))</f>
        <v/>
      </c>
      <c r="AB247" s="15">
        <f>MAX(0,AA246*(1-INDEX($B$11:$B$63,16))*(1-E246))</f>
        <v/>
      </c>
      <c r="AC247" s="15">
        <f>MAX(0,AB246*(1-INDEX($B$11:$B$63,17))*(1-E246))</f>
        <v/>
      </c>
      <c r="AD247" s="15">
        <f>MAX(0,AC246*(1-INDEX($B$11:$B$63,18))*(1-E246))</f>
        <v/>
      </c>
      <c r="AE247" s="15">
        <f>MAX(0,AD246*(1-INDEX($B$11:$B$63,19))*(1-E246))</f>
        <v/>
      </c>
      <c r="AF247" s="15">
        <f>MAX(0,AE246*(1-INDEX($B$11:$B$63,20))*(1-E246))</f>
        <v/>
      </c>
      <c r="AG247" s="15">
        <f>MAX(0,AF246*(1-INDEX($B$11:$B$63,21))*(1-E246))</f>
        <v/>
      </c>
      <c r="AH247" s="15">
        <f>MAX(0,AG246*(1-INDEX($B$11:$B$63,22))*(1-E246))</f>
        <v/>
      </c>
      <c r="AI247" s="15">
        <f>MAX(0,AH246*(1-INDEX($B$11:$B$63,23))*(1-E246))</f>
        <v/>
      </c>
      <c r="AJ247" s="15">
        <f>MAX(0,AI246*(1-INDEX($B$11:$B$63,24))*(1-E246))</f>
        <v/>
      </c>
      <c r="AK247" s="15">
        <f>MAX(0,AJ246*(1-INDEX($B$11:$B$63,25))*(1-E246))</f>
        <v/>
      </c>
      <c r="AL247" s="15">
        <f>MAX(0,AK246*(1-INDEX($B$11:$B$63,26))*(1-E246))</f>
        <v/>
      </c>
      <c r="AM247" s="15">
        <f>MAX(0,AL246*(1-INDEX($B$11:$B$63,27))*(1-E246))</f>
        <v/>
      </c>
      <c r="AN247" s="15">
        <f>MAX(0,AM246*(1-INDEX($B$11:$B$63,28))*(1-E246))</f>
        <v/>
      </c>
      <c r="AO247" s="15">
        <f>MAX(0,AN246*(1-INDEX($B$11:$B$63,29))*(1-E246))</f>
        <v/>
      </c>
      <c r="AP247" s="15">
        <f>MAX(0,AO246*(1-INDEX($B$11:$B$63,30))*(1-E246))</f>
        <v/>
      </c>
      <c r="AQ247" s="15">
        <f>MAX(0,AP246*(1-INDEX($B$11:$B$63,31))*(1-E246))</f>
        <v/>
      </c>
      <c r="AR247" s="15">
        <f>MAX(0,AQ246*(1-INDEX($B$11:$B$63,32))*(1-E246))</f>
        <v/>
      </c>
      <c r="AS247" s="15">
        <f>MAX(0,AR246*(1-INDEX($B$11:$B$63,33))*(1-E246))</f>
        <v/>
      </c>
      <c r="AT247" s="15">
        <f>MAX(0,AS246*(1-INDEX($B$11:$B$63,34))*(1-E246))</f>
        <v/>
      </c>
      <c r="AU247" s="15">
        <f>MAX(0,AT246*(1-INDEX($B$11:$B$63,35))*(1-E246))</f>
        <v/>
      </c>
      <c r="AV247" s="15">
        <f>MAX(0,AU246*(1-INDEX($B$11:$B$63,36))*(1-E246))</f>
        <v/>
      </c>
      <c r="AW247" s="15">
        <f>MAX(0,AV246*(1-INDEX($B$11:$B$63,37))*(1-E246))</f>
        <v/>
      </c>
      <c r="AX247" s="15">
        <f>MAX(0,AW246*(1-INDEX($B$11:$B$63,38))*(1-E246))</f>
        <v/>
      </c>
      <c r="AY247" s="15">
        <f>MAX(0,AX246*(1-INDEX($B$11:$B$63,39))*(1-E246))</f>
        <v/>
      </c>
      <c r="AZ247" s="15">
        <f>MAX(0,AY246*(1-INDEX($B$11:$B$63,40))*(1-E246))</f>
        <v/>
      </c>
      <c r="BA247" s="15">
        <f>MAX(0,AZ246*(1-INDEX($B$11:$B$63,41))*(1-E246))</f>
        <v/>
      </c>
      <c r="BB247" s="15">
        <f>MAX(0,BA246*(1-INDEX($B$11:$B$63,42))*(1-E246))</f>
        <v/>
      </c>
      <c r="BC247" s="15">
        <f>MAX(0,BB246*(1-INDEX($B$11:$B$63,43))*(1-E246))</f>
        <v/>
      </c>
      <c r="BD247" s="15">
        <f>MAX(0,BC246*(1-INDEX($B$11:$B$63,44))*(1-E246))</f>
        <v/>
      </c>
      <c r="BE247" s="15">
        <f>MAX(0,BD246*(1-INDEX($B$11:$B$63,45))*(1-E246))</f>
        <v/>
      </c>
      <c r="BF247" s="15">
        <f>MAX(0,BE246*(1-INDEX($B$11:$B$63,46))*(1-E246))</f>
        <v/>
      </c>
      <c r="BG247" s="15">
        <f>MAX(0,BF246*(1-INDEX($B$11:$B$63,47))*(1-E246))</f>
        <v/>
      </c>
      <c r="BH247" s="15">
        <f>MAX(0,BG246*(1-INDEX($B$11:$B$63,48))*(1-E246))</f>
        <v/>
      </c>
      <c r="BI247" s="15">
        <f>MAX(0,BH246*(1-INDEX($B$11:$B$63,49))*(1-E246))</f>
        <v/>
      </c>
      <c r="BJ247" s="15">
        <f>MAX(0,BI246*(1-INDEX($B$11:$B$63,50))*(1-E246))</f>
        <v/>
      </c>
      <c r="BK247" s="15">
        <f>MAX(0,BJ246*(1-INDEX($B$11:$B$63,51))*(1-E246))</f>
        <v/>
      </c>
      <c r="BL247" s="15">
        <f>MAX(0,(BL246+BK246)*(1-INDEX($B$11:$B$63,53))*(1-E246))</f>
        <v/>
      </c>
    </row>
    <row r="248">
      <c r="A248" s="55" t="n">
        <v>182</v>
      </c>
      <c r="B248" s="15">
        <f>IF(A248&gt;Inputs!$C$62,"",SUM(M248:BK248))</f>
        <v/>
      </c>
      <c r="C248" s="15">
        <f>IF(A248&gt;Inputs!$C$62,"",INDEX(Trajectory!$C$23:$C$2000,A248))</f>
        <v/>
      </c>
      <c r="D248" s="15">
        <f>IF(A248&gt;Inputs!$C$62,"",SUM(L248:BK248))</f>
        <v/>
      </c>
      <c r="E248" s="12">
        <f>IF(A248&gt;Inputs!$C$62,"",INDEX(Trajectory!$AG$23:$AG$2000,A248))</f>
        <v/>
      </c>
      <c r="F248" s="12">
        <f>IF(D248=0,0,SUMPRODUCT(L248:BK248,$B$11:$B$63)/D248)</f>
        <v/>
      </c>
      <c r="G248" s="12">
        <f>IF(D248=0,0,MIN(0.95,1-(1-F248)*(1-E248)))</f>
        <v/>
      </c>
      <c r="H248" s="15">
        <f>IF(D248=0,0,D248*G248)</f>
        <v/>
      </c>
      <c r="I248" s="15">
        <f>IF(D248=0,0,D248-H248)</f>
        <v/>
      </c>
      <c r="L248" s="15">
        <f>C248</f>
        <v/>
      </c>
      <c r="M248" s="15">
        <f>MAX(0,L247*(1-INDEX($B$11:$B$63,1))*(1-E247))</f>
        <v/>
      </c>
      <c r="N248" s="15">
        <f>MAX(0,M247*(1-INDEX($B$11:$B$63,2))*(1-E247))</f>
        <v/>
      </c>
      <c r="O248" s="15">
        <f>MAX(0,N247*(1-INDEX($B$11:$B$63,3))*(1-E247))</f>
        <v/>
      </c>
      <c r="P248" s="15">
        <f>MAX(0,O247*(1-INDEX($B$11:$B$63,4))*(1-E247))</f>
        <v/>
      </c>
      <c r="Q248" s="15">
        <f>MAX(0,P247*(1-INDEX($B$11:$B$63,5))*(1-E247))</f>
        <v/>
      </c>
      <c r="R248" s="15">
        <f>MAX(0,Q247*(1-INDEX($B$11:$B$63,6))*(1-E247))</f>
        <v/>
      </c>
      <c r="S248" s="15">
        <f>MAX(0,R247*(1-INDEX($B$11:$B$63,7))*(1-E247))</f>
        <v/>
      </c>
      <c r="T248" s="15">
        <f>MAX(0,S247*(1-INDEX($B$11:$B$63,8))*(1-E247))</f>
        <v/>
      </c>
      <c r="U248" s="15">
        <f>MAX(0,T247*(1-INDEX($B$11:$B$63,9))*(1-E247))</f>
        <v/>
      </c>
      <c r="V248" s="15">
        <f>MAX(0,U247*(1-INDEX($B$11:$B$63,10))*(1-E247))</f>
        <v/>
      </c>
      <c r="W248" s="15">
        <f>MAX(0,V247*(1-INDEX($B$11:$B$63,11))*(1-E247))</f>
        <v/>
      </c>
      <c r="X248" s="15">
        <f>MAX(0,W247*(1-INDEX($B$11:$B$63,12))*(1-E247))</f>
        <v/>
      </c>
      <c r="Y248" s="15">
        <f>MAX(0,X247*(1-INDEX($B$11:$B$63,13))*(1-E247))</f>
        <v/>
      </c>
      <c r="Z248" s="15">
        <f>MAX(0,Y247*(1-INDEX($B$11:$B$63,14))*(1-E247))</f>
        <v/>
      </c>
      <c r="AA248" s="15">
        <f>MAX(0,Z247*(1-INDEX($B$11:$B$63,15))*(1-E247))</f>
        <v/>
      </c>
      <c r="AB248" s="15">
        <f>MAX(0,AA247*(1-INDEX($B$11:$B$63,16))*(1-E247))</f>
        <v/>
      </c>
      <c r="AC248" s="15">
        <f>MAX(0,AB247*(1-INDEX($B$11:$B$63,17))*(1-E247))</f>
        <v/>
      </c>
      <c r="AD248" s="15">
        <f>MAX(0,AC247*(1-INDEX($B$11:$B$63,18))*(1-E247))</f>
        <v/>
      </c>
      <c r="AE248" s="15">
        <f>MAX(0,AD247*(1-INDEX($B$11:$B$63,19))*(1-E247))</f>
        <v/>
      </c>
      <c r="AF248" s="15">
        <f>MAX(0,AE247*(1-INDEX($B$11:$B$63,20))*(1-E247))</f>
        <v/>
      </c>
      <c r="AG248" s="15">
        <f>MAX(0,AF247*(1-INDEX($B$11:$B$63,21))*(1-E247))</f>
        <v/>
      </c>
      <c r="AH248" s="15">
        <f>MAX(0,AG247*(1-INDEX($B$11:$B$63,22))*(1-E247))</f>
        <v/>
      </c>
      <c r="AI248" s="15">
        <f>MAX(0,AH247*(1-INDEX($B$11:$B$63,23))*(1-E247))</f>
        <v/>
      </c>
      <c r="AJ248" s="15">
        <f>MAX(0,AI247*(1-INDEX($B$11:$B$63,24))*(1-E247))</f>
        <v/>
      </c>
      <c r="AK248" s="15">
        <f>MAX(0,AJ247*(1-INDEX($B$11:$B$63,25))*(1-E247))</f>
        <v/>
      </c>
      <c r="AL248" s="15">
        <f>MAX(0,AK247*(1-INDEX($B$11:$B$63,26))*(1-E247))</f>
        <v/>
      </c>
      <c r="AM248" s="15">
        <f>MAX(0,AL247*(1-INDEX($B$11:$B$63,27))*(1-E247))</f>
        <v/>
      </c>
      <c r="AN248" s="15">
        <f>MAX(0,AM247*(1-INDEX($B$11:$B$63,28))*(1-E247))</f>
        <v/>
      </c>
      <c r="AO248" s="15">
        <f>MAX(0,AN247*(1-INDEX($B$11:$B$63,29))*(1-E247))</f>
        <v/>
      </c>
      <c r="AP248" s="15">
        <f>MAX(0,AO247*(1-INDEX($B$11:$B$63,30))*(1-E247))</f>
        <v/>
      </c>
      <c r="AQ248" s="15">
        <f>MAX(0,AP247*(1-INDEX($B$11:$B$63,31))*(1-E247))</f>
        <v/>
      </c>
      <c r="AR248" s="15">
        <f>MAX(0,AQ247*(1-INDEX($B$11:$B$63,32))*(1-E247))</f>
        <v/>
      </c>
      <c r="AS248" s="15">
        <f>MAX(0,AR247*(1-INDEX($B$11:$B$63,33))*(1-E247))</f>
        <v/>
      </c>
      <c r="AT248" s="15">
        <f>MAX(0,AS247*(1-INDEX($B$11:$B$63,34))*(1-E247))</f>
        <v/>
      </c>
      <c r="AU248" s="15">
        <f>MAX(0,AT247*(1-INDEX($B$11:$B$63,35))*(1-E247))</f>
        <v/>
      </c>
      <c r="AV248" s="15">
        <f>MAX(0,AU247*(1-INDEX($B$11:$B$63,36))*(1-E247))</f>
        <v/>
      </c>
      <c r="AW248" s="15">
        <f>MAX(0,AV247*(1-INDEX($B$11:$B$63,37))*(1-E247))</f>
        <v/>
      </c>
      <c r="AX248" s="15">
        <f>MAX(0,AW247*(1-INDEX($B$11:$B$63,38))*(1-E247))</f>
        <v/>
      </c>
      <c r="AY248" s="15">
        <f>MAX(0,AX247*(1-INDEX($B$11:$B$63,39))*(1-E247))</f>
        <v/>
      </c>
      <c r="AZ248" s="15">
        <f>MAX(0,AY247*(1-INDEX($B$11:$B$63,40))*(1-E247))</f>
        <v/>
      </c>
      <c r="BA248" s="15">
        <f>MAX(0,AZ247*(1-INDEX($B$11:$B$63,41))*(1-E247))</f>
        <v/>
      </c>
      <c r="BB248" s="15">
        <f>MAX(0,BA247*(1-INDEX($B$11:$B$63,42))*(1-E247))</f>
        <v/>
      </c>
      <c r="BC248" s="15">
        <f>MAX(0,BB247*(1-INDEX($B$11:$B$63,43))*(1-E247))</f>
        <v/>
      </c>
      <c r="BD248" s="15">
        <f>MAX(0,BC247*(1-INDEX($B$11:$B$63,44))*(1-E247))</f>
        <v/>
      </c>
      <c r="BE248" s="15">
        <f>MAX(0,BD247*(1-INDEX($B$11:$B$63,45))*(1-E247))</f>
        <v/>
      </c>
      <c r="BF248" s="15">
        <f>MAX(0,BE247*(1-INDEX($B$11:$B$63,46))*(1-E247))</f>
        <v/>
      </c>
      <c r="BG248" s="15">
        <f>MAX(0,BF247*(1-INDEX($B$11:$B$63,47))*(1-E247))</f>
        <v/>
      </c>
      <c r="BH248" s="15">
        <f>MAX(0,BG247*(1-INDEX($B$11:$B$63,48))*(1-E247))</f>
        <v/>
      </c>
      <c r="BI248" s="15">
        <f>MAX(0,BH247*(1-INDEX($B$11:$B$63,49))*(1-E247))</f>
        <v/>
      </c>
      <c r="BJ248" s="15">
        <f>MAX(0,BI247*(1-INDEX($B$11:$B$63,50))*(1-E247))</f>
        <v/>
      </c>
      <c r="BK248" s="15">
        <f>MAX(0,BJ247*(1-INDEX($B$11:$B$63,51))*(1-E247))</f>
        <v/>
      </c>
      <c r="BL248" s="15">
        <f>MAX(0,(BL247+BK247)*(1-INDEX($B$11:$B$63,53))*(1-E247))</f>
        <v/>
      </c>
    </row>
    <row r="249">
      <c r="A249" s="55" t="n">
        <v>183</v>
      </c>
      <c r="B249" s="15">
        <f>IF(A249&gt;Inputs!$C$62,"",SUM(M249:BK249))</f>
        <v/>
      </c>
      <c r="C249" s="15">
        <f>IF(A249&gt;Inputs!$C$62,"",INDEX(Trajectory!$C$23:$C$2000,A249))</f>
        <v/>
      </c>
      <c r="D249" s="15">
        <f>IF(A249&gt;Inputs!$C$62,"",SUM(L249:BK249))</f>
        <v/>
      </c>
      <c r="E249" s="12">
        <f>IF(A249&gt;Inputs!$C$62,"",INDEX(Trajectory!$AG$23:$AG$2000,A249))</f>
        <v/>
      </c>
      <c r="F249" s="12">
        <f>IF(D249=0,0,SUMPRODUCT(L249:BK249,$B$11:$B$63)/D249)</f>
        <v/>
      </c>
      <c r="G249" s="12">
        <f>IF(D249=0,0,MIN(0.95,1-(1-F249)*(1-E249)))</f>
        <v/>
      </c>
      <c r="H249" s="15">
        <f>IF(D249=0,0,D249*G249)</f>
        <v/>
      </c>
      <c r="I249" s="15">
        <f>IF(D249=0,0,D249-H249)</f>
        <v/>
      </c>
      <c r="L249" s="15">
        <f>C249</f>
        <v/>
      </c>
      <c r="M249" s="15">
        <f>MAX(0,L248*(1-INDEX($B$11:$B$63,1))*(1-E248))</f>
        <v/>
      </c>
      <c r="N249" s="15">
        <f>MAX(0,M248*(1-INDEX($B$11:$B$63,2))*(1-E248))</f>
        <v/>
      </c>
      <c r="O249" s="15">
        <f>MAX(0,N248*(1-INDEX($B$11:$B$63,3))*(1-E248))</f>
        <v/>
      </c>
      <c r="P249" s="15">
        <f>MAX(0,O248*(1-INDEX($B$11:$B$63,4))*(1-E248))</f>
        <v/>
      </c>
      <c r="Q249" s="15">
        <f>MAX(0,P248*(1-INDEX($B$11:$B$63,5))*(1-E248))</f>
        <v/>
      </c>
      <c r="R249" s="15">
        <f>MAX(0,Q248*(1-INDEX($B$11:$B$63,6))*(1-E248))</f>
        <v/>
      </c>
      <c r="S249" s="15">
        <f>MAX(0,R248*(1-INDEX($B$11:$B$63,7))*(1-E248))</f>
        <v/>
      </c>
      <c r="T249" s="15">
        <f>MAX(0,S248*(1-INDEX($B$11:$B$63,8))*(1-E248))</f>
        <v/>
      </c>
      <c r="U249" s="15">
        <f>MAX(0,T248*(1-INDEX($B$11:$B$63,9))*(1-E248))</f>
        <v/>
      </c>
      <c r="V249" s="15">
        <f>MAX(0,U248*(1-INDEX($B$11:$B$63,10))*(1-E248))</f>
        <v/>
      </c>
      <c r="W249" s="15">
        <f>MAX(0,V248*(1-INDEX($B$11:$B$63,11))*(1-E248))</f>
        <v/>
      </c>
      <c r="X249" s="15">
        <f>MAX(0,W248*(1-INDEX($B$11:$B$63,12))*(1-E248))</f>
        <v/>
      </c>
      <c r="Y249" s="15">
        <f>MAX(0,X248*(1-INDEX($B$11:$B$63,13))*(1-E248))</f>
        <v/>
      </c>
      <c r="Z249" s="15">
        <f>MAX(0,Y248*(1-INDEX($B$11:$B$63,14))*(1-E248))</f>
        <v/>
      </c>
      <c r="AA249" s="15">
        <f>MAX(0,Z248*(1-INDEX($B$11:$B$63,15))*(1-E248))</f>
        <v/>
      </c>
      <c r="AB249" s="15">
        <f>MAX(0,AA248*(1-INDEX($B$11:$B$63,16))*(1-E248))</f>
        <v/>
      </c>
      <c r="AC249" s="15">
        <f>MAX(0,AB248*(1-INDEX($B$11:$B$63,17))*(1-E248))</f>
        <v/>
      </c>
      <c r="AD249" s="15">
        <f>MAX(0,AC248*(1-INDEX($B$11:$B$63,18))*(1-E248))</f>
        <v/>
      </c>
      <c r="AE249" s="15">
        <f>MAX(0,AD248*(1-INDEX($B$11:$B$63,19))*(1-E248))</f>
        <v/>
      </c>
      <c r="AF249" s="15">
        <f>MAX(0,AE248*(1-INDEX($B$11:$B$63,20))*(1-E248))</f>
        <v/>
      </c>
      <c r="AG249" s="15">
        <f>MAX(0,AF248*(1-INDEX($B$11:$B$63,21))*(1-E248))</f>
        <v/>
      </c>
      <c r="AH249" s="15">
        <f>MAX(0,AG248*(1-INDEX($B$11:$B$63,22))*(1-E248))</f>
        <v/>
      </c>
      <c r="AI249" s="15">
        <f>MAX(0,AH248*(1-INDEX($B$11:$B$63,23))*(1-E248))</f>
        <v/>
      </c>
      <c r="AJ249" s="15">
        <f>MAX(0,AI248*(1-INDEX($B$11:$B$63,24))*(1-E248))</f>
        <v/>
      </c>
      <c r="AK249" s="15">
        <f>MAX(0,AJ248*(1-INDEX($B$11:$B$63,25))*(1-E248))</f>
        <v/>
      </c>
      <c r="AL249" s="15">
        <f>MAX(0,AK248*(1-INDEX($B$11:$B$63,26))*(1-E248))</f>
        <v/>
      </c>
      <c r="AM249" s="15">
        <f>MAX(0,AL248*(1-INDEX($B$11:$B$63,27))*(1-E248))</f>
        <v/>
      </c>
      <c r="AN249" s="15">
        <f>MAX(0,AM248*(1-INDEX($B$11:$B$63,28))*(1-E248))</f>
        <v/>
      </c>
      <c r="AO249" s="15">
        <f>MAX(0,AN248*(1-INDEX($B$11:$B$63,29))*(1-E248))</f>
        <v/>
      </c>
      <c r="AP249" s="15">
        <f>MAX(0,AO248*(1-INDEX($B$11:$B$63,30))*(1-E248))</f>
        <v/>
      </c>
      <c r="AQ249" s="15">
        <f>MAX(0,AP248*(1-INDEX($B$11:$B$63,31))*(1-E248))</f>
        <v/>
      </c>
      <c r="AR249" s="15">
        <f>MAX(0,AQ248*(1-INDEX($B$11:$B$63,32))*(1-E248))</f>
        <v/>
      </c>
      <c r="AS249" s="15">
        <f>MAX(0,AR248*(1-INDEX($B$11:$B$63,33))*(1-E248))</f>
        <v/>
      </c>
      <c r="AT249" s="15">
        <f>MAX(0,AS248*(1-INDEX($B$11:$B$63,34))*(1-E248))</f>
        <v/>
      </c>
      <c r="AU249" s="15">
        <f>MAX(0,AT248*(1-INDEX($B$11:$B$63,35))*(1-E248))</f>
        <v/>
      </c>
      <c r="AV249" s="15">
        <f>MAX(0,AU248*(1-INDEX($B$11:$B$63,36))*(1-E248))</f>
        <v/>
      </c>
      <c r="AW249" s="15">
        <f>MAX(0,AV248*(1-INDEX($B$11:$B$63,37))*(1-E248))</f>
        <v/>
      </c>
      <c r="AX249" s="15">
        <f>MAX(0,AW248*(1-INDEX($B$11:$B$63,38))*(1-E248))</f>
        <v/>
      </c>
      <c r="AY249" s="15">
        <f>MAX(0,AX248*(1-INDEX($B$11:$B$63,39))*(1-E248))</f>
        <v/>
      </c>
      <c r="AZ249" s="15">
        <f>MAX(0,AY248*(1-INDEX($B$11:$B$63,40))*(1-E248))</f>
        <v/>
      </c>
      <c r="BA249" s="15">
        <f>MAX(0,AZ248*(1-INDEX($B$11:$B$63,41))*(1-E248))</f>
        <v/>
      </c>
      <c r="BB249" s="15">
        <f>MAX(0,BA248*(1-INDEX($B$11:$B$63,42))*(1-E248))</f>
        <v/>
      </c>
      <c r="BC249" s="15">
        <f>MAX(0,BB248*(1-INDEX($B$11:$B$63,43))*(1-E248))</f>
        <v/>
      </c>
      <c r="BD249" s="15">
        <f>MAX(0,BC248*(1-INDEX($B$11:$B$63,44))*(1-E248))</f>
        <v/>
      </c>
      <c r="BE249" s="15">
        <f>MAX(0,BD248*(1-INDEX($B$11:$B$63,45))*(1-E248))</f>
        <v/>
      </c>
      <c r="BF249" s="15">
        <f>MAX(0,BE248*(1-INDEX($B$11:$B$63,46))*(1-E248))</f>
        <v/>
      </c>
      <c r="BG249" s="15">
        <f>MAX(0,BF248*(1-INDEX($B$11:$B$63,47))*(1-E248))</f>
        <v/>
      </c>
      <c r="BH249" s="15">
        <f>MAX(0,BG248*(1-INDEX($B$11:$B$63,48))*(1-E248))</f>
        <v/>
      </c>
      <c r="BI249" s="15">
        <f>MAX(0,BH248*(1-INDEX($B$11:$B$63,49))*(1-E248))</f>
        <v/>
      </c>
      <c r="BJ249" s="15">
        <f>MAX(0,BI248*(1-INDEX($B$11:$B$63,50))*(1-E248))</f>
        <v/>
      </c>
      <c r="BK249" s="15">
        <f>MAX(0,BJ248*(1-INDEX($B$11:$B$63,51))*(1-E248))</f>
        <v/>
      </c>
      <c r="BL249" s="15">
        <f>MAX(0,(BL248+BK248)*(1-INDEX($B$11:$B$63,53))*(1-E248))</f>
        <v/>
      </c>
    </row>
    <row r="250">
      <c r="A250" s="55" t="n">
        <v>184</v>
      </c>
      <c r="B250" s="15">
        <f>IF(A250&gt;Inputs!$C$62,"",SUM(M250:BK250))</f>
        <v/>
      </c>
      <c r="C250" s="15">
        <f>IF(A250&gt;Inputs!$C$62,"",INDEX(Trajectory!$C$23:$C$2000,A250))</f>
        <v/>
      </c>
      <c r="D250" s="15">
        <f>IF(A250&gt;Inputs!$C$62,"",SUM(L250:BK250))</f>
        <v/>
      </c>
      <c r="E250" s="12">
        <f>IF(A250&gt;Inputs!$C$62,"",INDEX(Trajectory!$AG$23:$AG$2000,A250))</f>
        <v/>
      </c>
      <c r="F250" s="12">
        <f>IF(D250=0,0,SUMPRODUCT(L250:BK250,$B$11:$B$63)/D250)</f>
        <v/>
      </c>
      <c r="G250" s="12">
        <f>IF(D250=0,0,MIN(0.95,1-(1-F250)*(1-E250)))</f>
        <v/>
      </c>
      <c r="H250" s="15">
        <f>IF(D250=0,0,D250*G250)</f>
        <v/>
      </c>
      <c r="I250" s="15">
        <f>IF(D250=0,0,D250-H250)</f>
        <v/>
      </c>
      <c r="L250" s="15">
        <f>C250</f>
        <v/>
      </c>
      <c r="M250" s="15">
        <f>MAX(0,L249*(1-INDEX($B$11:$B$63,1))*(1-E249))</f>
        <v/>
      </c>
      <c r="N250" s="15">
        <f>MAX(0,M249*(1-INDEX($B$11:$B$63,2))*(1-E249))</f>
        <v/>
      </c>
      <c r="O250" s="15">
        <f>MAX(0,N249*(1-INDEX($B$11:$B$63,3))*(1-E249))</f>
        <v/>
      </c>
      <c r="P250" s="15">
        <f>MAX(0,O249*(1-INDEX($B$11:$B$63,4))*(1-E249))</f>
        <v/>
      </c>
      <c r="Q250" s="15">
        <f>MAX(0,P249*(1-INDEX($B$11:$B$63,5))*(1-E249))</f>
        <v/>
      </c>
      <c r="R250" s="15">
        <f>MAX(0,Q249*(1-INDEX($B$11:$B$63,6))*(1-E249))</f>
        <v/>
      </c>
      <c r="S250" s="15">
        <f>MAX(0,R249*(1-INDEX($B$11:$B$63,7))*(1-E249))</f>
        <v/>
      </c>
      <c r="T250" s="15">
        <f>MAX(0,S249*(1-INDEX($B$11:$B$63,8))*(1-E249))</f>
        <v/>
      </c>
      <c r="U250" s="15">
        <f>MAX(0,T249*(1-INDEX($B$11:$B$63,9))*(1-E249))</f>
        <v/>
      </c>
      <c r="V250" s="15">
        <f>MAX(0,U249*(1-INDEX($B$11:$B$63,10))*(1-E249))</f>
        <v/>
      </c>
      <c r="W250" s="15">
        <f>MAX(0,V249*(1-INDEX($B$11:$B$63,11))*(1-E249))</f>
        <v/>
      </c>
      <c r="X250" s="15">
        <f>MAX(0,W249*(1-INDEX($B$11:$B$63,12))*(1-E249))</f>
        <v/>
      </c>
      <c r="Y250" s="15">
        <f>MAX(0,X249*(1-INDEX($B$11:$B$63,13))*(1-E249))</f>
        <v/>
      </c>
      <c r="Z250" s="15">
        <f>MAX(0,Y249*(1-INDEX($B$11:$B$63,14))*(1-E249))</f>
        <v/>
      </c>
      <c r="AA250" s="15">
        <f>MAX(0,Z249*(1-INDEX($B$11:$B$63,15))*(1-E249))</f>
        <v/>
      </c>
      <c r="AB250" s="15">
        <f>MAX(0,AA249*(1-INDEX($B$11:$B$63,16))*(1-E249))</f>
        <v/>
      </c>
      <c r="AC250" s="15">
        <f>MAX(0,AB249*(1-INDEX($B$11:$B$63,17))*(1-E249))</f>
        <v/>
      </c>
      <c r="AD250" s="15">
        <f>MAX(0,AC249*(1-INDEX($B$11:$B$63,18))*(1-E249))</f>
        <v/>
      </c>
      <c r="AE250" s="15">
        <f>MAX(0,AD249*(1-INDEX($B$11:$B$63,19))*(1-E249))</f>
        <v/>
      </c>
      <c r="AF250" s="15">
        <f>MAX(0,AE249*(1-INDEX($B$11:$B$63,20))*(1-E249))</f>
        <v/>
      </c>
      <c r="AG250" s="15">
        <f>MAX(0,AF249*(1-INDEX($B$11:$B$63,21))*(1-E249))</f>
        <v/>
      </c>
      <c r="AH250" s="15">
        <f>MAX(0,AG249*(1-INDEX($B$11:$B$63,22))*(1-E249))</f>
        <v/>
      </c>
      <c r="AI250" s="15">
        <f>MAX(0,AH249*(1-INDEX($B$11:$B$63,23))*(1-E249))</f>
        <v/>
      </c>
      <c r="AJ250" s="15">
        <f>MAX(0,AI249*(1-INDEX($B$11:$B$63,24))*(1-E249))</f>
        <v/>
      </c>
      <c r="AK250" s="15">
        <f>MAX(0,AJ249*(1-INDEX($B$11:$B$63,25))*(1-E249))</f>
        <v/>
      </c>
      <c r="AL250" s="15">
        <f>MAX(0,AK249*(1-INDEX($B$11:$B$63,26))*(1-E249))</f>
        <v/>
      </c>
      <c r="AM250" s="15">
        <f>MAX(0,AL249*(1-INDEX($B$11:$B$63,27))*(1-E249))</f>
        <v/>
      </c>
      <c r="AN250" s="15">
        <f>MAX(0,AM249*(1-INDEX($B$11:$B$63,28))*(1-E249))</f>
        <v/>
      </c>
      <c r="AO250" s="15">
        <f>MAX(0,AN249*(1-INDEX($B$11:$B$63,29))*(1-E249))</f>
        <v/>
      </c>
      <c r="AP250" s="15">
        <f>MAX(0,AO249*(1-INDEX($B$11:$B$63,30))*(1-E249))</f>
        <v/>
      </c>
      <c r="AQ250" s="15">
        <f>MAX(0,AP249*(1-INDEX($B$11:$B$63,31))*(1-E249))</f>
        <v/>
      </c>
      <c r="AR250" s="15">
        <f>MAX(0,AQ249*(1-INDEX($B$11:$B$63,32))*(1-E249))</f>
        <v/>
      </c>
      <c r="AS250" s="15">
        <f>MAX(0,AR249*(1-INDEX($B$11:$B$63,33))*(1-E249))</f>
        <v/>
      </c>
      <c r="AT250" s="15">
        <f>MAX(0,AS249*(1-INDEX($B$11:$B$63,34))*(1-E249))</f>
        <v/>
      </c>
      <c r="AU250" s="15">
        <f>MAX(0,AT249*(1-INDEX($B$11:$B$63,35))*(1-E249))</f>
        <v/>
      </c>
      <c r="AV250" s="15">
        <f>MAX(0,AU249*(1-INDEX($B$11:$B$63,36))*(1-E249))</f>
        <v/>
      </c>
      <c r="AW250" s="15">
        <f>MAX(0,AV249*(1-INDEX($B$11:$B$63,37))*(1-E249))</f>
        <v/>
      </c>
      <c r="AX250" s="15">
        <f>MAX(0,AW249*(1-INDEX($B$11:$B$63,38))*(1-E249))</f>
        <v/>
      </c>
      <c r="AY250" s="15">
        <f>MAX(0,AX249*(1-INDEX($B$11:$B$63,39))*(1-E249))</f>
        <v/>
      </c>
      <c r="AZ250" s="15">
        <f>MAX(0,AY249*(1-INDEX($B$11:$B$63,40))*(1-E249))</f>
        <v/>
      </c>
      <c r="BA250" s="15">
        <f>MAX(0,AZ249*(1-INDEX($B$11:$B$63,41))*(1-E249))</f>
        <v/>
      </c>
      <c r="BB250" s="15">
        <f>MAX(0,BA249*(1-INDEX($B$11:$B$63,42))*(1-E249))</f>
        <v/>
      </c>
      <c r="BC250" s="15">
        <f>MAX(0,BB249*(1-INDEX($B$11:$B$63,43))*(1-E249))</f>
        <v/>
      </c>
      <c r="BD250" s="15">
        <f>MAX(0,BC249*(1-INDEX($B$11:$B$63,44))*(1-E249))</f>
        <v/>
      </c>
      <c r="BE250" s="15">
        <f>MAX(0,BD249*(1-INDEX($B$11:$B$63,45))*(1-E249))</f>
        <v/>
      </c>
      <c r="BF250" s="15">
        <f>MAX(0,BE249*(1-INDEX($B$11:$B$63,46))*(1-E249))</f>
        <v/>
      </c>
      <c r="BG250" s="15">
        <f>MAX(0,BF249*(1-INDEX($B$11:$B$63,47))*(1-E249))</f>
        <v/>
      </c>
      <c r="BH250" s="15">
        <f>MAX(0,BG249*(1-INDEX($B$11:$B$63,48))*(1-E249))</f>
        <v/>
      </c>
      <c r="BI250" s="15">
        <f>MAX(0,BH249*(1-INDEX($B$11:$B$63,49))*(1-E249))</f>
        <v/>
      </c>
      <c r="BJ250" s="15">
        <f>MAX(0,BI249*(1-INDEX($B$11:$B$63,50))*(1-E249))</f>
        <v/>
      </c>
      <c r="BK250" s="15">
        <f>MAX(0,BJ249*(1-INDEX($B$11:$B$63,51))*(1-E249))</f>
        <v/>
      </c>
      <c r="BL250" s="15">
        <f>MAX(0,(BL249+BK249)*(1-INDEX($B$11:$B$63,53))*(1-E249))</f>
        <v/>
      </c>
    </row>
    <row r="251">
      <c r="A251" s="55" t="n">
        <v>185</v>
      </c>
      <c r="B251" s="15">
        <f>IF(A251&gt;Inputs!$C$62,"",SUM(M251:BK251))</f>
        <v/>
      </c>
      <c r="C251" s="15">
        <f>IF(A251&gt;Inputs!$C$62,"",INDEX(Trajectory!$C$23:$C$2000,A251))</f>
        <v/>
      </c>
      <c r="D251" s="15">
        <f>IF(A251&gt;Inputs!$C$62,"",SUM(L251:BK251))</f>
        <v/>
      </c>
      <c r="E251" s="12">
        <f>IF(A251&gt;Inputs!$C$62,"",INDEX(Trajectory!$AG$23:$AG$2000,A251))</f>
        <v/>
      </c>
      <c r="F251" s="12">
        <f>IF(D251=0,0,SUMPRODUCT(L251:BK251,$B$11:$B$63)/D251)</f>
        <v/>
      </c>
      <c r="G251" s="12">
        <f>IF(D251=0,0,MIN(0.95,1-(1-F251)*(1-E251)))</f>
        <v/>
      </c>
      <c r="H251" s="15">
        <f>IF(D251=0,0,D251*G251)</f>
        <v/>
      </c>
      <c r="I251" s="15">
        <f>IF(D251=0,0,D251-H251)</f>
        <v/>
      </c>
      <c r="L251" s="15">
        <f>C251</f>
        <v/>
      </c>
      <c r="M251" s="15">
        <f>MAX(0,L250*(1-INDEX($B$11:$B$63,1))*(1-E250))</f>
        <v/>
      </c>
      <c r="N251" s="15">
        <f>MAX(0,M250*(1-INDEX($B$11:$B$63,2))*(1-E250))</f>
        <v/>
      </c>
      <c r="O251" s="15">
        <f>MAX(0,N250*(1-INDEX($B$11:$B$63,3))*(1-E250))</f>
        <v/>
      </c>
      <c r="P251" s="15">
        <f>MAX(0,O250*(1-INDEX($B$11:$B$63,4))*(1-E250))</f>
        <v/>
      </c>
      <c r="Q251" s="15">
        <f>MAX(0,P250*(1-INDEX($B$11:$B$63,5))*(1-E250))</f>
        <v/>
      </c>
      <c r="R251" s="15">
        <f>MAX(0,Q250*(1-INDEX($B$11:$B$63,6))*(1-E250))</f>
        <v/>
      </c>
      <c r="S251" s="15">
        <f>MAX(0,R250*(1-INDEX($B$11:$B$63,7))*(1-E250))</f>
        <v/>
      </c>
      <c r="T251" s="15">
        <f>MAX(0,S250*(1-INDEX($B$11:$B$63,8))*(1-E250))</f>
        <v/>
      </c>
      <c r="U251" s="15">
        <f>MAX(0,T250*(1-INDEX($B$11:$B$63,9))*(1-E250))</f>
        <v/>
      </c>
      <c r="V251" s="15">
        <f>MAX(0,U250*(1-INDEX($B$11:$B$63,10))*(1-E250))</f>
        <v/>
      </c>
      <c r="W251" s="15">
        <f>MAX(0,V250*(1-INDEX($B$11:$B$63,11))*(1-E250))</f>
        <v/>
      </c>
      <c r="X251" s="15">
        <f>MAX(0,W250*(1-INDEX($B$11:$B$63,12))*(1-E250))</f>
        <v/>
      </c>
      <c r="Y251" s="15">
        <f>MAX(0,X250*(1-INDEX($B$11:$B$63,13))*(1-E250))</f>
        <v/>
      </c>
      <c r="Z251" s="15">
        <f>MAX(0,Y250*(1-INDEX($B$11:$B$63,14))*(1-E250))</f>
        <v/>
      </c>
      <c r="AA251" s="15">
        <f>MAX(0,Z250*(1-INDEX($B$11:$B$63,15))*(1-E250))</f>
        <v/>
      </c>
      <c r="AB251" s="15">
        <f>MAX(0,AA250*(1-INDEX($B$11:$B$63,16))*(1-E250))</f>
        <v/>
      </c>
      <c r="AC251" s="15">
        <f>MAX(0,AB250*(1-INDEX($B$11:$B$63,17))*(1-E250))</f>
        <v/>
      </c>
      <c r="AD251" s="15">
        <f>MAX(0,AC250*(1-INDEX($B$11:$B$63,18))*(1-E250))</f>
        <v/>
      </c>
      <c r="AE251" s="15">
        <f>MAX(0,AD250*(1-INDEX($B$11:$B$63,19))*(1-E250))</f>
        <v/>
      </c>
      <c r="AF251" s="15">
        <f>MAX(0,AE250*(1-INDEX($B$11:$B$63,20))*(1-E250))</f>
        <v/>
      </c>
      <c r="AG251" s="15">
        <f>MAX(0,AF250*(1-INDEX($B$11:$B$63,21))*(1-E250))</f>
        <v/>
      </c>
      <c r="AH251" s="15">
        <f>MAX(0,AG250*(1-INDEX($B$11:$B$63,22))*(1-E250))</f>
        <v/>
      </c>
      <c r="AI251" s="15">
        <f>MAX(0,AH250*(1-INDEX($B$11:$B$63,23))*(1-E250))</f>
        <v/>
      </c>
      <c r="AJ251" s="15">
        <f>MAX(0,AI250*(1-INDEX($B$11:$B$63,24))*(1-E250))</f>
        <v/>
      </c>
      <c r="AK251" s="15">
        <f>MAX(0,AJ250*(1-INDEX($B$11:$B$63,25))*(1-E250))</f>
        <v/>
      </c>
      <c r="AL251" s="15">
        <f>MAX(0,AK250*(1-INDEX($B$11:$B$63,26))*(1-E250))</f>
        <v/>
      </c>
      <c r="AM251" s="15">
        <f>MAX(0,AL250*(1-INDEX($B$11:$B$63,27))*(1-E250))</f>
        <v/>
      </c>
      <c r="AN251" s="15">
        <f>MAX(0,AM250*(1-INDEX($B$11:$B$63,28))*(1-E250))</f>
        <v/>
      </c>
      <c r="AO251" s="15">
        <f>MAX(0,AN250*(1-INDEX($B$11:$B$63,29))*(1-E250))</f>
        <v/>
      </c>
      <c r="AP251" s="15">
        <f>MAX(0,AO250*(1-INDEX($B$11:$B$63,30))*(1-E250))</f>
        <v/>
      </c>
      <c r="AQ251" s="15">
        <f>MAX(0,AP250*(1-INDEX($B$11:$B$63,31))*(1-E250))</f>
        <v/>
      </c>
      <c r="AR251" s="15">
        <f>MAX(0,AQ250*(1-INDEX($B$11:$B$63,32))*(1-E250))</f>
        <v/>
      </c>
      <c r="AS251" s="15">
        <f>MAX(0,AR250*(1-INDEX($B$11:$B$63,33))*(1-E250))</f>
        <v/>
      </c>
      <c r="AT251" s="15">
        <f>MAX(0,AS250*(1-INDEX($B$11:$B$63,34))*(1-E250))</f>
        <v/>
      </c>
      <c r="AU251" s="15">
        <f>MAX(0,AT250*(1-INDEX($B$11:$B$63,35))*(1-E250))</f>
        <v/>
      </c>
      <c r="AV251" s="15">
        <f>MAX(0,AU250*(1-INDEX($B$11:$B$63,36))*(1-E250))</f>
        <v/>
      </c>
      <c r="AW251" s="15">
        <f>MAX(0,AV250*(1-INDEX($B$11:$B$63,37))*(1-E250))</f>
        <v/>
      </c>
      <c r="AX251" s="15">
        <f>MAX(0,AW250*(1-INDEX($B$11:$B$63,38))*(1-E250))</f>
        <v/>
      </c>
      <c r="AY251" s="15">
        <f>MAX(0,AX250*(1-INDEX($B$11:$B$63,39))*(1-E250))</f>
        <v/>
      </c>
      <c r="AZ251" s="15">
        <f>MAX(0,AY250*(1-INDEX($B$11:$B$63,40))*(1-E250))</f>
        <v/>
      </c>
      <c r="BA251" s="15">
        <f>MAX(0,AZ250*(1-INDEX($B$11:$B$63,41))*(1-E250))</f>
        <v/>
      </c>
      <c r="BB251" s="15">
        <f>MAX(0,BA250*(1-INDEX($B$11:$B$63,42))*(1-E250))</f>
        <v/>
      </c>
      <c r="BC251" s="15">
        <f>MAX(0,BB250*(1-INDEX($B$11:$B$63,43))*(1-E250))</f>
        <v/>
      </c>
      <c r="BD251" s="15">
        <f>MAX(0,BC250*(1-INDEX($B$11:$B$63,44))*(1-E250))</f>
        <v/>
      </c>
      <c r="BE251" s="15">
        <f>MAX(0,BD250*(1-INDEX($B$11:$B$63,45))*(1-E250))</f>
        <v/>
      </c>
      <c r="BF251" s="15">
        <f>MAX(0,BE250*(1-INDEX($B$11:$B$63,46))*(1-E250))</f>
        <v/>
      </c>
      <c r="BG251" s="15">
        <f>MAX(0,BF250*(1-INDEX($B$11:$B$63,47))*(1-E250))</f>
        <v/>
      </c>
      <c r="BH251" s="15">
        <f>MAX(0,BG250*(1-INDEX($B$11:$B$63,48))*(1-E250))</f>
        <v/>
      </c>
      <c r="BI251" s="15">
        <f>MAX(0,BH250*(1-INDEX($B$11:$B$63,49))*(1-E250))</f>
        <v/>
      </c>
      <c r="BJ251" s="15">
        <f>MAX(0,BI250*(1-INDEX($B$11:$B$63,50))*(1-E250))</f>
        <v/>
      </c>
      <c r="BK251" s="15">
        <f>MAX(0,BJ250*(1-INDEX($B$11:$B$63,51))*(1-E250))</f>
        <v/>
      </c>
      <c r="BL251" s="15">
        <f>MAX(0,(BL250+BK250)*(1-INDEX($B$11:$B$63,53))*(1-E250))</f>
        <v/>
      </c>
    </row>
    <row r="252">
      <c r="A252" s="55" t="n">
        <v>186</v>
      </c>
      <c r="B252" s="15">
        <f>IF(A252&gt;Inputs!$C$62,"",SUM(M252:BK252))</f>
        <v/>
      </c>
      <c r="C252" s="15">
        <f>IF(A252&gt;Inputs!$C$62,"",INDEX(Trajectory!$C$23:$C$2000,A252))</f>
        <v/>
      </c>
      <c r="D252" s="15">
        <f>IF(A252&gt;Inputs!$C$62,"",SUM(L252:BK252))</f>
        <v/>
      </c>
      <c r="E252" s="12">
        <f>IF(A252&gt;Inputs!$C$62,"",INDEX(Trajectory!$AG$23:$AG$2000,A252))</f>
        <v/>
      </c>
      <c r="F252" s="12">
        <f>IF(D252=0,0,SUMPRODUCT(L252:BK252,$B$11:$B$63)/D252)</f>
        <v/>
      </c>
      <c r="G252" s="12">
        <f>IF(D252=0,0,MIN(0.95,1-(1-F252)*(1-E252)))</f>
        <v/>
      </c>
      <c r="H252" s="15">
        <f>IF(D252=0,0,D252*G252)</f>
        <v/>
      </c>
      <c r="I252" s="15">
        <f>IF(D252=0,0,D252-H252)</f>
        <v/>
      </c>
      <c r="L252" s="15">
        <f>C252</f>
        <v/>
      </c>
      <c r="M252" s="15">
        <f>MAX(0,L251*(1-INDEX($B$11:$B$63,1))*(1-E251))</f>
        <v/>
      </c>
      <c r="N252" s="15">
        <f>MAX(0,M251*(1-INDEX($B$11:$B$63,2))*(1-E251))</f>
        <v/>
      </c>
      <c r="O252" s="15">
        <f>MAX(0,N251*(1-INDEX($B$11:$B$63,3))*(1-E251))</f>
        <v/>
      </c>
      <c r="P252" s="15">
        <f>MAX(0,O251*(1-INDEX($B$11:$B$63,4))*(1-E251))</f>
        <v/>
      </c>
      <c r="Q252" s="15">
        <f>MAX(0,P251*(1-INDEX($B$11:$B$63,5))*(1-E251))</f>
        <v/>
      </c>
      <c r="R252" s="15">
        <f>MAX(0,Q251*(1-INDEX($B$11:$B$63,6))*(1-E251))</f>
        <v/>
      </c>
      <c r="S252" s="15">
        <f>MAX(0,R251*(1-INDEX($B$11:$B$63,7))*(1-E251))</f>
        <v/>
      </c>
      <c r="T252" s="15">
        <f>MAX(0,S251*(1-INDEX($B$11:$B$63,8))*(1-E251))</f>
        <v/>
      </c>
      <c r="U252" s="15">
        <f>MAX(0,T251*(1-INDEX($B$11:$B$63,9))*(1-E251))</f>
        <v/>
      </c>
      <c r="V252" s="15">
        <f>MAX(0,U251*(1-INDEX($B$11:$B$63,10))*(1-E251))</f>
        <v/>
      </c>
      <c r="W252" s="15">
        <f>MAX(0,V251*(1-INDEX($B$11:$B$63,11))*(1-E251))</f>
        <v/>
      </c>
      <c r="X252" s="15">
        <f>MAX(0,W251*(1-INDEX($B$11:$B$63,12))*(1-E251))</f>
        <v/>
      </c>
      <c r="Y252" s="15">
        <f>MAX(0,X251*(1-INDEX($B$11:$B$63,13))*(1-E251))</f>
        <v/>
      </c>
      <c r="Z252" s="15">
        <f>MAX(0,Y251*(1-INDEX($B$11:$B$63,14))*(1-E251))</f>
        <v/>
      </c>
      <c r="AA252" s="15">
        <f>MAX(0,Z251*(1-INDEX($B$11:$B$63,15))*(1-E251))</f>
        <v/>
      </c>
      <c r="AB252" s="15">
        <f>MAX(0,AA251*(1-INDEX($B$11:$B$63,16))*(1-E251))</f>
        <v/>
      </c>
      <c r="AC252" s="15">
        <f>MAX(0,AB251*(1-INDEX($B$11:$B$63,17))*(1-E251))</f>
        <v/>
      </c>
      <c r="AD252" s="15">
        <f>MAX(0,AC251*(1-INDEX($B$11:$B$63,18))*(1-E251))</f>
        <v/>
      </c>
      <c r="AE252" s="15">
        <f>MAX(0,AD251*(1-INDEX($B$11:$B$63,19))*(1-E251))</f>
        <v/>
      </c>
      <c r="AF252" s="15">
        <f>MAX(0,AE251*(1-INDEX($B$11:$B$63,20))*(1-E251))</f>
        <v/>
      </c>
      <c r="AG252" s="15">
        <f>MAX(0,AF251*(1-INDEX($B$11:$B$63,21))*(1-E251))</f>
        <v/>
      </c>
      <c r="AH252" s="15">
        <f>MAX(0,AG251*(1-INDEX($B$11:$B$63,22))*(1-E251))</f>
        <v/>
      </c>
      <c r="AI252" s="15">
        <f>MAX(0,AH251*(1-INDEX($B$11:$B$63,23))*(1-E251))</f>
        <v/>
      </c>
      <c r="AJ252" s="15">
        <f>MAX(0,AI251*(1-INDEX($B$11:$B$63,24))*(1-E251))</f>
        <v/>
      </c>
      <c r="AK252" s="15">
        <f>MAX(0,AJ251*(1-INDEX($B$11:$B$63,25))*(1-E251))</f>
        <v/>
      </c>
      <c r="AL252" s="15">
        <f>MAX(0,AK251*(1-INDEX($B$11:$B$63,26))*(1-E251))</f>
        <v/>
      </c>
      <c r="AM252" s="15">
        <f>MAX(0,AL251*(1-INDEX($B$11:$B$63,27))*(1-E251))</f>
        <v/>
      </c>
      <c r="AN252" s="15">
        <f>MAX(0,AM251*(1-INDEX($B$11:$B$63,28))*(1-E251))</f>
        <v/>
      </c>
      <c r="AO252" s="15">
        <f>MAX(0,AN251*(1-INDEX($B$11:$B$63,29))*(1-E251))</f>
        <v/>
      </c>
      <c r="AP252" s="15">
        <f>MAX(0,AO251*(1-INDEX($B$11:$B$63,30))*(1-E251))</f>
        <v/>
      </c>
      <c r="AQ252" s="15">
        <f>MAX(0,AP251*(1-INDEX($B$11:$B$63,31))*(1-E251))</f>
        <v/>
      </c>
      <c r="AR252" s="15">
        <f>MAX(0,AQ251*(1-INDEX($B$11:$B$63,32))*(1-E251))</f>
        <v/>
      </c>
      <c r="AS252" s="15">
        <f>MAX(0,AR251*(1-INDEX($B$11:$B$63,33))*(1-E251))</f>
        <v/>
      </c>
      <c r="AT252" s="15">
        <f>MAX(0,AS251*(1-INDEX($B$11:$B$63,34))*(1-E251))</f>
        <v/>
      </c>
      <c r="AU252" s="15">
        <f>MAX(0,AT251*(1-INDEX($B$11:$B$63,35))*(1-E251))</f>
        <v/>
      </c>
      <c r="AV252" s="15">
        <f>MAX(0,AU251*(1-INDEX($B$11:$B$63,36))*(1-E251))</f>
        <v/>
      </c>
      <c r="AW252" s="15">
        <f>MAX(0,AV251*(1-INDEX($B$11:$B$63,37))*(1-E251))</f>
        <v/>
      </c>
      <c r="AX252" s="15">
        <f>MAX(0,AW251*(1-INDEX($B$11:$B$63,38))*(1-E251))</f>
        <v/>
      </c>
      <c r="AY252" s="15">
        <f>MAX(0,AX251*(1-INDEX($B$11:$B$63,39))*(1-E251))</f>
        <v/>
      </c>
      <c r="AZ252" s="15">
        <f>MAX(0,AY251*(1-INDEX($B$11:$B$63,40))*(1-E251))</f>
        <v/>
      </c>
      <c r="BA252" s="15">
        <f>MAX(0,AZ251*(1-INDEX($B$11:$B$63,41))*(1-E251))</f>
        <v/>
      </c>
      <c r="BB252" s="15">
        <f>MAX(0,BA251*(1-INDEX($B$11:$B$63,42))*(1-E251))</f>
        <v/>
      </c>
      <c r="BC252" s="15">
        <f>MAX(0,BB251*(1-INDEX($B$11:$B$63,43))*(1-E251))</f>
        <v/>
      </c>
      <c r="BD252" s="15">
        <f>MAX(0,BC251*(1-INDEX($B$11:$B$63,44))*(1-E251))</f>
        <v/>
      </c>
      <c r="BE252" s="15">
        <f>MAX(0,BD251*(1-INDEX($B$11:$B$63,45))*(1-E251))</f>
        <v/>
      </c>
      <c r="BF252" s="15">
        <f>MAX(0,BE251*(1-INDEX($B$11:$B$63,46))*(1-E251))</f>
        <v/>
      </c>
      <c r="BG252" s="15">
        <f>MAX(0,BF251*(1-INDEX($B$11:$B$63,47))*(1-E251))</f>
        <v/>
      </c>
      <c r="BH252" s="15">
        <f>MAX(0,BG251*(1-INDEX($B$11:$B$63,48))*(1-E251))</f>
        <v/>
      </c>
      <c r="BI252" s="15">
        <f>MAX(0,BH251*(1-INDEX($B$11:$B$63,49))*(1-E251))</f>
        <v/>
      </c>
      <c r="BJ252" s="15">
        <f>MAX(0,BI251*(1-INDEX($B$11:$B$63,50))*(1-E251))</f>
        <v/>
      </c>
      <c r="BK252" s="15">
        <f>MAX(0,BJ251*(1-INDEX($B$11:$B$63,51))*(1-E251))</f>
        <v/>
      </c>
      <c r="BL252" s="15">
        <f>MAX(0,(BL251+BK251)*(1-INDEX($B$11:$B$63,53))*(1-E251))</f>
        <v/>
      </c>
    </row>
    <row r="253">
      <c r="A253" s="55" t="n">
        <v>187</v>
      </c>
      <c r="B253" s="15">
        <f>IF(A253&gt;Inputs!$C$62,"",SUM(M253:BK253))</f>
        <v/>
      </c>
      <c r="C253" s="15">
        <f>IF(A253&gt;Inputs!$C$62,"",INDEX(Trajectory!$C$23:$C$2000,A253))</f>
        <v/>
      </c>
      <c r="D253" s="15">
        <f>IF(A253&gt;Inputs!$C$62,"",SUM(L253:BK253))</f>
        <v/>
      </c>
      <c r="E253" s="12">
        <f>IF(A253&gt;Inputs!$C$62,"",INDEX(Trajectory!$AG$23:$AG$2000,A253))</f>
        <v/>
      </c>
      <c r="F253" s="12">
        <f>IF(D253=0,0,SUMPRODUCT(L253:BK253,$B$11:$B$63)/D253)</f>
        <v/>
      </c>
      <c r="G253" s="12">
        <f>IF(D253=0,0,MIN(0.95,1-(1-F253)*(1-E253)))</f>
        <v/>
      </c>
      <c r="H253" s="15">
        <f>IF(D253=0,0,D253*G253)</f>
        <v/>
      </c>
      <c r="I253" s="15">
        <f>IF(D253=0,0,D253-H253)</f>
        <v/>
      </c>
      <c r="L253" s="15">
        <f>C253</f>
        <v/>
      </c>
      <c r="M253" s="15">
        <f>MAX(0,L252*(1-INDEX($B$11:$B$63,1))*(1-E252))</f>
        <v/>
      </c>
      <c r="N253" s="15">
        <f>MAX(0,M252*(1-INDEX($B$11:$B$63,2))*(1-E252))</f>
        <v/>
      </c>
      <c r="O253" s="15">
        <f>MAX(0,N252*(1-INDEX($B$11:$B$63,3))*(1-E252))</f>
        <v/>
      </c>
      <c r="P253" s="15">
        <f>MAX(0,O252*(1-INDEX($B$11:$B$63,4))*(1-E252))</f>
        <v/>
      </c>
      <c r="Q253" s="15">
        <f>MAX(0,P252*(1-INDEX($B$11:$B$63,5))*(1-E252))</f>
        <v/>
      </c>
      <c r="R253" s="15">
        <f>MAX(0,Q252*(1-INDEX($B$11:$B$63,6))*(1-E252))</f>
        <v/>
      </c>
      <c r="S253" s="15">
        <f>MAX(0,R252*(1-INDEX($B$11:$B$63,7))*(1-E252))</f>
        <v/>
      </c>
      <c r="T253" s="15">
        <f>MAX(0,S252*(1-INDEX($B$11:$B$63,8))*(1-E252))</f>
        <v/>
      </c>
      <c r="U253" s="15">
        <f>MAX(0,T252*(1-INDEX($B$11:$B$63,9))*(1-E252))</f>
        <v/>
      </c>
      <c r="V253" s="15">
        <f>MAX(0,U252*(1-INDEX($B$11:$B$63,10))*(1-E252))</f>
        <v/>
      </c>
      <c r="W253" s="15">
        <f>MAX(0,V252*(1-INDEX($B$11:$B$63,11))*(1-E252))</f>
        <v/>
      </c>
      <c r="X253" s="15">
        <f>MAX(0,W252*(1-INDEX($B$11:$B$63,12))*(1-E252))</f>
        <v/>
      </c>
      <c r="Y253" s="15">
        <f>MAX(0,X252*(1-INDEX($B$11:$B$63,13))*(1-E252))</f>
        <v/>
      </c>
      <c r="Z253" s="15">
        <f>MAX(0,Y252*(1-INDEX($B$11:$B$63,14))*(1-E252))</f>
        <v/>
      </c>
      <c r="AA253" s="15">
        <f>MAX(0,Z252*(1-INDEX($B$11:$B$63,15))*(1-E252))</f>
        <v/>
      </c>
      <c r="AB253" s="15">
        <f>MAX(0,AA252*(1-INDEX($B$11:$B$63,16))*(1-E252))</f>
        <v/>
      </c>
      <c r="AC253" s="15">
        <f>MAX(0,AB252*(1-INDEX($B$11:$B$63,17))*(1-E252))</f>
        <v/>
      </c>
      <c r="AD253" s="15">
        <f>MAX(0,AC252*(1-INDEX($B$11:$B$63,18))*(1-E252))</f>
        <v/>
      </c>
      <c r="AE253" s="15">
        <f>MAX(0,AD252*(1-INDEX($B$11:$B$63,19))*(1-E252))</f>
        <v/>
      </c>
      <c r="AF253" s="15">
        <f>MAX(0,AE252*(1-INDEX($B$11:$B$63,20))*(1-E252))</f>
        <v/>
      </c>
      <c r="AG253" s="15">
        <f>MAX(0,AF252*(1-INDEX($B$11:$B$63,21))*(1-E252))</f>
        <v/>
      </c>
      <c r="AH253" s="15">
        <f>MAX(0,AG252*(1-INDEX($B$11:$B$63,22))*(1-E252))</f>
        <v/>
      </c>
      <c r="AI253" s="15">
        <f>MAX(0,AH252*(1-INDEX($B$11:$B$63,23))*(1-E252))</f>
        <v/>
      </c>
      <c r="AJ253" s="15">
        <f>MAX(0,AI252*(1-INDEX($B$11:$B$63,24))*(1-E252))</f>
        <v/>
      </c>
      <c r="AK253" s="15">
        <f>MAX(0,AJ252*(1-INDEX($B$11:$B$63,25))*(1-E252))</f>
        <v/>
      </c>
      <c r="AL253" s="15">
        <f>MAX(0,AK252*(1-INDEX($B$11:$B$63,26))*(1-E252))</f>
        <v/>
      </c>
      <c r="AM253" s="15">
        <f>MAX(0,AL252*(1-INDEX($B$11:$B$63,27))*(1-E252))</f>
        <v/>
      </c>
      <c r="AN253" s="15">
        <f>MAX(0,AM252*(1-INDEX($B$11:$B$63,28))*(1-E252))</f>
        <v/>
      </c>
      <c r="AO253" s="15">
        <f>MAX(0,AN252*(1-INDEX($B$11:$B$63,29))*(1-E252))</f>
        <v/>
      </c>
      <c r="AP253" s="15">
        <f>MAX(0,AO252*(1-INDEX($B$11:$B$63,30))*(1-E252))</f>
        <v/>
      </c>
      <c r="AQ253" s="15">
        <f>MAX(0,AP252*(1-INDEX($B$11:$B$63,31))*(1-E252))</f>
        <v/>
      </c>
      <c r="AR253" s="15">
        <f>MAX(0,AQ252*(1-INDEX($B$11:$B$63,32))*(1-E252))</f>
        <v/>
      </c>
      <c r="AS253" s="15">
        <f>MAX(0,AR252*(1-INDEX($B$11:$B$63,33))*(1-E252))</f>
        <v/>
      </c>
      <c r="AT253" s="15">
        <f>MAX(0,AS252*(1-INDEX($B$11:$B$63,34))*(1-E252))</f>
        <v/>
      </c>
      <c r="AU253" s="15">
        <f>MAX(0,AT252*(1-INDEX($B$11:$B$63,35))*(1-E252))</f>
        <v/>
      </c>
      <c r="AV253" s="15">
        <f>MAX(0,AU252*(1-INDEX($B$11:$B$63,36))*(1-E252))</f>
        <v/>
      </c>
      <c r="AW253" s="15">
        <f>MAX(0,AV252*(1-INDEX($B$11:$B$63,37))*(1-E252))</f>
        <v/>
      </c>
      <c r="AX253" s="15">
        <f>MAX(0,AW252*(1-INDEX($B$11:$B$63,38))*(1-E252))</f>
        <v/>
      </c>
      <c r="AY253" s="15">
        <f>MAX(0,AX252*(1-INDEX($B$11:$B$63,39))*(1-E252))</f>
        <v/>
      </c>
      <c r="AZ253" s="15">
        <f>MAX(0,AY252*(1-INDEX($B$11:$B$63,40))*(1-E252))</f>
        <v/>
      </c>
      <c r="BA253" s="15">
        <f>MAX(0,AZ252*(1-INDEX($B$11:$B$63,41))*(1-E252))</f>
        <v/>
      </c>
      <c r="BB253" s="15">
        <f>MAX(0,BA252*(1-INDEX($B$11:$B$63,42))*(1-E252))</f>
        <v/>
      </c>
      <c r="BC253" s="15">
        <f>MAX(0,BB252*(1-INDEX($B$11:$B$63,43))*(1-E252))</f>
        <v/>
      </c>
      <c r="BD253" s="15">
        <f>MAX(0,BC252*(1-INDEX($B$11:$B$63,44))*(1-E252))</f>
        <v/>
      </c>
      <c r="BE253" s="15">
        <f>MAX(0,BD252*(1-INDEX($B$11:$B$63,45))*(1-E252))</f>
        <v/>
      </c>
      <c r="BF253" s="15">
        <f>MAX(0,BE252*(1-INDEX($B$11:$B$63,46))*(1-E252))</f>
        <v/>
      </c>
      <c r="BG253" s="15">
        <f>MAX(0,BF252*(1-INDEX($B$11:$B$63,47))*(1-E252))</f>
        <v/>
      </c>
      <c r="BH253" s="15">
        <f>MAX(0,BG252*(1-INDEX($B$11:$B$63,48))*(1-E252))</f>
        <v/>
      </c>
      <c r="BI253" s="15">
        <f>MAX(0,BH252*(1-INDEX($B$11:$B$63,49))*(1-E252))</f>
        <v/>
      </c>
      <c r="BJ253" s="15">
        <f>MAX(0,BI252*(1-INDEX($B$11:$B$63,50))*(1-E252))</f>
        <v/>
      </c>
      <c r="BK253" s="15">
        <f>MAX(0,BJ252*(1-INDEX($B$11:$B$63,51))*(1-E252))</f>
        <v/>
      </c>
      <c r="BL253" s="15">
        <f>MAX(0,(BL252+BK252)*(1-INDEX($B$11:$B$63,53))*(1-E252))</f>
        <v/>
      </c>
    </row>
    <row r="254">
      <c r="A254" s="55" t="n">
        <v>188</v>
      </c>
      <c r="B254" s="15">
        <f>IF(A254&gt;Inputs!$C$62,"",SUM(M254:BK254))</f>
        <v/>
      </c>
      <c r="C254" s="15">
        <f>IF(A254&gt;Inputs!$C$62,"",INDEX(Trajectory!$C$23:$C$2000,A254))</f>
        <v/>
      </c>
      <c r="D254" s="15">
        <f>IF(A254&gt;Inputs!$C$62,"",SUM(L254:BK254))</f>
        <v/>
      </c>
      <c r="E254" s="12">
        <f>IF(A254&gt;Inputs!$C$62,"",INDEX(Trajectory!$AG$23:$AG$2000,A254))</f>
        <v/>
      </c>
      <c r="F254" s="12">
        <f>IF(D254=0,0,SUMPRODUCT(L254:BK254,$B$11:$B$63)/D254)</f>
        <v/>
      </c>
      <c r="G254" s="12">
        <f>IF(D254=0,0,MIN(0.95,1-(1-F254)*(1-E254)))</f>
        <v/>
      </c>
      <c r="H254" s="15">
        <f>IF(D254=0,0,D254*G254)</f>
        <v/>
      </c>
      <c r="I254" s="15">
        <f>IF(D254=0,0,D254-H254)</f>
        <v/>
      </c>
      <c r="L254" s="15">
        <f>C254</f>
        <v/>
      </c>
      <c r="M254" s="15">
        <f>MAX(0,L253*(1-INDEX($B$11:$B$63,1))*(1-E253))</f>
        <v/>
      </c>
      <c r="N254" s="15">
        <f>MAX(0,M253*(1-INDEX($B$11:$B$63,2))*(1-E253))</f>
        <v/>
      </c>
      <c r="O254" s="15">
        <f>MAX(0,N253*(1-INDEX($B$11:$B$63,3))*(1-E253))</f>
        <v/>
      </c>
      <c r="P254" s="15">
        <f>MAX(0,O253*(1-INDEX($B$11:$B$63,4))*(1-E253))</f>
        <v/>
      </c>
      <c r="Q254" s="15">
        <f>MAX(0,P253*(1-INDEX($B$11:$B$63,5))*(1-E253))</f>
        <v/>
      </c>
      <c r="R254" s="15">
        <f>MAX(0,Q253*(1-INDEX($B$11:$B$63,6))*(1-E253))</f>
        <v/>
      </c>
      <c r="S254" s="15">
        <f>MAX(0,R253*(1-INDEX($B$11:$B$63,7))*(1-E253))</f>
        <v/>
      </c>
      <c r="T254" s="15">
        <f>MAX(0,S253*(1-INDEX($B$11:$B$63,8))*(1-E253))</f>
        <v/>
      </c>
      <c r="U254" s="15">
        <f>MAX(0,T253*(1-INDEX($B$11:$B$63,9))*(1-E253))</f>
        <v/>
      </c>
      <c r="V254" s="15">
        <f>MAX(0,U253*(1-INDEX($B$11:$B$63,10))*(1-E253))</f>
        <v/>
      </c>
      <c r="W254" s="15">
        <f>MAX(0,V253*(1-INDEX($B$11:$B$63,11))*(1-E253))</f>
        <v/>
      </c>
      <c r="X254" s="15">
        <f>MAX(0,W253*(1-INDEX($B$11:$B$63,12))*(1-E253))</f>
        <v/>
      </c>
      <c r="Y254" s="15">
        <f>MAX(0,X253*(1-INDEX($B$11:$B$63,13))*(1-E253))</f>
        <v/>
      </c>
      <c r="Z254" s="15">
        <f>MAX(0,Y253*(1-INDEX($B$11:$B$63,14))*(1-E253))</f>
        <v/>
      </c>
      <c r="AA254" s="15">
        <f>MAX(0,Z253*(1-INDEX($B$11:$B$63,15))*(1-E253))</f>
        <v/>
      </c>
      <c r="AB254" s="15">
        <f>MAX(0,AA253*(1-INDEX($B$11:$B$63,16))*(1-E253))</f>
        <v/>
      </c>
      <c r="AC254" s="15">
        <f>MAX(0,AB253*(1-INDEX($B$11:$B$63,17))*(1-E253))</f>
        <v/>
      </c>
      <c r="AD254" s="15">
        <f>MAX(0,AC253*(1-INDEX($B$11:$B$63,18))*(1-E253))</f>
        <v/>
      </c>
      <c r="AE254" s="15">
        <f>MAX(0,AD253*(1-INDEX($B$11:$B$63,19))*(1-E253))</f>
        <v/>
      </c>
      <c r="AF254" s="15">
        <f>MAX(0,AE253*(1-INDEX($B$11:$B$63,20))*(1-E253))</f>
        <v/>
      </c>
      <c r="AG254" s="15">
        <f>MAX(0,AF253*(1-INDEX($B$11:$B$63,21))*(1-E253))</f>
        <v/>
      </c>
      <c r="AH254" s="15">
        <f>MAX(0,AG253*(1-INDEX($B$11:$B$63,22))*(1-E253))</f>
        <v/>
      </c>
      <c r="AI254" s="15">
        <f>MAX(0,AH253*(1-INDEX($B$11:$B$63,23))*(1-E253))</f>
        <v/>
      </c>
      <c r="AJ254" s="15">
        <f>MAX(0,AI253*(1-INDEX($B$11:$B$63,24))*(1-E253))</f>
        <v/>
      </c>
      <c r="AK254" s="15">
        <f>MAX(0,AJ253*(1-INDEX($B$11:$B$63,25))*(1-E253))</f>
        <v/>
      </c>
      <c r="AL254" s="15">
        <f>MAX(0,AK253*(1-INDEX($B$11:$B$63,26))*(1-E253))</f>
        <v/>
      </c>
      <c r="AM254" s="15">
        <f>MAX(0,AL253*(1-INDEX($B$11:$B$63,27))*(1-E253))</f>
        <v/>
      </c>
      <c r="AN254" s="15">
        <f>MAX(0,AM253*(1-INDEX($B$11:$B$63,28))*(1-E253))</f>
        <v/>
      </c>
      <c r="AO254" s="15">
        <f>MAX(0,AN253*(1-INDEX($B$11:$B$63,29))*(1-E253))</f>
        <v/>
      </c>
      <c r="AP254" s="15">
        <f>MAX(0,AO253*(1-INDEX($B$11:$B$63,30))*(1-E253))</f>
        <v/>
      </c>
      <c r="AQ254" s="15">
        <f>MAX(0,AP253*(1-INDEX($B$11:$B$63,31))*(1-E253))</f>
        <v/>
      </c>
      <c r="AR254" s="15">
        <f>MAX(0,AQ253*(1-INDEX($B$11:$B$63,32))*(1-E253))</f>
        <v/>
      </c>
      <c r="AS254" s="15">
        <f>MAX(0,AR253*(1-INDEX($B$11:$B$63,33))*(1-E253))</f>
        <v/>
      </c>
      <c r="AT254" s="15">
        <f>MAX(0,AS253*(1-INDEX($B$11:$B$63,34))*(1-E253))</f>
        <v/>
      </c>
      <c r="AU254" s="15">
        <f>MAX(0,AT253*(1-INDEX($B$11:$B$63,35))*(1-E253))</f>
        <v/>
      </c>
      <c r="AV254" s="15">
        <f>MAX(0,AU253*(1-INDEX($B$11:$B$63,36))*(1-E253))</f>
        <v/>
      </c>
      <c r="AW254" s="15">
        <f>MAX(0,AV253*(1-INDEX($B$11:$B$63,37))*(1-E253))</f>
        <v/>
      </c>
      <c r="AX254" s="15">
        <f>MAX(0,AW253*(1-INDEX($B$11:$B$63,38))*(1-E253))</f>
        <v/>
      </c>
      <c r="AY254" s="15">
        <f>MAX(0,AX253*(1-INDEX($B$11:$B$63,39))*(1-E253))</f>
        <v/>
      </c>
      <c r="AZ254" s="15">
        <f>MAX(0,AY253*(1-INDEX($B$11:$B$63,40))*(1-E253))</f>
        <v/>
      </c>
      <c r="BA254" s="15">
        <f>MAX(0,AZ253*(1-INDEX($B$11:$B$63,41))*(1-E253))</f>
        <v/>
      </c>
      <c r="BB254" s="15">
        <f>MAX(0,BA253*(1-INDEX($B$11:$B$63,42))*(1-E253))</f>
        <v/>
      </c>
      <c r="BC254" s="15">
        <f>MAX(0,BB253*(1-INDEX($B$11:$B$63,43))*(1-E253))</f>
        <v/>
      </c>
      <c r="BD254" s="15">
        <f>MAX(0,BC253*(1-INDEX($B$11:$B$63,44))*(1-E253))</f>
        <v/>
      </c>
      <c r="BE254" s="15">
        <f>MAX(0,BD253*(1-INDEX($B$11:$B$63,45))*(1-E253))</f>
        <v/>
      </c>
      <c r="BF254" s="15">
        <f>MAX(0,BE253*(1-INDEX($B$11:$B$63,46))*(1-E253))</f>
        <v/>
      </c>
      <c r="BG254" s="15">
        <f>MAX(0,BF253*(1-INDEX($B$11:$B$63,47))*(1-E253))</f>
        <v/>
      </c>
      <c r="BH254" s="15">
        <f>MAX(0,BG253*(1-INDEX($B$11:$B$63,48))*(1-E253))</f>
        <v/>
      </c>
      <c r="BI254" s="15">
        <f>MAX(0,BH253*(1-INDEX($B$11:$B$63,49))*(1-E253))</f>
        <v/>
      </c>
      <c r="BJ254" s="15">
        <f>MAX(0,BI253*(1-INDEX($B$11:$B$63,50))*(1-E253))</f>
        <v/>
      </c>
      <c r="BK254" s="15">
        <f>MAX(0,BJ253*(1-INDEX($B$11:$B$63,51))*(1-E253))</f>
        <v/>
      </c>
      <c r="BL254" s="15">
        <f>MAX(0,(BL253+BK253)*(1-INDEX($B$11:$B$63,53))*(1-E253))</f>
        <v/>
      </c>
    </row>
    <row r="255">
      <c r="A255" s="55" t="n">
        <v>189</v>
      </c>
      <c r="B255" s="15">
        <f>IF(A255&gt;Inputs!$C$62,"",SUM(M255:BK255))</f>
        <v/>
      </c>
      <c r="C255" s="15">
        <f>IF(A255&gt;Inputs!$C$62,"",INDEX(Trajectory!$C$23:$C$2000,A255))</f>
        <v/>
      </c>
      <c r="D255" s="15">
        <f>IF(A255&gt;Inputs!$C$62,"",SUM(L255:BK255))</f>
        <v/>
      </c>
      <c r="E255" s="12">
        <f>IF(A255&gt;Inputs!$C$62,"",INDEX(Trajectory!$AG$23:$AG$2000,A255))</f>
        <v/>
      </c>
      <c r="F255" s="12">
        <f>IF(D255=0,0,SUMPRODUCT(L255:BK255,$B$11:$B$63)/D255)</f>
        <v/>
      </c>
      <c r="G255" s="12">
        <f>IF(D255=0,0,MIN(0.95,1-(1-F255)*(1-E255)))</f>
        <v/>
      </c>
      <c r="H255" s="15">
        <f>IF(D255=0,0,D255*G255)</f>
        <v/>
      </c>
      <c r="I255" s="15">
        <f>IF(D255=0,0,D255-H255)</f>
        <v/>
      </c>
      <c r="L255" s="15">
        <f>C255</f>
        <v/>
      </c>
      <c r="M255" s="15">
        <f>MAX(0,L254*(1-INDEX($B$11:$B$63,1))*(1-E254))</f>
        <v/>
      </c>
      <c r="N255" s="15">
        <f>MAX(0,M254*(1-INDEX($B$11:$B$63,2))*(1-E254))</f>
        <v/>
      </c>
      <c r="O255" s="15">
        <f>MAX(0,N254*(1-INDEX($B$11:$B$63,3))*(1-E254))</f>
        <v/>
      </c>
      <c r="P255" s="15">
        <f>MAX(0,O254*(1-INDEX($B$11:$B$63,4))*(1-E254))</f>
        <v/>
      </c>
      <c r="Q255" s="15">
        <f>MAX(0,P254*(1-INDEX($B$11:$B$63,5))*(1-E254))</f>
        <v/>
      </c>
      <c r="R255" s="15">
        <f>MAX(0,Q254*(1-INDEX($B$11:$B$63,6))*(1-E254))</f>
        <v/>
      </c>
      <c r="S255" s="15">
        <f>MAX(0,R254*(1-INDEX($B$11:$B$63,7))*(1-E254))</f>
        <v/>
      </c>
      <c r="T255" s="15">
        <f>MAX(0,S254*(1-INDEX($B$11:$B$63,8))*(1-E254))</f>
        <v/>
      </c>
      <c r="U255" s="15">
        <f>MAX(0,T254*(1-INDEX($B$11:$B$63,9))*(1-E254))</f>
        <v/>
      </c>
      <c r="V255" s="15">
        <f>MAX(0,U254*(1-INDEX($B$11:$B$63,10))*(1-E254))</f>
        <v/>
      </c>
      <c r="W255" s="15">
        <f>MAX(0,V254*(1-INDEX($B$11:$B$63,11))*(1-E254))</f>
        <v/>
      </c>
      <c r="X255" s="15">
        <f>MAX(0,W254*(1-INDEX($B$11:$B$63,12))*(1-E254))</f>
        <v/>
      </c>
      <c r="Y255" s="15">
        <f>MAX(0,X254*(1-INDEX($B$11:$B$63,13))*(1-E254))</f>
        <v/>
      </c>
      <c r="Z255" s="15">
        <f>MAX(0,Y254*(1-INDEX($B$11:$B$63,14))*(1-E254))</f>
        <v/>
      </c>
      <c r="AA255" s="15">
        <f>MAX(0,Z254*(1-INDEX($B$11:$B$63,15))*(1-E254))</f>
        <v/>
      </c>
      <c r="AB255" s="15">
        <f>MAX(0,AA254*(1-INDEX($B$11:$B$63,16))*(1-E254))</f>
        <v/>
      </c>
      <c r="AC255" s="15">
        <f>MAX(0,AB254*(1-INDEX($B$11:$B$63,17))*(1-E254))</f>
        <v/>
      </c>
      <c r="AD255" s="15">
        <f>MAX(0,AC254*(1-INDEX($B$11:$B$63,18))*(1-E254))</f>
        <v/>
      </c>
      <c r="AE255" s="15">
        <f>MAX(0,AD254*(1-INDEX($B$11:$B$63,19))*(1-E254))</f>
        <v/>
      </c>
      <c r="AF255" s="15">
        <f>MAX(0,AE254*(1-INDEX($B$11:$B$63,20))*(1-E254))</f>
        <v/>
      </c>
      <c r="AG255" s="15">
        <f>MAX(0,AF254*(1-INDEX($B$11:$B$63,21))*(1-E254))</f>
        <v/>
      </c>
      <c r="AH255" s="15">
        <f>MAX(0,AG254*(1-INDEX($B$11:$B$63,22))*(1-E254))</f>
        <v/>
      </c>
      <c r="AI255" s="15">
        <f>MAX(0,AH254*(1-INDEX($B$11:$B$63,23))*(1-E254))</f>
        <v/>
      </c>
      <c r="AJ255" s="15">
        <f>MAX(0,AI254*(1-INDEX($B$11:$B$63,24))*(1-E254))</f>
        <v/>
      </c>
      <c r="AK255" s="15">
        <f>MAX(0,AJ254*(1-INDEX($B$11:$B$63,25))*(1-E254))</f>
        <v/>
      </c>
      <c r="AL255" s="15">
        <f>MAX(0,AK254*(1-INDEX($B$11:$B$63,26))*(1-E254))</f>
        <v/>
      </c>
      <c r="AM255" s="15">
        <f>MAX(0,AL254*(1-INDEX($B$11:$B$63,27))*(1-E254))</f>
        <v/>
      </c>
      <c r="AN255" s="15">
        <f>MAX(0,AM254*(1-INDEX($B$11:$B$63,28))*(1-E254))</f>
        <v/>
      </c>
      <c r="AO255" s="15">
        <f>MAX(0,AN254*(1-INDEX($B$11:$B$63,29))*(1-E254))</f>
        <v/>
      </c>
      <c r="AP255" s="15">
        <f>MAX(0,AO254*(1-INDEX($B$11:$B$63,30))*(1-E254))</f>
        <v/>
      </c>
      <c r="AQ255" s="15">
        <f>MAX(0,AP254*(1-INDEX($B$11:$B$63,31))*(1-E254))</f>
        <v/>
      </c>
      <c r="AR255" s="15">
        <f>MAX(0,AQ254*(1-INDEX($B$11:$B$63,32))*(1-E254))</f>
        <v/>
      </c>
      <c r="AS255" s="15">
        <f>MAX(0,AR254*(1-INDEX($B$11:$B$63,33))*(1-E254))</f>
        <v/>
      </c>
      <c r="AT255" s="15">
        <f>MAX(0,AS254*(1-INDEX($B$11:$B$63,34))*(1-E254))</f>
        <v/>
      </c>
      <c r="AU255" s="15">
        <f>MAX(0,AT254*(1-INDEX($B$11:$B$63,35))*(1-E254))</f>
        <v/>
      </c>
      <c r="AV255" s="15">
        <f>MAX(0,AU254*(1-INDEX($B$11:$B$63,36))*(1-E254))</f>
        <v/>
      </c>
      <c r="AW255" s="15">
        <f>MAX(0,AV254*(1-INDEX($B$11:$B$63,37))*(1-E254))</f>
        <v/>
      </c>
      <c r="AX255" s="15">
        <f>MAX(0,AW254*(1-INDEX($B$11:$B$63,38))*(1-E254))</f>
        <v/>
      </c>
      <c r="AY255" s="15">
        <f>MAX(0,AX254*(1-INDEX($B$11:$B$63,39))*(1-E254))</f>
        <v/>
      </c>
      <c r="AZ255" s="15">
        <f>MAX(0,AY254*(1-INDEX($B$11:$B$63,40))*(1-E254))</f>
        <v/>
      </c>
      <c r="BA255" s="15">
        <f>MAX(0,AZ254*(1-INDEX($B$11:$B$63,41))*(1-E254))</f>
        <v/>
      </c>
      <c r="BB255" s="15">
        <f>MAX(0,BA254*(1-INDEX($B$11:$B$63,42))*(1-E254))</f>
        <v/>
      </c>
      <c r="BC255" s="15">
        <f>MAX(0,BB254*(1-INDEX($B$11:$B$63,43))*(1-E254))</f>
        <v/>
      </c>
      <c r="BD255" s="15">
        <f>MAX(0,BC254*(1-INDEX($B$11:$B$63,44))*(1-E254))</f>
        <v/>
      </c>
      <c r="BE255" s="15">
        <f>MAX(0,BD254*(1-INDEX($B$11:$B$63,45))*(1-E254))</f>
        <v/>
      </c>
      <c r="BF255" s="15">
        <f>MAX(0,BE254*(1-INDEX($B$11:$B$63,46))*(1-E254))</f>
        <v/>
      </c>
      <c r="BG255" s="15">
        <f>MAX(0,BF254*(1-INDEX($B$11:$B$63,47))*(1-E254))</f>
        <v/>
      </c>
      <c r="BH255" s="15">
        <f>MAX(0,BG254*(1-INDEX($B$11:$B$63,48))*(1-E254))</f>
        <v/>
      </c>
      <c r="BI255" s="15">
        <f>MAX(0,BH254*(1-INDEX($B$11:$B$63,49))*(1-E254))</f>
        <v/>
      </c>
      <c r="BJ255" s="15">
        <f>MAX(0,BI254*(1-INDEX($B$11:$B$63,50))*(1-E254))</f>
        <v/>
      </c>
      <c r="BK255" s="15">
        <f>MAX(0,BJ254*(1-INDEX($B$11:$B$63,51))*(1-E254))</f>
        <v/>
      </c>
      <c r="BL255" s="15">
        <f>MAX(0,(BL254+BK254)*(1-INDEX($B$11:$B$63,53))*(1-E254))</f>
        <v/>
      </c>
    </row>
    <row r="256">
      <c r="A256" s="55" t="n">
        <v>190</v>
      </c>
      <c r="B256" s="15">
        <f>IF(A256&gt;Inputs!$C$62,"",SUM(M256:BK256))</f>
        <v/>
      </c>
      <c r="C256" s="15">
        <f>IF(A256&gt;Inputs!$C$62,"",INDEX(Trajectory!$C$23:$C$2000,A256))</f>
        <v/>
      </c>
      <c r="D256" s="15">
        <f>IF(A256&gt;Inputs!$C$62,"",SUM(L256:BK256))</f>
        <v/>
      </c>
      <c r="E256" s="12">
        <f>IF(A256&gt;Inputs!$C$62,"",INDEX(Trajectory!$AG$23:$AG$2000,A256))</f>
        <v/>
      </c>
      <c r="F256" s="12">
        <f>IF(D256=0,0,SUMPRODUCT(L256:BK256,$B$11:$B$63)/D256)</f>
        <v/>
      </c>
      <c r="G256" s="12">
        <f>IF(D256=0,0,MIN(0.95,1-(1-F256)*(1-E256)))</f>
        <v/>
      </c>
      <c r="H256" s="15">
        <f>IF(D256=0,0,D256*G256)</f>
        <v/>
      </c>
      <c r="I256" s="15">
        <f>IF(D256=0,0,D256-H256)</f>
        <v/>
      </c>
      <c r="L256" s="15">
        <f>C256</f>
        <v/>
      </c>
      <c r="M256" s="15">
        <f>MAX(0,L255*(1-INDEX($B$11:$B$63,1))*(1-E255))</f>
        <v/>
      </c>
      <c r="N256" s="15">
        <f>MAX(0,M255*(1-INDEX($B$11:$B$63,2))*(1-E255))</f>
        <v/>
      </c>
      <c r="O256" s="15">
        <f>MAX(0,N255*(1-INDEX($B$11:$B$63,3))*(1-E255))</f>
        <v/>
      </c>
      <c r="P256" s="15">
        <f>MAX(0,O255*(1-INDEX($B$11:$B$63,4))*(1-E255))</f>
        <v/>
      </c>
      <c r="Q256" s="15">
        <f>MAX(0,P255*(1-INDEX($B$11:$B$63,5))*(1-E255))</f>
        <v/>
      </c>
      <c r="R256" s="15">
        <f>MAX(0,Q255*(1-INDEX($B$11:$B$63,6))*(1-E255))</f>
        <v/>
      </c>
      <c r="S256" s="15">
        <f>MAX(0,R255*(1-INDEX($B$11:$B$63,7))*(1-E255))</f>
        <v/>
      </c>
      <c r="T256" s="15">
        <f>MAX(0,S255*(1-INDEX($B$11:$B$63,8))*(1-E255))</f>
        <v/>
      </c>
      <c r="U256" s="15">
        <f>MAX(0,T255*(1-INDEX($B$11:$B$63,9))*(1-E255))</f>
        <v/>
      </c>
      <c r="V256" s="15">
        <f>MAX(0,U255*(1-INDEX($B$11:$B$63,10))*(1-E255))</f>
        <v/>
      </c>
      <c r="W256" s="15">
        <f>MAX(0,V255*(1-INDEX($B$11:$B$63,11))*(1-E255))</f>
        <v/>
      </c>
      <c r="X256" s="15">
        <f>MAX(0,W255*(1-INDEX($B$11:$B$63,12))*(1-E255))</f>
        <v/>
      </c>
      <c r="Y256" s="15">
        <f>MAX(0,X255*(1-INDEX($B$11:$B$63,13))*(1-E255))</f>
        <v/>
      </c>
      <c r="Z256" s="15">
        <f>MAX(0,Y255*(1-INDEX($B$11:$B$63,14))*(1-E255))</f>
        <v/>
      </c>
      <c r="AA256" s="15">
        <f>MAX(0,Z255*(1-INDEX($B$11:$B$63,15))*(1-E255))</f>
        <v/>
      </c>
      <c r="AB256" s="15">
        <f>MAX(0,AA255*(1-INDEX($B$11:$B$63,16))*(1-E255))</f>
        <v/>
      </c>
      <c r="AC256" s="15">
        <f>MAX(0,AB255*(1-INDEX($B$11:$B$63,17))*(1-E255))</f>
        <v/>
      </c>
      <c r="AD256" s="15">
        <f>MAX(0,AC255*(1-INDEX($B$11:$B$63,18))*(1-E255))</f>
        <v/>
      </c>
      <c r="AE256" s="15">
        <f>MAX(0,AD255*(1-INDEX($B$11:$B$63,19))*(1-E255))</f>
        <v/>
      </c>
      <c r="AF256" s="15">
        <f>MAX(0,AE255*(1-INDEX($B$11:$B$63,20))*(1-E255))</f>
        <v/>
      </c>
      <c r="AG256" s="15">
        <f>MAX(0,AF255*(1-INDEX($B$11:$B$63,21))*(1-E255))</f>
        <v/>
      </c>
      <c r="AH256" s="15">
        <f>MAX(0,AG255*(1-INDEX($B$11:$B$63,22))*(1-E255))</f>
        <v/>
      </c>
      <c r="AI256" s="15">
        <f>MAX(0,AH255*(1-INDEX($B$11:$B$63,23))*(1-E255))</f>
        <v/>
      </c>
      <c r="AJ256" s="15">
        <f>MAX(0,AI255*(1-INDEX($B$11:$B$63,24))*(1-E255))</f>
        <v/>
      </c>
      <c r="AK256" s="15">
        <f>MAX(0,AJ255*(1-INDEX($B$11:$B$63,25))*(1-E255))</f>
        <v/>
      </c>
      <c r="AL256" s="15">
        <f>MAX(0,AK255*(1-INDEX($B$11:$B$63,26))*(1-E255))</f>
        <v/>
      </c>
      <c r="AM256" s="15">
        <f>MAX(0,AL255*(1-INDEX($B$11:$B$63,27))*(1-E255))</f>
        <v/>
      </c>
      <c r="AN256" s="15">
        <f>MAX(0,AM255*(1-INDEX($B$11:$B$63,28))*(1-E255))</f>
        <v/>
      </c>
      <c r="AO256" s="15">
        <f>MAX(0,AN255*(1-INDEX($B$11:$B$63,29))*(1-E255))</f>
        <v/>
      </c>
      <c r="AP256" s="15">
        <f>MAX(0,AO255*(1-INDEX($B$11:$B$63,30))*(1-E255))</f>
        <v/>
      </c>
      <c r="AQ256" s="15">
        <f>MAX(0,AP255*(1-INDEX($B$11:$B$63,31))*(1-E255))</f>
        <v/>
      </c>
      <c r="AR256" s="15">
        <f>MAX(0,AQ255*(1-INDEX($B$11:$B$63,32))*(1-E255))</f>
        <v/>
      </c>
      <c r="AS256" s="15">
        <f>MAX(0,AR255*(1-INDEX($B$11:$B$63,33))*(1-E255))</f>
        <v/>
      </c>
      <c r="AT256" s="15">
        <f>MAX(0,AS255*(1-INDEX($B$11:$B$63,34))*(1-E255))</f>
        <v/>
      </c>
      <c r="AU256" s="15">
        <f>MAX(0,AT255*(1-INDEX($B$11:$B$63,35))*(1-E255))</f>
        <v/>
      </c>
      <c r="AV256" s="15">
        <f>MAX(0,AU255*(1-INDEX($B$11:$B$63,36))*(1-E255))</f>
        <v/>
      </c>
      <c r="AW256" s="15">
        <f>MAX(0,AV255*(1-INDEX($B$11:$B$63,37))*(1-E255))</f>
        <v/>
      </c>
      <c r="AX256" s="15">
        <f>MAX(0,AW255*(1-INDEX($B$11:$B$63,38))*(1-E255))</f>
        <v/>
      </c>
      <c r="AY256" s="15">
        <f>MAX(0,AX255*(1-INDEX($B$11:$B$63,39))*(1-E255))</f>
        <v/>
      </c>
      <c r="AZ256" s="15">
        <f>MAX(0,AY255*(1-INDEX($B$11:$B$63,40))*(1-E255))</f>
        <v/>
      </c>
      <c r="BA256" s="15">
        <f>MAX(0,AZ255*(1-INDEX($B$11:$B$63,41))*(1-E255))</f>
        <v/>
      </c>
      <c r="BB256" s="15">
        <f>MAX(0,BA255*(1-INDEX($B$11:$B$63,42))*(1-E255))</f>
        <v/>
      </c>
      <c r="BC256" s="15">
        <f>MAX(0,BB255*(1-INDEX($B$11:$B$63,43))*(1-E255))</f>
        <v/>
      </c>
      <c r="BD256" s="15">
        <f>MAX(0,BC255*(1-INDEX($B$11:$B$63,44))*(1-E255))</f>
        <v/>
      </c>
      <c r="BE256" s="15">
        <f>MAX(0,BD255*(1-INDEX($B$11:$B$63,45))*(1-E255))</f>
        <v/>
      </c>
      <c r="BF256" s="15">
        <f>MAX(0,BE255*(1-INDEX($B$11:$B$63,46))*(1-E255))</f>
        <v/>
      </c>
      <c r="BG256" s="15">
        <f>MAX(0,BF255*(1-INDEX($B$11:$B$63,47))*(1-E255))</f>
        <v/>
      </c>
      <c r="BH256" s="15">
        <f>MAX(0,BG255*(1-INDEX($B$11:$B$63,48))*(1-E255))</f>
        <v/>
      </c>
      <c r="BI256" s="15">
        <f>MAX(0,BH255*(1-INDEX($B$11:$B$63,49))*(1-E255))</f>
        <v/>
      </c>
      <c r="BJ256" s="15">
        <f>MAX(0,BI255*(1-INDEX($B$11:$B$63,50))*(1-E255))</f>
        <v/>
      </c>
      <c r="BK256" s="15">
        <f>MAX(0,BJ255*(1-INDEX($B$11:$B$63,51))*(1-E255))</f>
        <v/>
      </c>
      <c r="BL256" s="15">
        <f>MAX(0,(BL255+BK255)*(1-INDEX($B$11:$B$63,53))*(1-E255))</f>
        <v/>
      </c>
    </row>
    <row r="257">
      <c r="A257" s="55" t="n">
        <v>191</v>
      </c>
      <c r="B257" s="15">
        <f>IF(A257&gt;Inputs!$C$62,"",SUM(M257:BK257))</f>
        <v/>
      </c>
      <c r="C257" s="15">
        <f>IF(A257&gt;Inputs!$C$62,"",INDEX(Trajectory!$C$23:$C$2000,A257))</f>
        <v/>
      </c>
      <c r="D257" s="15">
        <f>IF(A257&gt;Inputs!$C$62,"",SUM(L257:BK257))</f>
        <v/>
      </c>
      <c r="E257" s="12">
        <f>IF(A257&gt;Inputs!$C$62,"",INDEX(Trajectory!$AG$23:$AG$2000,A257))</f>
        <v/>
      </c>
      <c r="F257" s="12">
        <f>IF(D257=0,0,SUMPRODUCT(L257:BK257,$B$11:$B$63)/D257)</f>
        <v/>
      </c>
      <c r="G257" s="12">
        <f>IF(D257=0,0,MIN(0.95,1-(1-F257)*(1-E257)))</f>
        <v/>
      </c>
      <c r="H257" s="15">
        <f>IF(D257=0,0,D257*G257)</f>
        <v/>
      </c>
      <c r="I257" s="15">
        <f>IF(D257=0,0,D257-H257)</f>
        <v/>
      </c>
      <c r="L257" s="15">
        <f>C257</f>
        <v/>
      </c>
      <c r="M257" s="15">
        <f>MAX(0,L256*(1-INDEX($B$11:$B$63,1))*(1-E256))</f>
        <v/>
      </c>
      <c r="N257" s="15">
        <f>MAX(0,M256*(1-INDEX($B$11:$B$63,2))*(1-E256))</f>
        <v/>
      </c>
      <c r="O257" s="15">
        <f>MAX(0,N256*(1-INDEX($B$11:$B$63,3))*(1-E256))</f>
        <v/>
      </c>
      <c r="P257" s="15">
        <f>MAX(0,O256*(1-INDEX($B$11:$B$63,4))*(1-E256))</f>
        <v/>
      </c>
      <c r="Q257" s="15">
        <f>MAX(0,P256*(1-INDEX($B$11:$B$63,5))*(1-E256))</f>
        <v/>
      </c>
      <c r="R257" s="15">
        <f>MAX(0,Q256*(1-INDEX($B$11:$B$63,6))*(1-E256))</f>
        <v/>
      </c>
      <c r="S257" s="15">
        <f>MAX(0,R256*(1-INDEX($B$11:$B$63,7))*(1-E256))</f>
        <v/>
      </c>
      <c r="T257" s="15">
        <f>MAX(0,S256*(1-INDEX($B$11:$B$63,8))*(1-E256))</f>
        <v/>
      </c>
      <c r="U257" s="15">
        <f>MAX(0,T256*(1-INDEX($B$11:$B$63,9))*(1-E256))</f>
        <v/>
      </c>
      <c r="V257" s="15">
        <f>MAX(0,U256*(1-INDEX($B$11:$B$63,10))*(1-E256))</f>
        <v/>
      </c>
      <c r="W257" s="15">
        <f>MAX(0,V256*(1-INDEX($B$11:$B$63,11))*(1-E256))</f>
        <v/>
      </c>
      <c r="X257" s="15">
        <f>MAX(0,W256*(1-INDEX($B$11:$B$63,12))*(1-E256))</f>
        <v/>
      </c>
      <c r="Y257" s="15">
        <f>MAX(0,X256*(1-INDEX($B$11:$B$63,13))*(1-E256))</f>
        <v/>
      </c>
      <c r="Z257" s="15">
        <f>MAX(0,Y256*(1-INDEX($B$11:$B$63,14))*(1-E256))</f>
        <v/>
      </c>
      <c r="AA257" s="15">
        <f>MAX(0,Z256*(1-INDEX($B$11:$B$63,15))*(1-E256))</f>
        <v/>
      </c>
      <c r="AB257" s="15">
        <f>MAX(0,AA256*(1-INDEX($B$11:$B$63,16))*(1-E256))</f>
        <v/>
      </c>
      <c r="AC257" s="15">
        <f>MAX(0,AB256*(1-INDEX($B$11:$B$63,17))*(1-E256))</f>
        <v/>
      </c>
      <c r="AD257" s="15">
        <f>MAX(0,AC256*(1-INDEX($B$11:$B$63,18))*(1-E256))</f>
        <v/>
      </c>
      <c r="AE257" s="15">
        <f>MAX(0,AD256*(1-INDEX($B$11:$B$63,19))*(1-E256))</f>
        <v/>
      </c>
      <c r="AF257" s="15">
        <f>MAX(0,AE256*(1-INDEX($B$11:$B$63,20))*(1-E256))</f>
        <v/>
      </c>
      <c r="AG257" s="15">
        <f>MAX(0,AF256*(1-INDEX($B$11:$B$63,21))*(1-E256))</f>
        <v/>
      </c>
      <c r="AH257" s="15">
        <f>MAX(0,AG256*(1-INDEX($B$11:$B$63,22))*(1-E256))</f>
        <v/>
      </c>
      <c r="AI257" s="15">
        <f>MAX(0,AH256*(1-INDEX($B$11:$B$63,23))*(1-E256))</f>
        <v/>
      </c>
      <c r="AJ257" s="15">
        <f>MAX(0,AI256*(1-INDEX($B$11:$B$63,24))*(1-E256))</f>
        <v/>
      </c>
      <c r="AK257" s="15">
        <f>MAX(0,AJ256*(1-INDEX($B$11:$B$63,25))*(1-E256))</f>
        <v/>
      </c>
      <c r="AL257" s="15">
        <f>MAX(0,AK256*(1-INDEX($B$11:$B$63,26))*(1-E256))</f>
        <v/>
      </c>
      <c r="AM257" s="15">
        <f>MAX(0,AL256*(1-INDEX($B$11:$B$63,27))*(1-E256))</f>
        <v/>
      </c>
      <c r="AN257" s="15">
        <f>MAX(0,AM256*(1-INDEX($B$11:$B$63,28))*(1-E256))</f>
        <v/>
      </c>
      <c r="AO257" s="15">
        <f>MAX(0,AN256*(1-INDEX($B$11:$B$63,29))*(1-E256))</f>
        <v/>
      </c>
      <c r="AP257" s="15">
        <f>MAX(0,AO256*(1-INDEX($B$11:$B$63,30))*(1-E256))</f>
        <v/>
      </c>
      <c r="AQ257" s="15">
        <f>MAX(0,AP256*(1-INDEX($B$11:$B$63,31))*(1-E256))</f>
        <v/>
      </c>
      <c r="AR257" s="15">
        <f>MAX(0,AQ256*(1-INDEX($B$11:$B$63,32))*(1-E256))</f>
        <v/>
      </c>
      <c r="AS257" s="15">
        <f>MAX(0,AR256*(1-INDEX($B$11:$B$63,33))*(1-E256))</f>
        <v/>
      </c>
      <c r="AT257" s="15">
        <f>MAX(0,AS256*(1-INDEX($B$11:$B$63,34))*(1-E256))</f>
        <v/>
      </c>
      <c r="AU257" s="15">
        <f>MAX(0,AT256*(1-INDEX($B$11:$B$63,35))*(1-E256))</f>
        <v/>
      </c>
      <c r="AV257" s="15">
        <f>MAX(0,AU256*(1-INDEX($B$11:$B$63,36))*(1-E256))</f>
        <v/>
      </c>
      <c r="AW257" s="15">
        <f>MAX(0,AV256*(1-INDEX($B$11:$B$63,37))*(1-E256))</f>
        <v/>
      </c>
      <c r="AX257" s="15">
        <f>MAX(0,AW256*(1-INDEX($B$11:$B$63,38))*(1-E256))</f>
        <v/>
      </c>
      <c r="AY257" s="15">
        <f>MAX(0,AX256*(1-INDEX($B$11:$B$63,39))*(1-E256))</f>
        <v/>
      </c>
      <c r="AZ257" s="15">
        <f>MAX(0,AY256*(1-INDEX($B$11:$B$63,40))*(1-E256))</f>
        <v/>
      </c>
      <c r="BA257" s="15">
        <f>MAX(0,AZ256*(1-INDEX($B$11:$B$63,41))*(1-E256))</f>
        <v/>
      </c>
      <c r="BB257" s="15">
        <f>MAX(0,BA256*(1-INDEX($B$11:$B$63,42))*(1-E256))</f>
        <v/>
      </c>
      <c r="BC257" s="15">
        <f>MAX(0,BB256*(1-INDEX($B$11:$B$63,43))*(1-E256))</f>
        <v/>
      </c>
      <c r="BD257" s="15">
        <f>MAX(0,BC256*(1-INDEX($B$11:$B$63,44))*(1-E256))</f>
        <v/>
      </c>
      <c r="BE257" s="15">
        <f>MAX(0,BD256*(1-INDEX($B$11:$B$63,45))*(1-E256))</f>
        <v/>
      </c>
      <c r="BF257" s="15">
        <f>MAX(0,BE256*(1-INDEX($B$11:$B$63,46))*(1-E256))</f>
        <v/>
      </c>
      <c r="BG257" s="15">
        <f>MAX(0,BF256*(1-INDEX($B$11:$B$63,47))*(1-E256))</f>
        <v/>
      </c>
      <c r="BH257" s="15">
        <f>MAX(0,BG256*(1-INDEX($B$11:$B$63,48))*(1-E256))</f>
        <v/>
      </c>
      <c r="BI257" s="15">
        <f>MAX(0,BH256*(1-INDEX($B$11:$B$63,49))*(1-E256))</f>
        <v/>
      </c>
      <c r="BJ257" s="15">
        <f>MAX(0,BI256*(1-INDEX($B$11:$B$63,50))*(1-E256))</f>
        <v/>
      </c>
      <c r="BK257" s="15">
        <f>MAX(0,BJ256*(1-INDEX($B$11:$B$63,51))*(1-E256))</f>
        <v/>
      </c>
      <c r="BL257" s="15">
        <f>MAX(0,(BL256+BK256)*(1-INDEX($B$11:$B$63,53))*(1-E256))</f>
        <v/>
      </c>
    </row>
    <row r="258">
      <c r="A258" s="55" t="n">
        <v>192</v>
      </c>
      <c r="B258" s="15">
        <f>IF(A258&gt;Inputs!$C$62,"",SUM(M258:BK258))</f>
        <v/>
      </c>
      <c r="C258" s="15">
        <f>IF(A258&gt;Inputs!$C$62,"",INDEX(Trajectory!$C$23:$C$2000,A258))</f>
        <v/>
      </c>
      <c r="D258" s="15">
        <f>IF(A258&gt;Inputs!$C$62,"",SUM(L258:BK258))</f>
        <v/>
      </c>
      <c r="E258" s="12">
        <f>IF(A258&gt;Inputs!$C$62,"",INDEX(Trajectory!$AG$23:$AG$2000,A258))</f>
        <v/>
      </c>
      <c r="F258" s="12">
        <f>IF(D258=0,0,SUMPRODUCT(L258:BK258,$B$11:$B$63)/D258)</f>
        <v/>
      </c>
      <c r="G258" s="12">
        <f>IF(D258=0,0,MIN(0.95,1-(1-F258)*(1-E258)))</f>
        <v/>
      </c>
      <c r="H258" s="15">
        <f>IF(D258=0,0,D258*G258)</f>
        <v/>
      </c>
      <c r="I258" s="15">
        <f>IF(D258=0,0,D258-H258)</f>
        <v/>
      </c>
      <c r="L258" s="15">
        <f>C258</f>
        <v/>
      </c>
      <c r="M258" s="15">
        <f>MAX(0,L257*(1-INDEX($B$11:$B$63,1))*(1-E257))</f>
        <v/>
      </c>
      <c r="N258" s="15">
        <f>MAX(0,M257*(1-INDEX($B$11:$B$63,2))*(1-E257))</f>
        <v/>
      </c>
      <c r="O258" s="15">
        <f>MAX(0,N257*(1-INDEX($B$11:$B$63,3))*(1-E257))</f>
        <v/>
      </c>
      <c r="P258" s="15">
        <f>MAX(0,O257*(1-INDEX($B$11:$B$63,4))*(1-E257))</f>
        <v/>
      </c>
      <c r="Q258" s="15">
        <f>MAX(0,P257*(1-INDEX($B$11:$B$63,5))*(1-E257))</f>
        <v/>
      </c>
      <c r="R258" s="15">
        <f>MAX(0,Q257*(1-INDEX($B$11:$B$63,6))*(1-E257))</f>
        <v/>
      </c>
      <c r="S258" s="15">
        <f>MAX(0,R257*(1-INDEX($B$11:$B$63,7))*(1-E257))</f>
        <v/>
      </c>
      <c r="T258" s="15">
        <f>MAX(0,S257*(1-INDEX($B$11:$B$63,8))*(1-E257))</f>
        <v/>
      </c>
      <c r="U258" s="15">
        <f>MAX(0,T257*(1-INDEX($B$11:$B$63,9))*(1-E257))</f>
        <v/>
      </c>
      <c r="V258" s="15">
        <f>MAX(0,U257*(1-INDEX($B$11:$B$63,10))*(1-E257))</f>
        <v/>
      </c>
      <c r="W258" s="15">
        <f>MAX(0,V257*(1-INDEX($B$11:$B$63,11))*(1-E257))</f>
        <v/>
      </c>
      <c r="X258" s="15">
        <f>MAX(0,W257*(1-INDEX($B$11:$B$63,12))*(1-E257))</f>
        <v/>
      </c>
      <c r="Y258" s="15">
        <f>MAX(0,X257*(1-INDEX($B$11:$B$63,13))*(1-E257))</f>
        <v/>
      </c>
      <c r="Z258" s="15">
        <f>MAX(0,Y257*(1-INDEX($B$11:$B$63,14))*(1-E257))</f>
        <v/>
      </c>
      <c r="AA258" s="15">
        <f>MAX(0,Z257*(1-INDEX($B$11:$B$63,15))*(1-E257))</f>
        <v/>
      </c>
      <c r="AB258" s="15">
        <f>MAX(0,AA257*(1-INDEX($B$11:$B$63,16))*(1-E257))</f>
        <v/>
      </c>
      <c r="AC258" s="15">
        <f>MAX(0,AB257*(1-INDEX($B$11:$B$63,17))*(1-E257))</f>
        <v/>
      </c>
      <c r="AD258" s="15">
        <f>MAX(0,AC257*(1-INDEX($B$11:$B$63,18))*(1-E257))</f>
        <v/>
      </c>
      <c r="AE258" s="15">
        <f>MAX(0,AD257*(1-INDEX($B$11:$B$63,19))*(1-E257))</f>
        <v/>
      </c>
      <c r="AF258" s="15">
        <f>MAX(0,AE257*(1-INDEX($B$11:$B$63,20))*(1-E257))</f>
        <v/>
      </c>
      <c r="AG258" s="15">
        <f>MAX(0,AF257*(1-INDEX($B$11:$B$63,21))*(1-E257))</f>
        <v/>
      </c>
      <c r="AH258" s="15">
        <f>MAX(0,AG257*(1-INDEX($B$11:$B$63,22))*(1-E257))</f>
        <v/>
      </c>
      <c r="AI258" s="15">
        <f>MAX(0,AH257*(1-INDEX($B$11:$B$63,23))*(1-E257))</f>
        <v/>
      </c>
      <c r="AJ258" s="15">
        <f>MAX(0,AI257*(1-INDEX($B$11:$B$63,24))*(1-E257))</f>
        <v/>
      </c>
      <c r="AK258" s="15">
        <f>MAX(0,AJ257*(1-INDEX($B$11:$B$63,25))*(1-E257))</f>
        <v/>
      </c>
      <c r="AL258" s="15">
        <f>MAX(0,AK257*(1-INDEX($B$11:$B$63,26))*(1-E257))</f>
        <v/>
      </c>
      <c r="AM258" s="15">
        <f>MAX(0,AL257*(1-INDEX($B$11:$B$63,27))*(1-E257))</f>
        <v/>
      </c>
      <c r="AN258" s="15">
        <f>MAX(0,AM257*(1-INDEX($B$11:$B$63,28))*(1-E257))</f>
        <v/>
      </c>
      <c r="AO258" s="15">
        <f>MAX(0,AN257*(1-INDEX($B$11:$B$63,29))*(1-E257))</f>
        <v/>
      </c>
      <c r="AP258" s="15">
        <f>MAX(0,AO257*(1-INDEX($B$11:$B$63,30))*(1-E257))</f>
        <v/>
      </c>
      <c r="AQ258" s="15">
        <f>MAX(0,AP257*(1-INDEX($B$11:$B$63,31))*(1-E257))</f>
        <v/>
      </c>
      <c r="AR258" s="15">
        <f>MAX(0,AQ257*(1-INDEX($B$11:$B$63,32))*(1-E257))</f>
        <v/>
      </c>
      <c r="AS258" s="15">
        <f>MAX(0,AR257*(1-INDEX($B$11:$B$63,33))*(1-E257))</f>
        <v/>
      </c>
      <c r="AT258" s="15">
        <f>MAX(0,AS257*(1-INDEX($B$11:$B$63,34))*(1-E257))</f>
        <v/>
      </c>
      <c r="AU258" s="15">
        <f>MAX(0,AT257*(1-INDEX($B$11:$B$63,35))*(1-E257))</f>
        <v/>
      </c>
      <c r="AV258" s="15">
        <f>MAX(0,AU257*(1-INDEX($B$11:$B$63,36))*(1-E257))</f>
        <v/>
      </c>
      <c r="AW258" s="15">
        <f>MAX(0,AV257*(1-INDEX($B$11:$B$63,37))*(1-E257))</f>
        <v/>
      </c>
      <c r="AX258" s="15">
        <f>MAX(0,AW257*(1-INDEX($B$11:$B$63,38))*(1-E257))</f>
        <v/>
      </c>
      <c r="AY258" s="15">
        <f>MAX(0,AX257*(1-INDEX($B$11:$B$63,39))*(1-E257))</f>
        <v/>
      </c>
      <c r="AZ258" s="15">
        <f>MAX(0,AY257*(1-INDEX($B$11:$B$63,40))*(1-E257))</f>
        <v/>
      </c>
      <c r="BA258" s="15">
        <f>MAX(0,AZ257*(1-INDEX($B$11:$B$63,41))*(1-E257))</f>
        <v/>
      </c>
      <c r="BB258" s="15">
        <f>MAX(0,BA257*(1-INDEX($B$11:$B$63,42))*(1-E257))</f>
        <v/>
      </c>
      <c r="BC258" s="15">
        <f>MAX(0,BB257*(1-INDEX($B$11:$B$63,43))*(1-E257))</f>
        <v/>
      </c>
      <c r="BD258" s="15">
        <f>MAX(0,BC257*(1-INDEX($B$11:$B$63,44))*(1-E257))</f>
        <v/>
      </c>
      <c r="BE258" s="15">
        <f>MAX(0,BD257*(1-INDEX($B$11:$B$63,45))*(1-E257))</f>
        <v/>
      </c>
      <c r="BF258" s="15">
        <f>MAX(0,BE257*(1-INDEX($B$11:$B$63,46))*(1-E257))</f>
        <v/>
      </c>
      <c r="BG258" s="15">
        <f>MAX(0,BF257*(1-INDEX($B$11:$B$63,47))*(1-E257))</f>
        <v/>
      </c>
      <c r="BH258" s="15">
        <f>MAX(0,BG257*(1-INDEX($B$11:$B$63,48))*(1-E257))</f>
        <v/>
      </c>
      <c r="BI258" s="15">
        <f>MAX(0,BH257*(1-INDEX($B$11:$B$63,49))*(1-E257))</f>
        <v/>
      </c>
      <c r="BJ258" s="15">
        <f>MAX(0,BI257*(1-INDEX($B$11:$B$63,50))*(1-E257))</f>
        <v/>
      </c>
      <c r="BK258" s="15">
        <f>MAX(0,BJ257*(1-INDEX($B$11:$B$63,51))*(1-E257))</f>
        <v/>
      </c>
      <c r="BL258" s="15">
        <f>MAX(0,(BL257+BK257)*(1-INDEX($B$11:$B$63,53))*(1-E257))</f>
        <v/>
      </c>
    </row>
    <row r="259">
      <c r="A259" s="55" t="n">
        <v>193</v>
      </c>
      <c r="B259" s="15">
        <f>IF(A259&gt;Inputs!$C$62,"",SUM(M259:BK259))</f>
        <v/>
      </c>
      <c r="C259" s="15">
        <f>IF(A259&gt;Inputs!$C$62,"",INDEX(Trajectory!$C$23:$C$2000,A259))</f>
        <v/>
      </c>
      <c r="D259" s="15">
        <f>IF(A259&gt;Inputs!$C$62,"",SUM(L259:BK259))</f>
        <v/>
      </c>
      <c r="E259" s="12">
        <f>IF(A259&gt;Inputs!$C$62,"",INDEX(Trajectory!$AG$23:$AG$2000,A259))</f>
        <v/>
      </c>
      <c r="F259" s="12">
        <f>IF(D259=0,0,SUMPRODUCT(L259:BK259,$B$11:$B$63)/D259)</f>
        <v/>
      </c>
      <c r="G259" s="12">
        <f>IF(D259=0,0,MIN(0.95,1-(1-F259)*(1-E259)))</f>
        <v/>
      </c>
      <c r="H259" s="15">
        <f>IF(D259=0,0,D259*G259)</f>
        <v/>
      </c>
      <c r="I259" s="15">
        <f>IF(D259=0,0,D259-H259)</f>
        <v/>
      </c>
      <c r="L259" s="15">
        <f>C259</f>
        <v/>
      </c>
      <c r="M259" s="15">
        <f>MAX(0,L258*(1-INDEX($B$11:$B$63,1))*(1-E258))</f>
        <v/>
      </c>
      <c r="N259" s="15">
        <f>MAX(0,M258*(1-INDEX($B$11:$B$63,2))*(1-E258))</f>
        <v/>
      </c>
      <c r="O259" s="15">
        <f>MAX(0,N258*(1-INDEX($B$11:$B$63,3))*(1-E258))</f>
        <v/>
      </c>
      <c r="P259" s="15">
        <f>MAX(0,O258*(1-INDEX($B$11:$B$63,4))*(1-E258))</f>
        <v/>
      </c>
      <c r="Q259" s="15">
        <f>MAX(0,P258*(1-INDEX($B$11:$B$63,5))*(1-E258))</f>
        <v/>
      </c>
      <c r="R259" s="15">
        <f>MAX(0,Q258*(1-INDEX($B$11:$B$63,6))*(1-E258))</f>
        <v/>
      </c>
      <c r="S259" s="15">
        <f>MAX(0,R258*(1-INDEX($B$11:$B$63,7))*(1-E258))</f>
        <v/>
      </c>
      <c r="T259" s="15">
        <f>MAX(0,S258*(1-INDEX($B$11:$B$63,8))*(1-E258))</f>
        <v/>
      </c>
      <c r="U259" s="15">
        <f>MAX(0,T258*(1-INDEX($B$11:$B$63,9))*(1-E258))</f>
        <v/>
      </c>
      <c r="V259" s="15">
        <f>MAX(0,U258*(1-INDEX($B$11:$B$63,10))*(1-E258))</f>
        <v/>
      </c>
      <c r="W259" s="15">
        <f>MAX(0,V258*(1-INDEX($B$11:$B$63,11))*(1-E258))</f>
        <v/>
      </c>
      <c r="X259" s="15">
        <f>MAX(0,W258*(1-INDEX($B$11:$B$63,12))*(1-E258))</f>
        <v/>
      </c>
      <c r="Y259" s="15">
        <f>MAX(0,X258*(1-INDEX($B$11:$B$63,13))*(1-E258))</f>
        <v/>
      </c>
      <c r="Z259" s="15">
        <f>MAX(0,Y258*(1-INDEX($B$11:$B$63,14))*(1-E258))</f>
        <v/>
      </c>
      <c r="AA259" s="15">
        <f>MAX(0,Z258*(1-INDEX($B$11:$B$63,15))*(1-E258))</f>
        <v/>
      </c>
      <c r="AB259" s="15">
        <f>MAX(0,AA258*(1-INDEX($B$11:$B$63,16))*(1-E258))</f>
        <v/>
      </c>
      <c r="AC259" s="15">
        <f>MAX(0,AB258*(1-INDEX($B$11:$B$63,17))*(1-E258))</f>
        <v/>
      </c>
      <c r="AD259" s="15">
        <f>MAX(0,AC258*(1-INDEX($B$11:$B$63,18))*(1-E258))</f>
        <v/>
      </c>
      <c r="AE259" s="15">
        <f>MAX(0,AD258*(1-INDEX($B$11:$B$63,19))*(1-E258))</f>
        <v/>
      </c>
      <c r="AF259" s="15">
        <f>MAX(0,AE258*(1-INDEX($B$11:$B$63,20))*(1-E258))</f>
        <v/>
      </c>
      <c r="AG259" s="15">
        <f>MAX(0,AF258*(1-INDEX($B$11:$B$63,21))*(1-E258))</f>
        <v/>
      </c>
      <c r="AH259" s="15">
        <f>MAX(0,AG258*(1-INDEX($B$11:$B$63,22))*(1-E258))</f>
        <v/>
      </c>
      <c r="AI259" s="15">
        <f>MAX(0,AH258*(1-INDEX($B$11:$B$63,23))*(1-E258))</f>
        <v/>
      </c>
      <c r="AJ259" s="15">
        <f>MAX(0,AI258*(1-INDEX($B$11:$B$63,24))*(1-E258))</f>
        <v/>
      </c>
      <c r="AK259" s="15">
        <f>MAX(0,AJ258*(1-INDEX($B$11:$B$63,25))*(1-E258))</f>
        <v/>
      </c>
      <c r="AL259" s="15">
        <f>MAX(0,AK258*(1-INDEX($B$11:$B$63,26))*(1-E258))</f>
        <v/>
      </c>
      <c r="AM259" s="15">
        <f>MAX(0,AL258*(1-INDEX($B$11:$B$63,27))*(1-E258))</f>
        <v/>
      </c>
      <c r="AN259" s="15">
        <f>MAX(0,AM258*(1-INDEX($B$11:$B$63,28))*(1-E258))</f>
        <v/>
      </c>
      <c r="AO259" s="15">
        <f>MAX(0,AN258*(1-INDEX($B$11:$B$63,29))*(1-E258))</f>
        <v/>
      </c>
      <c r="AP259" s="15">
        <f>MAX(0,AO258*(1-INDEX($B$11:$B$63,30))*(1-E258))</f>
        <v/>
      </c>
      <c r="AQ259" s="15">
        <f>MAX(0,AP258*(1-INDEX($B$11:$B$63,31))*(1-E258))</f>
        <v/>
      </c>
      <c r="AR259" s="15">
        <f>MAX(0,AQ258*(1-INDEX($B$11:$B$63,32))*(1-E258))</f>
        <v/>
      </c>
      <c r="AS259" s="15">
        <f>MAX(0,AR258*(1-INDEX($B$11:$B$63,33))*(1-E258))</f>
        <v/>
      </c>
      <c r="AT259" s="15">
        <f>MAX(0,AS258*(1-INDEX($B$11:$B$63,34))*(1-E258))</f>
        <v/>
      </c>
      <c r="AU259" s="15">
        <f>MAX(0,AT258*(1-INDEX($B$11:$B$63,35))*(1-E258))</f>
        <v/>
      </c>
      <c r="AV259" s="15">
        <f>MAX(0,AU258*(1-INDEX($B$11:$B$63,36))*(1-E258))</f>
        <v/>
      </c>
      <c r="AW259" s="15">
        <f>MAX(0,AV258*(1-INDEX($B$11:$B$63,37))*(1-E258))</f>
        <v/>
      </c>
      <c r="AX259" s="15">
        <f>MAX(0,AW258*(1-INDEX($B$11:$B$63,38))*(1-E258))</f>
        <v/>
      </c>
      <c r="AY259" s="15">
        <f>MAX(0,AX258*(1-INDEX($B$11:$B$63,39))*(1-E258))</f>
        <v/>
      </c>
      <c r="AZ259" s="15">
        <f>MAX(0,AY258*(1-INDEX($B$11:$B$63,40))*(1-E258))</f>
        <v/>
      </c>
      <c r="BA259" s="15">
        <f>MAX(0,AZ258*(1-INDEX($B$11:$B$63,41))*(1-E258))</f>
        <v/>
      </c>
      <c r="BB259" s="15">
        <f>MAX(0,BA258*(1-INDEX($B$11:$B$63,42))*(1-E258))</f>
        <v/>
      </c>
      <c r="BC259" s="15">
        <f>MAX(0,BB258*(1-INDEX($B$11:$B$63,43))*(1-E258))</f>
        <v/>
      </c>
      <c r="BD259" s="15">
        <f>MAX(0,BC258*(1-INDEX($B$11:$B$63,44))*(1-E258))</f>
        <v/>
      </c>
      <c r="BE259" s="15">
        <f>MAX(0,BD258*(1-INDEX($B$11:$B$63,45))*(1-E258))</f>
        <v/>
      </c>
      <c r="BF259" s="15">
        <f>MAX(0,BE258*(1-INDEX($B$11:$B$63,46))*(1-E258))</f>
        <v/>
      </c>
      <c r="BG259" s="15">
        <f>MAX(0,BF258*(1-INDEX($B$11:$B$63,47))*(1-E258))</f>
        <v/>
      </c>
      <c r="BH259" s="15">
        <f>MAX(0,BG258*(1-INDEX($B$11:$B$63,48))*(1-E258))</f>
        <v/>
      </c>
      <c r="BI259" s="15">
        <f>MAX(0,BH258*(1-INDEX($B$11:$B$63,49))*(1-E258))</f>
        <v/>
      </c>
      <c r="BJ259" s="15">
        <f>MAX(0,BI258*(1-INDEX($B$11:$B$63,50))*(1-E258))</f>
        <v/>
      </c>
      <c r="BK259" s="15">
        <f>MAX(0,BJ258*(1-INDEX($B$11:$B$63,51))*(1-E258))</f>
        <v/>
      </c>
      <c r="BL259" s="15">
        <f>MAX(0,(BL258+BK258)*(1-INDEX($B$11:$B$63,53))*(1-E258))</f>
        <v/>
      </c>
    </row>
    <row r="260">
      <c r="A260" s="55" t="n">
        <v>194</v>
      </c>
      <c r="B260" s="15">
        <f>IF(A260&gt;Inputs!$C$62,"",SUM(M260:BK260))</f>
        <v/>
      </c>
      <c r="C260" s="15">
        <f>IF(A260&gt;Inputs!$C$62,"",INDEX(Trajectory!$C$23:$C$2000,A260))</f>
        <v/>
      </c>
      <c r="D260" s="15">
        <f>IF(A260&gt;Inputs!$C$62,"",SUM(L260:BK260))</f>
        <v/>
      </c>
      <c r="E260" s="12">
        <f>IF(A260&gt;Inputs!$C$62,"",INDEX(Trajectory!$AG$23:$AG$2000,A260))</f>
        <v/>
      </c>
      <c r="F260" s="12">
        <f>IF(D260=0,0,SUMPRODUCT(L260:BK260,$B$11:$B$63)/D260)</f>
        <v/>
      </c>
      <c r="G260" s="12">
        <f>IF(D260=0,0,MIN(0.95,1-(1-F260)*(1-E260)))</f>
        <v/>
      </c>
      <c r="H260" s="15">
        <f>IF(D260=0,0,D260*G260)</f>
        <v/>
      </c>
      <c r="I260" s="15">
        <f>IF(D260=0,0,D260-H260)</f>
        <v/>
      </c>
      <c r="L260" s="15">
        <f>C260</f>
        <v/>
      </c>
      <c r="M260" s="15">
        <f>MAX(0,L259*(1-INDEX($B$11:$B$63,1))*(1-E259))</f>
        <v/>
      </c>
      <c r="N260" s="15">
        <f>MAX(0,M259*(1-INDEX($B$11:$B$63,2))*(1-E259))</f>
        <v/>
      </c>
      <c r="O260" s="15">
        <f>MAX(0,N259*(1-INDEX($B$11:$B$63,3))*(1-E259))</f>
        <v/>
      </c>
      <c r="P260" s="15">
        <f>MAX(0,O259*(1-INDEX($B$11:$B$63,4))*(1-E259))</f>
        <v/>
      </c>
      <c r="Q260" s="15">
        <f>MAX(0,P259*(1-INDEX($B$11:$B$63,5))*(1-E259))</f>
        <v/>
      </c>
      <c r="R260" s="15">
        <f>MAX(0,Q259*(1-INDEX($B$11:$B$63,6))*(1-E259))</f>
        <v/>
      </c>
      <c r="S260" s="15">
        <f>MAX(0,R259*(1-INDEX($B$11:$B$63,7))*(1-E259))</f>
        <v/>
      </c>
      <c r="T260" s="15">
        <f>MAX(0,S259*(1-INDEX($B$11:$B$63,8))*(1-E259))</f>
        <v/>
      </c>
      <c r="U260" s="15">
        <f>MAX(0,T259*(1-INDEX($B$11:$B$63,9))*(1-E259))</f>
        <v/>
      </c>
      <c r="V260" s="15">
        <f>MAX(0,U259*(1-INDEX($B$11:$B$63,10))*(1-E259))</f>
        <v/>
      </c>
      <c r="W260" s="15">
        <f>MAX(0,V259*(1-INDEX($B$11:$B$63,11))*(1-E259))</f>
        <v/>
      </c>
      <c r="X260" s="15">
        <f>MAX(0,W259*(1-INDEX($B$11:$B$63,12))*(1-E259))</f>
        <v/>
      </c>
      <c r="Y260" s="15">
        <f>MAX(0,X259*(1-INDEX($B$11:$B$63,13))*(1-E259))</f>
        <v/>
      </c>
      <c r="Z260" s="15">
        <f>MAX(0,Y259*(1-INDEX($B$11:$B$63,14))*(1-E259))</f>
        <v/>
      </c>
      <c r="AA260" s="15">
        <f>MAX(0,Z259*(1-INDEX($B$11:$B$63,15))*(1-E259))</f>
        <v/>
      </c>
      <c r="AB260" s="15">
        <f>MAX(0,AA259*(1-INDEX($B$11:$B$63,16))*(1-E259))</f>
        <v/>
      </c>
      <c r="AC260" s="15">
        <f>MAX(0,AB259*(1-INDEX($B$11:$B$63,17))*(1-E259))</f>
        <v/>
      </c>
      <c r="AD260" s="15">
        <f>MAX(0,AC259*(1-INDEX($B$11:$B$63,18))*(1-E259))</f>
        <v/>
      </c>
      <c r="AE260" s="15">
        <f>MAX(0,AD259*(1-INDEX($B$11:$B$63,19))*(1-E259))</f>
        <v/>
      </c>
      <c r="AF260" s="15">
        <f>MAX(0,AE259*(1-INDEX($B$11:$B$63,20))*(1-E259))</f>
        <v/>
      </c>
      <c r="AG260" s="15">
        <f>MAX(0,AF259*(1-INDEX($B$11:$B$63,21))*(1-E259))</f>
        <v/>
      </c>
      <c r="AH260" s="15">
        <f>MAX(0,AG259*(1-INDEX($B$11:$B$63,22))*(1-E259))</f>
        <v/>
      </c>
      <c r="AI260" s="15">
        <f>MAX(0,AH259*(1-INDEX($B$11:$B$63,23))*(1-E259))</f>
        <v/>
      </c>
      <c r="AJ260" s="15">
        <f>MAX(0,AI259*(1-INDEX($B$11:$B$63,24))*(1-E259))</f>
        <v/>
      </c>
      <c r="AK260" s="15">
        <f>MAX(0,AJ259*(1-INDEX($B$11:$B$63,25))*(1-E259))</f>
        <v/>
      </c>
      <c r="AL260" s="15">
        <f>MAX(0,AK259*(1-INDEX($B$11:$B$63,26))*(1-E259))</f>
        <v/>
      </c>
      <c r="AM260" s="15">
        <f>MAX(0,AL259*(1-INDEX($B$11:$B$63,27))*(1-E259))</f>
        <v/>
      </c>
      <c r="AN260" s="15">
        <f>MAX(0,AM259*(1-INDEX($B$11:$B$63,28))*(1-E259))</f>
        <v/>
      </c>
      <c r="AO260" s="15">
        <f>MAX(0,AN259*(1-INDEX($B$11:$B$63,29))*(1-E259))</f>
        <v/>
      </c>
      <c r="AP260" s="15">
        <f>MAX(0,AO259*(1-INDEX($B$11:$B$63,30))*(1-E259))</f>
        <v/>
      </c>
      <c r="AQ260" s="15">
        <f>MAX(0,AP259*(1-INDEX($B$11:$B$63,31))*(1-E259))</f>
        <v/>
      </c>
      <c r="AR260" s="15">
        <f>MAX(0,AQ259*(1-INDEX($B$11:$B$63,32))*(1-E259))</f>
        <v/>
      </c>
      <c r="AS260" s="15">
        <f>MAX(0,AR259*(1-INDEX($B$11:$B$63,33))*(1-E259))</f>
        <v/>
      </c>
      <c r="AT260" s="15">
        <f>MAX(0,AS259*(1-INDEX($B$11:$B$63,34))*(1-E259))</f>
        <v/>
      </c>
      <c r="AU260" s="15">
        <f>MAX(0,AT259*(1-INDEX($B$11:$B$63,35))*(1-E259))</f>
        <v/>
      </c>
      <c r="AV260" s="15">
        <f>MAX(0,AU259*(1-INDEX($B$11:$B$63,36))*(1-E259))</f>
        <v/>
      </c>
      <c r="AW260" s="15">
        <f>MAX(0,AV259*(1-INDEX($B$11:$B$63,37))*(1-E259))</f>
        <v/>
      </c>
      <c r="AX260" s="15">
        <f>MAX(0,AW259*(1-INDEX($B$11:$B$63,38))*(1-E259))</f>
        <v/>
      </c>
      <c r="AY260" s="15">
        <f>MAX(0,AX259*(1-INDEX($B$11:$B$63,39))*(1-E259))</f>
        <v/>
      </c>
      <c r="AZ260" s="15">
        <f>MAX(0,AY259*(1-INDEX($B$11:$B$63,40))*(1-E259))</f>
        <v/>
      </c>
      <c r="BA260" s="15">
        <f>MAX(0,AZ259*(1-INDEX($B$11:$B$63,41))*(1-E259))</f>
        <v/>
      </c>
      <c r="BB260" s="15">
        <f>MAX(0,BA259*(1-INDEX($B$11:$B$63,42))*(1-E259))</f>
        <v/>
      </c>
      <c r="BC260" s="15">
        <f>MAX(0,BB259*(1-INDEX($B$11:$B$63,43))*(1-E259))</f>
        <v/>
      </c>
      <c r="BD260" s="15">
        <f>MAX(0,BC259*(1-INDEX($B$11:$B$63,44))*(1-E259))</f>
        <v/>
      </c>
      <c r="BE260" s="15">
        <f>MAX(0,BD259*(1-INDEX($B$11:$B$63,45))*(1-E259))</f>
        <v/>
      </c>
      <c r="BF260" s="15">
        <f>MAX(0,BE259*(1-INDEX($B$11:$B$63,46))*(1-E259))</f>
        <v/>
      </c>
      <c r="BG260" s="15">
        <f>MAX(0,BF259*(1-INDEX($B$11:$B$63,47))*(1-E259))</f>
        <v/>
      </c>
      <c r="BH260" s="15">
        <f>MAX(0,BG259*(1-INDEX($B$11:$B$63,48))*(1-E259))</f>
        <v/>
      </c>
      <c r="BI260" s="15">
        <f>MAX(0,BH259*(1-INDEX($B$11:$B$63,49))*(1-E259))</f>
        <v/>
      </c>
      <c r="BJ260" s="15">
        <f>MAX(0,BI259*(1-INDEX($B$11:$B$63,50))*(1-E259))</f>
        <v/>
      </c>
      <c r="BK260" s="15">
        <f>MAX(0,BJ259*(1-INDEX($B$11:$B$63,51))*(1-E259))</f>
        <v/>
      </c>
      <c r="BL260" s="15">
        <f>MAX(0,(BL259+BK259)*(1-INDEX($B$11:$B$63,53))*(1-E259))</f>
        <v/>
      </c>
    </row>
    <row r="261">
      <c r="A261" s="55" t="n">
        <v>195</v>
      </c>
      <c r="B261" s="15">
        <f>IF(A261&gt;Inputs!$C$62,"",SUM(M261:BK261))</f>
        <v/>
      </c>
      <c r="C261" s="15">
        <f>IF(A261&gt;Inputs!$C$62,"",INDEX(Trajectory!$C$23:$C$2000,A261))</f>
        <v/>
      </c>
      <c r="D261" s="15">
        <f>IF(A261&gt;Inputs!$C$62,"",SUM(L261:BK261))</f>
        <v/>
      </c>
      <c r="E261" s="12">
        <f>IF(A261&gt;Inputs!$C$62,"",INDEX(Trajectory!$AG$23:$AG$2000,A261))</f>
        <v/>
      </c>
      <c r="F261" s="12">
        <f>IF(D261=0,0,SUMPRODUCT(L261:BK261,$B$11:$B$63)/D261)</f>
        <v/>
      </c>
      <c r="G261" s="12">
        <f>IF(D261=0,0,MIN(0.95,1-(1-F261)*(1-E261)))</f>
        <v/>
      </c>
      <c r="H261" s="15">
        <f>IF(D261=0,0,D261*G261)</f>
        <v/>
      </c>
      <c r="I261" s="15">
        <f>IF(D261=0,0,D261-H261)</f>
        <v/>
      </c>
      <c r="L261" s="15">
        <f>C261</f>
        <v/>
      </c>
      <c r="M261" s="15">
        <f>MAX(0,L260*(1-INDEX($B$11:$B$63,1))*(1-E260))</f>
        <v/>
      </c>
      <c r="N261" s="15">
        <f>MAX(0,M260*(1-INDEX($B$11:$B$63,2))*(1-E260))</f>
        <v/>
      </c>
      <c r="O261" s="15">
        <f>MAX(0,N260*(1-INDEX($B$11:$B$63,3))*(1-E260))</f>
        <v/>
      </c>
      <c r="P261" s="15">
        <f>MAX(0,O260*(1-INDEX($B$11:$B$63,4))*(1-E260))</f>
        <v/>
      </c>
      <c r="Q261" s="15">
        <f>MAX(0,P260*(1-INDEX($B$11:$B$63,5))*(1-E260))</f>
        <v/>
      </c>
      <c r="R261" s="15">
        <f>MAX(0,Q260*(1-INDEX($B$11:$B$63,6))*(1-E260))</f>
        <v/>
      </c>
      <c r="S261" s="15">
        <f>MAX(0,R260*(1-INDEX($B$11:$B$63,7))*(1-E260))</f>
        <v/>
      </c>
      <c r="T261" s="15">
        <f>MAX(0,S260*(1-INDEX($B$11:$B$63,8))*(1-E260))</f>
        <v/>
      </c>
      <c r="U261" s="15">
        <f>MAX(0,T260*(1-INDEX($B$11:$B$63,9))*(1-E260))</f>
        <v/>
      </c>
      <c r="V261" s="15">
        <f>MAX(0,U260*(1-INDEX($B$11:$B$63,10))*(1-E260))</f>
        <v/>
      </c>
      <c r="W261" s="15">
        <f>MAX(0,V260*(1-INDEX($B$11:$B$63,11))*(1-E260))</f>
        <v/>
      </c>
      <c r="X261" s="15">
        <f>MAX(0,W260*(1-INDEX($B$11:$B$63,12))*(1-E260))</f>
        <v/>
      </c>
      <c r="Y261" s="15">
        <f>MAX(0,X260*(1-INDEX($B$11:$B$63,13))*(1-E260))</f>
        <v/>
      </c>
      <c r="Z261" s="15">
        <f>MAX(0,Y260*(1-INDEX($B$11:$B$63,14))*(1-E260))</f>
        <v/>
      </c>
      <c r="AA261" s="15">
        <f>MAX(0,Z260*(1-INDEX($B$11:$B$63,15))*(1-E260))</f>
        <v/>
      </c>
      <c r="AB261" s="15">
        <f>MAX(0,AA260*(1-INDEX($B$11:$B$63,16))*(1-E260))</f>
        <v/>
      </c>
      <c r="AC261" s="15">
        <f>MAX(0,AB260*(1-INDEX($B$11:$B$63,17))*(1-E260))</f>
        <v/>
      </c>
      <c r="AD261" s="15">
        <f>MAX(0,AC260*(1-INDEX($B$11:$B$63,18))*(1-E260))</f>
        <v/>
      </c>
      <c r="AE261" s="15">
        <f>MAX(0,AD260*(1-INDEX($B$11:$B$63,19))*(1-E260))</f>
        <v/>
      </c>
      <c r="AF261" s="15">
        <f>MAX(0,AE260*(1-INDEX($B$11:$B$63,20))*(1-E260))</f>
        <v/>
      </c>
      <c r="AG261" s="15">
        <f>MAX(0,AF260*(1-INDEX($B$11:$B$63,21))*(1-E260))</f>
        <v/>
      </c>
      <c r="AH261" s="15">
        <f>MAX(0,AG260*(1-INDEX($B$11:$B$63,22))*(1-E260))</f>
        <v/>
      </c>
      <c r="AI261" s="15">
        <f>MAX(0,AH260*(1-INDEX($B$11:$B$63,23))*(1-E260))</f>
        <v/>
      </c>
      <c r="AJ261" s="15">
        <f>MAX(0,AI260*(1-INDEX($B$11:$B$63,24))*(1-E260))</f>
        <v/>
      </c>
      <c r="AK261" s="15">
        <f>MAX(0,AJ260*(1-INDEX($B$11:$B$63,25))*(1-E260))</f>
        <v/>
      </c>
      <c r="AL261" s="15">
        <f>MAX(0,AK260*(1-INDEX($B$11:$B$63,26))*(1-E260))</f>
        <v/>
      </c>
      <c r="AM261" s="15">
        <f>MAX(0,AL260*(1-INDEX($B$11:$B$63,27))*(1-E260))</f>
        <v/>
      </c>
      <c r="AN261" s="15">
        <f>MAX(0,AM260*(1-INDEX($B$11:$B$63,28))*(1-E260))</f>
        <v/>
      </c>
      <c r="AO261" s="15">
        <f>MAX(0,AN260*(1-INDEX($B$11:$B$63,29))*(1-E260))</f>
        <v/>
      </c>
      <c r="AP261" s="15">
        <f>MAX(0,AO260*(1-INDEX($B$11:$B$63,30))*(1-E260))</f>
        <v/>
      </c>
      <c r="AQ261" s="15">
        <f>MAX(0,AP260*(1-INDEX($B$11:$B$63,31))*(1-E260))</f>
        <v/>
      </c>
      <c r="AR261" s="15">
        <f>MAX(0,AQ260*(1-INDEX($B$11:$B$63,32))*(1-E260))</f>
        <v/>
      </c>
      <c r="AS261" s="15">
        <f>MAX(0,AR260*(1-INDEX($B$11:$B$63,33))*(1-E260))</f>
        <v/>
      </c>
      <c r="AT261" s="15">
        <f>MAX(0,AS260*(1-INDEX($B$11:$B$63,34))*(1-E260))</f>
        <v/>
      </c>
      <c r="AU261" s="15">
        <f>MAX(0,AT260*(1-INDEX($B$11:$B$63,35))*(1-E260))</f>
        <v/>
      </c>
      <c r="AV261" s="15">
        <f>MAX(0,AU260*(1-INDEX($B$11:$B$63,36))*(1-E260))</f>
        <v/>
      </c>
      <c r="AW261" s="15">
        <f>MAX(0,AV260*(1-INDEX($B$11:$B$63,37))*(1-E260))</f>
        <v/>
      </c>
      <c r="AX261" s="15">
        <f>MAX(0,AW260*(1-INDEX($B$11:$B$63,38))*(1-E260))</f>
        <v/>
      </c>
      <c r="AY261" s="15">
        <f>MAX(0,AX260*(1-INDEX($B$11:$B$63,39))*(1-E260))</f>
        <v/>
      </c>
      <c r="AZ261" s="15">
        <f>MAX(0,AY260*(1-INDEX($B$11:$B$63,40))*(1-E260))</f>
        <v/>
      </c>
      <c r="BA261" s="15">
        <f>MAX(0,AZ260*(1-INDEX($B$11:$B$63,41))*(1-E260))</f>
        <v/>
      </c>
      <c r="BB261" s="15">
        <f>MAX(0,BA260*(1-INDEX($B$11:$B$63,42))*(1-E260))</f>
        <v/>
      </c>
      <c r="BC261" s="15">
        <f>MAX(0,BB260*(1-INDEX($B$11:$B$63,43))*(1-E260))</f>
        <v/>
      </c>
      <c r="BD261" s="15">
        <f>MAX(0,BC260*(1-INDEX($B$11:$B$63,44))*(1-E260))</f>
        <v/>
      </c>
      <c r="BE261" s="15">
        <f>MAX(0,BD260*(1-INDEX($B$11:$B$63,45))*(1-E260))</f>
        <v/>
      </c>
      <c r="BF261" s="15">
        <f>MAX(0,BE260*(1-INDEX($B$11:$B$63,46))*(1-E260))</f>
        <v/>
      </c>
      <c r="BG261" s="15">
        <f>MAX(0,BF260*(1-INDEX($B$11:$B$63,47))*(1-E260))</f>
        <v/>
      </c>
      <c r="BH261" s="15">
        <f>MAX(0,BG260*(1-INDEX($B$11:$B$63,48))*(1-E260))</f>
        <v/>
      </c>
      <c r="BI261" s="15">
        <f>MAX(0,BH260*(1-INDEX($B$11:$B$63,49))*(1-E260))</f>
        <v/>
      </c>
      <c r="BJ261" s="15">
        <f>MAX(0,BI260*(1-INDEX($B$11:$B$63,50))*(1-E260))</f>
        <v/>
      </c>
      <c r="BK261" s="15">
        <f>MAX(0,BJ260*(1-INDEX($B$11:$B$63,51))*(1-E260))</f>
        <v/>
      </c>
      <c r="BL261" s="15">
        <f>MAX(0,(BL260+BK260)*(1-INDEX($B$11:$B$63,53))*(1-E260))</f>
        <v/>
      </c>
    </row>
    <row r="262">
      <c r="A262" s="55" t="n">
        <v>196</v>
      </c>
      <c r="B262" s="15">
        <f>IF(A262&gt;Inputs!$C$62,"",SUM(M262:BK262))</f>
        <v/>
      </c>
      <c r="C262" s="15">
        <f>IF(A262&gt;Inputs!$C$62,"",INDEX(Trajectory!$C$23:$C$2000,A262))</f>
        <v/>
      </c>
      <c r="D262" s="15">
        <f>IF(A262&gt;Inputs!$C$62,"",SUM(L262:BK262))</f>
        <v/>
      </c>
      <c r="E262" s="12">
        <f>IF(A262&gt;Inputs!$C$62,"",INDEX(Trajectory!$AG$23:$AG$2000,A262))</f>
        <v/>
      </c>
      <c r="F262" s="12">
        <f>IF(D262=0,0,SUMPRODUCT(L262:BK262,$B$11:$B$63)/D262)</f>
        <v/>
      </c>
      <c r="G262" s="12">
        <f>IF(D262=0,0,MIN(0.95,1-(1-F262)*(1-E262)))</f>
        <v/>
      </c>
      <c r="H262" s="15">
        <f>IF(D262=0,0,D262*G262)</f>
        <v/>
      </c>
      <c r="I262" s="15">
        <f>IF(D262=0,0,D262-H262)</f>
        <v/>
      </c>
      <c r="L262" s="15">
        <f>C262</f>
        <v/>
      </c>
      <c r="M262" s="15">
        <f>MAX(0,L261*(1-INDEX($B$11:$B$63,1))*(1-E261))</f>
        <v/>
      </c>
      <c r="N262" s="15">
        <f>MAX(0,M261*(1-INDEX($B$11:$B$63,2))*(1-E261))</f>
        <v/>
      </c>
      <c r="O262" s="15">
        <f>MAX(0,N261*(1-INDEX($B$11:$B$63,3))*(1-E261))</f>
        <v/>
      </c>
      <c r="P262" s="15">
        <f>MAX(0,O261*(1-INDEX($B$11:$B$63,4))*(1-E261))</f>
        <v/>
      </c>
      <c r="Q262" s="15">
        <f>MAX(0,P261*(1-INDEX($B$11:$B$63,5))*(1-E261))</f>
        <v/>
      </c>
      <c r="R262" s="15">
        <f>MAX(0,Q261*(1-INDEX($B$11:$B$63,6))*(1-E261))</f>
        <v/>
      </c>
      <c r="S262" s="15">
        <f>MAX(0,R261*(1-INDEX($B$11:$B$63,7))*(1-E261))</f>
        <v/>
      </c>
      <c r="T262" s="15">
        <f>MAX(0,S261*(1-INDEX($B$11:$B$63,8))*(1-E261))</f>
        <v/>
      </c>
      <c r="U262" s="15">
        <f>MAX(0,T261*(1-INDEX($B$11:$B$63,9))*(1-E261))</f>
        <v/>
      </c>
      <c r="V262" s="15">
        <f>MAX(0,U261*(1-INDEX($B$11:$B$63,10))*(1-E261))</f>
        <v/>
      </c>
      <c r="W262" s="15">
        <f>MAX(0,V261*(1-INDEX($B$11:$B$63,11))*(1-E261))</f>
        <v/>
      </c>
      <c r="X262" s="15">
        <f>MAX(0,W261*(1-INDEX($B$11:$B$63,12))*(1-E261))</f>
        <v/>
      </c>
      <c r="Y262" s="15">
        <f>MAX(0,X261*(1-INDEX($B$11:$B$63,13))*(1-E261))</f>
        <v/>
      </c>
      <c r="Z262" s="15">
        <f>MAX(0,Y261*(1-INDEX($B$11:$B$63,14))*(1-E261))</f>
        <v/>
      </c>
      <c r="AA262" s="15">
        <f>MAX(0,Z261*(1-INDEX($B$11:$B$63,15))*(1-E261))</f>
        <v/>
      </c>
      <c r="AB262" s="15">
        <f>MAX(0,AA261*(1-INDEX($B$11:$B$63,16))*(1-E261))</f>
        <v/>
      </c>
      <c r="AC262" s="15">
        <f>MAX(0,AB261*(1-INDEX($B$11:$B$63,17))*(1-E261))</f>
        <v/>
      </c>
      <c r="AD262" s="15">
        <f>MAX(0,AC261*(1-INDEX($B$11:$B$63,18))*(1-E261))</f>
        <v/>
      </c>
      <c r="AE262" s="15">
        <f>MAX(0,AD261*(1-INDEX($B$11:$B$63,19))*(1-E261))</f>
        <v/>
      </c>
      <c r="AF262" s="15">
        <f>MAX(0,AE261*(1-INDEX($B$11:$B$63,20))*(1-E261))</f>
        <v/>
      </c>
      <c r="AG262" s="15">
        <f>MAX(0,AF261*(1-INDEX($B$11:$B$63,21))*(1-E261))</f>
        <v/>
      </c>
      <c r="AH262" s="15">
        <f>MAX(0,AG261*(1-INDEX($B$11:$B$63,22))*(1-E261))</f>
        <v/>
      </c>
      <c r="AI262" s="15">
        <f>MAX(0,AH261*(1-INDEX($B$11:$B$63,23))*(1-E261))</f>
        <v/>
      </c>
      <c r="AJ262" s="15">
        <f>MAX(0,AI261*(1-INDEX($B$11:$B$63,24))*(1-E261))</f>
        <v/>
      </c>
      <c r="AK262" s="15">
        <f>MAX(0,AJ261*(1-INDEX($B$11:$B$63,25))*(1-E261))</f>
        <v/>
      </c>
      <c r="AL262" s="15">
        <f>MAX(0,AK261*(1-INDEX($B$11:$B$63,26))*(1-E261))</f>
        <v/>
      </c>
      <c r="AM262" s="15">
        <f>MAX(0,AL261*(1-INDEX($B$11:$B$63,27))*(1-E261))</f>
        <v/>
      </c>
      <c r="AN262" s="15">
        <f>MAX(0,AM261*(1-INDEX($B$11:$B$63,28))*(1-E261))</f>
        <v/>
      </c>
      <c r="AO262" s="15">
        <f>MAX(0,AN261*(1-INDEX($B$11:$B$63,29))*(1-E261))</f>
        <v/>
      </c>
      <c r="AP262" s="15">
        <f>MAX(0,AO261*(1-INDEX($B$11:$B$63,30))*(1-E261))</f>
        <v/>
      </c>
      <c r="AQ262" s="15">
        <f>MAX(0,AP261*(1-INDEX($B$11:$B$63,31))*(1-E261))</f>
        <v/>
      </c>
      <c r="AR262" s="15">
        <f>MAX(0,AQ261*(1-INDEX($B$11:$B$63,32))*(1-E261))</f>
        <v/>
      </c>
      <c r="AS262" s="15">
        <f>MAX(0,AR261*(1-INDEX($B$11:$B$63,33))*(1-E261))</f>
        <v/>
      </c>
      <c r="AT262" s="15">
        <f>MAX(0,AS261*(1-INDEX($B$11:$B$63,34))*(1-E261))</f>
        <v/>
      </c>
      <c r="AU262" s="15">
        <f>MAX(0,AT261*(1-INDEX($B$11:$B$63,35))*(1-E261))</f>
        <v/>
      </c>
      <c r="AV262" s="15">
        <f>MAX(0,AU261*(1-INDEX($B$11:$B$63,36))*(1-E261))</f>
        <v/>
      </c>
      <c r="AW262" s="15">
        <f>MAX(0,AV261*(1-INDEX($B$11:$B$63,37))*(1-E261))</f>
        <v/>
      </c>
      <c r="AX262" s="15">
        <f>MAX(0,AW261*(1-INDEX($B$11:$B$63,38))*(1-E261))</f>
        <v/>
      </c>
      <c r="AY262" s="15">
        <f>MAX(0,AX261*(1-INDEX($B$11:$B$63,39))*(1-E261))</f>
        <v/>
      </c>
      <c r="AZ262" s="15">
        <f>MAX(0,AY261*(1-INDEX($B$11:$B$63,40))*(1-E261))</f>
        <v/>
      </c>
      <c r="BA262" s="15">
        <f>MAX(0,AZ261*(1-INDEX($B$11:$B$63,41))*(1-E261))</f>
        <v/>
      </c>
      <c r="BB262" s="15">
        <f>MAX(0,BA261*(1-INDEX($B$11:$B$63,42))*(1-E261))</f>
        <v/>
      </c>
      <c r="BC262" s="15">
        <f>MAX(0,BB261*(1-INDEX($B$11:$B$63,43))*(1-E261))</f>
        <v/>
      </c>
      <c r="BD262" s="15">
        <f>MAX(0,BC261*(1-INDEX($B$11:$B$63,44))*(1-E261))</f>
        <v/>
      </c>
      <c r="BE262" s="15">
        <f>MAX(0,BD261*(1-INDEX($B$11:$B$63,45))*(1-E261))</f>
        <v/>
      </c>
      <c r="BF262" s="15">
        <f>MAX(0,BE261*(1-INDEX($B$11:$B$63,46))*(1-E261))</f>
        <v/>
      </c>
      <c r="BG262" s="15">
        <f>MAX(0,BF261*(1-INDEX($B$11:$B$63,47))*(1-E261))</f>
        <v/>
      </c>
      <c r="BH262" s="15">
        <f>MAX(0,BG261*(1-INDEX($B$11:$B$63,48))*(1-E261))</f>
        <v/>
      </c>
      <c r="BI262" s="15">
        <f>MAX(0,BH261*(1-INDEX($B$11:$B$63,49))*(1-E261))</f>
        <v/>
      </c>
      <c r="BJ262" s="15">
        <f>MAX(0,BI261*(1-INDEX($B$11:$B$63,50))*(1-E261))</f>
        <v/>
      </c>
      <c r="BK262" s="15">
        <f>MAX(0,BJ261*(1-INDEX($B$11:$B$63,51))*(1-E261))</f>
        <v/>
      </c>
      <c r="BL262" s="15">
        <f>MAX(0,(BL261+BK261)*(1-INDEX($B$11:$B$63,53))*(1-E261))</f>
        <v/>
      </c>
    </row>
    <row r="263">
      <c r="A263" s="55" t="n">
        <v>197</v>
      </c>
      <c r="B263" s="15">
        <f>IF(A263&gt;Inputs!$C$62,"",SUM(M263:BK263))</f>
        <v/>
      </c>
      <c r="C263" s="15">
        <f>IF(A263&gt;Inputs!$C$62,"",INDEX(Trajectory!$C$23:$C$2000,A263))</f>
        <v/>
      </c>
      <c r="D263" s="15">
        <f>IF(A263&gt;Inputs!$C$62,"",SUM(L263:BK263))</f>
        <v/>
      </c>
      <c r="E263" s="12">
        <f>IF(A263&gt;Inputs!$C$62,"",INDEX(Trajectory!$AG$23:$AG$2000,A263))</f>
        <v/>
      </c>
      <c r="F263" s="12">
        <f>IF(D263=0,0,SUMPRODUCT(L263:BK263,$B$11:$B$63)/D263)</f>
        <v/>
      </c>
      <c r="G263" s="12">
        <f>IF(D263=0,0,MIN(0.95,1-(1-F263)*(1-E263)))</f>
        <v/>
      </c>
      <c r="H263" s="15">
        <f>IF(D263=0,0,D263*G263)</f>
        <v/>
      </c>
      <c r="I263" s="15">
        <f>IF(D263=0,0,D263-H263)</f>
        <v/>
      </c>
      <c r="L263" s="15">
        <f>C263</f>
        <v/>
      </c>
      <c r="M263" s="15">
        <f>MAX(0,L262*(1-INDEX($B$11:$B$63,1))*(1-E262))</f>
        <v/>
      </c>
      <c r="N263" s="15">
        <f>MAX(0,M262*(1-INDEX($B$11:$B$63,2))*(1-E262))</f>
        <v/>
      </c>
      <c r="O263" s="15">
        <f>MAX(0,N262*(1-INDEX($B$11:$B$63,3))*(1-E262))</f>
        <v/>
      </c>
      <c r="P263" s="15">
        <f>MAX(0,O262*(1-INDEX($B$11:$B$63,4))*(1-E262))</f>
        <v/>
      </c>
      <c r="Q263" s="15">
        <f>MAX(0,P262*(1-INDEX($B$11:$B$63,5))*(1-E262))</f>
        <v/>
      </c>
      <c r="R263" s="15">
        <f>MAX(0,Q262*(1-INDEX($B$11:$B$63,6))*(1-E262))</f>
        <v/>
      </c>
      <c r="S263" s="15">
        <f>MAX(0,R262*(1-INDEX($B$11:$B$63,7))*(1-E262))</f>
        <v/>
      </c>
      <c r="T263" s="15">
        <f>MAX(0,S262*(1-INDEX($B$11:$B$63,8))*(1-E262))</f>
        <v/>
      </c>
      <c r="U263" s="15">
        <f>MAX(0,T262*(1-INDEX($B$11:$B$63,9))*(1-E262))</f>
        <v/>
      </c>
      <c r="V263" s="15">
        <f>MAX(0,U262*(1-INDEX($B$11:$B$63,10))*(1-E262))</f>
        <v/>
      </c>
      <c r="W263" s="15">
        <f>MAX(0,V262*(1-INDEX($B$11:$B$63,11))*(1-E262))</f>
        <v/>
      </c>
      <c r="X263" s="15">
        <f>MAX(0,W262*(1-INDEX($B$11:$B$63,12))*(1-E262))</f>
        <v/>
      </c>
      <c r="Y263" s="15">
        <f>MAX(0,X262*(1-INDEX($B$11:$B$63,13))*(1-E262))</f>
        <v/>
      </c>
      <c r="Z263" s="15">
        <f>MAX(0,Y262*(1-INDEX($B$11:$B$63,14))*(1-E262))</f>
        <v/>
      </c>
      <c r="AA263" s="15">
        <f>MAX(0,Z262*(1-INDEX($B$11:$B$63,15))*(1-E262))</f>
        <v/>
      </c>
      <c r="AB263" s="15">
        <f>MAX(0,AA262*(1-INDEX($B$11:$B$63,16))*(1-E262))</f>
        <v/>
      </c>
      <c r="AC263" s="15">
        <f>MAX(0,AB262*(1-INDEX($B$11:$B$63,17))*(1-E262))</f>
        <v/>
      </c>
      <c r="AD263" s="15">
        <f>MAX(0,AC262*(1-INDEX($B$11:$B$63,18))*(1-E262))</f>
        <v/>
      </c>
      <c r="AE263" s="15">
        <f>MAX(0,AD262*(1-INDEX($B$11:$B$63,19))*(1-E262))</f>
        <v/>
      </c>
      <c r="AF263" s="15">
        <f>MAX(0,AE262*(1-INDEX($B$11:$B$63,20))*(1-E262))</f>
        <v/>
      </c>
      <c r="AG263" s="15">
        <f>MAX(0,AF262*(1-INDEX($B$11:$B$63,21))*(1-E262))</f>
        <v/>
      </c>
      <c r="AH263" s="15">
        <f>MAX(0,AG262*(1-INDEX($B$11:$B$63,22))*(1-E262))</f>
        <v/>
      </c>
      <c r="AI263" s="15">
        <f>MAX(0,AH262*(1-INDEX($B$11:$B$63,23))*(1-E262))</f>
        <v/>
      </c>
      <c r="AJ263" s="15">
        <f>MAX(0,AI262*(1-INDEX($B$11:$B$63,24))*(1-E262))</f>
        <v/>
      </c>
      <c r="AK263" s="15">
        <f>MAX(0,AJ262*(1-INDEX($B$11:$B$63,25))*(1-E262))</f>
        <v/>
      </c>
      <c r="AL263" s="15">
        <f>MAX(0,AK262*(1-INDEX($B$11:$B$63,26))*(1-E262))</f>
        <v/>
      </c>
      <c r="AM263" s="15">
        <f>MAX(0,AL262*(1-INDEX($B$11:$B$63,27))*(1-E262))</f>
        <v/>
      </c>
      <c r="AN263" s="15">
        <f>MAX(0,AM262*(1-INDEX($B$11:$B$63,28))*(1-E262))</f>
        <v/>
      </c>
      <c r="AO263" s="15">
        <f>MAX(0,AN262*(1-INDEX($B$11:$B$63,29))*(1-E262))</f>
        <v/>
      </c>
      <c r="AP263" s="15">
        <f>MAX(0,AO262*(1-INDEX($B$11:$B$63,30))*(1-E262))</f>
        <v/>
      </c>
      <c r="AQ263" s="15">
        <f>MAX(0,AP262*(1-INDEX($B$11:$B$63,31))*(1-E262))</f>
        <v/>
      </c>
      <c r="AR263" s="15">
        <f>MAX(0,AQ262*(1-INDEX($B$11:$B$63,32))*(1-E262))</f>
        <v/>
      </c>
      <c r="AS263" s="15">
        <f>MAX(0,AR262*(1-INDEX($B$11:$B$63,33))*(1-E262))</f>
        <v/>
      </c>
      <c r="AT263" s="15">
        <f>MAX(0,AS262*(1-INDEX($B$11:$B$63,34))*(1-E262))</f>
        <v/>
      </c>
      <c r="AU263" s="15">
        <f>MAX(0,AT262*(1-INDEX($B$11:$B$63,35))*(1-E262))</f>
        <v/>
      </c>
      <c r="AV263" s="15">
        <f>MAX(0,AU262*(1-INDEX($B$11:$B$63,36))*(1-E262))</f>
        <v/>
      </c>
      <c r="AW263" s="15">
        <f>MAX(0,AV262*(1-INDEX($B$11:$B$63,37))*(1-E262))</f>
        <v/>
      </c>
      <c r="AX263" s="15">
        <f>MAX(0,AW262*(1-INDEX($B$11:$B$63,38))*(1-E262))</f>
        <v/>
      </c>
      <c r="AY263" s="15">
        <f>MAX(0,AX262*(1-INDEX($B$11:$B$63,39))*(1-E262))</f>
        <v/>
      </c>
      <c r="AZ263" s="15">
        <f>MAX(0,AY262*(1-INDEX($B$11:$B$63,40))*(1-E262))</f>
        <v/>
      </c>
      <c r="BA263" s="15">
        <f>MAX(0,AZ262*(1-INDEX($B$11:$B$63,41))*(1-E262))</f>
        <v/>
      </c>
      <c r="BB263" s="15">
        <f>MAX(0,BA262*(1-INDEX($B$11:$B$63,42))*(1-E262))</f>
        <v/>
      </c>
      <c r="BC263" s="15">
        <f>MAX(0,BB262*(1-INDEX($B$11:$B$63,43))*(1-E262))</f>
        <v/>
      </c>
      <c r="BD263" s="15">
        <f>MAX(0,BC262*(1-INDEX($B$11:$B$63,44))*(1-E262))</f>
        <v/>
      </c>
      <c r="BE263" s="15">
        <f>MAX(0,BD262*(1-INDEX($B$11:$B$63,45))*(1-E262))</f>
        <v/>
      </c>
      <c r="BF263" s="15">
        <f>MAX(0,BE262*(1-INDEX($B$11:$B$63,46))*(1-E262))</f>
        <v/>
      </c>
      <c r="BG263" s="15">
        <f>MAX(0,BF262*(1-INDEX($B$11:$B$63,47))*(1-E262))</f>
        <v/>
      </c>
      <c r="BH263" s="15">
        <f>MAX(0,BG262*(1-INDEX($B$11:$B$63,48))*(1-E262))</f>
        <v/>
      </c>
      <c r="BI263" s="15">
        <f>MAX(0,BH262*(1-INDEX($B$11:$B$63,49))*(1-E262))</f>
        <v/>
      </c>
      <c r="BJ263" s="15">
        <f>MAX(0,BI262*(1-INDEX($B$11:$B$63,50))*(1-E262))</f>
        <v/>
      </c>
      <c r="BK263" s="15">
        <f>MAX(0,BJ262*(1-INDEX($B$11:$B$63,51))*(1-E262))</f>
        <v/>
      </c>
      <c r="BL263" s="15">
        <f>MAX(0,(BL262+BK262)*(1-INDEX($B$11:$B$63,53))*(1-E262))</f>
        <v/>
      </c>
    </row>
    <row r="264">
      <c r="A264" s="55" t="n">
        <v>198</v>
      </c>
      <c r="B264" s="15">
        <f>IF(A264&gt;Inputs!$C$62,"",SUM(M264:BK264))</f>
        <v/>
      </c>
      <c r="C264" s="15">
        <f>IF(A264&gt;Inputs!$C$62,"",INDEX(Trajectory!$C$23:$C$2000,A264))</f>
        <v/>
      </c>
      <c r="D264" s="15">
        <f>IF(A264&gt;Inputs!$C$62,"",SUM(L264:BK264))</f>
        <v/>
      </c>
      <c r="E264" s="12">
        <f>IF(A264&gt;Inputs!$C$62,"",INDEX(Trajectory!$AG$23:$AG$2000,A264))</f>
        <v/>
      </c>
      <c r="F264" s="12">
        <f>IF(D264=0,0,SUMPRODUCT(L264:BK264,$B$11:$B$63)/D264)</f>
        <v/>
      </c>
      <c r="G264" s="12">
        <f>IF(D264=0,0,MIN(0.95,1-(1-F264)*(1-E264)))</f>
        <v/>
      </c>
      <c r="H264" s="15">
        <f>IF(D264=0,0,D264*G264)</f>
        <v/>
      </c>
      <c r="I264" s="15">
        <f>IF(D264=0,0,D264-H264)</f>
        <v/>
      </c>
      <c r="L264" s="15">
        <f>C264</f>
        <v/>
      </c>
      <c r="M264" s="15">
        <f>MAX(0,L263*(1-INDEX($B$11:$B$63,1))*(1-E263))</f>
        <v/>
      </c>
      <c r="N264" s="15">
        <f>MAX(0,M263*(1-INDEX($B$11:$B$63,2))*(1-E263))</f>
        <v/>
      </c>
      <c r="O264" s="15">
        <f>MAX(0,N263*(1-INDEX($B$11:$B$63,3))*(1-E263))</f>
        <v/>
      </c>
      <c r="P264" s="15">
        <f>MAX(0,O263*(1-INDEX($B$11:$B$63,4))*(1-E263))</f>
        <v/>
      </c>
      <c r="Q264" s="15">
        <f>MAX(0,P263*(1-INDEX($B$11:$B$63,5))*(1-E263))</f>
        <v/>
      </c>
      <c r="R264" s="15">
        <f>MAX(0,Q263*(1-INDEX($B$11:$B$63,6))*(1-E263))</f>
        <v/>
      </c>
      <c r="S264" s="15">
        <f>MAX(0,R263*(1-INDEX($B$11:$B$63,7))*(1-E263))</f>
        <v/>
      </c>
      <c r="T264" s="15">
        <f>MAX(0,S263*(1-INDEX($B$11:$B$63,8))*(1-E263))</f>
        <v/>
      </c>
      <c r="U264" s="15">
        <f>MAX(0,T263*(1-INDEX($B$11:$B$63,9))*(1-E263))</f>
        <v/>
      </c>
      <c r="V264" s="15">
        <f>MAX(0,U263*(1-INDEX($B$11:$B$63,10))*(1-E263))</f>
        <v/>
      </c>
      <c r="W264" s="15">
        <f>MAX(0,V263*(1-INDEX($B$11:$B$63,11))*(1-E263))</f>
        <v/>
      </c>
      <c r="X264" s="15">
        <f>MAX(0,W263*(1-INDEX($B$11:$B$63,12))*(1-E263))</f>
        <v/>
      </c>
      <c r="Y264" s="15">
        <f>MAX(0,X263*(1-INDEX($B$11:$B$63,13))*(1-E263))</f>
        <v/>
      </c>
      <c r="Z264" s="15">
        <f>MAX(0,Y263*(1-INDEX($B$11:$B$63,14))*(1-E263))</f>
        <v/>
      </c>
      <c r="AA264" s="15">
        <f>MAX(0,Z263*(1-INDEX($B$11:$B$63,15))*(1-E263))</f>
        <v/>
      </c>
      <c r="AB264" s="15">
        <f>MAX(0,AA263*(1-INDEX($B$11:$B$63,16))*(1-E263))</f>
        <v/>
      </c>
      <c r="AC264" s="15">
        <f>MAX(0,AB263*(1-INDEX($B$11:$B$63,17))*(1-E263))</f>
        <v/>
      </c>
      <c r="AD264" s="15">
        <f>MAX(0,AC263*(1-INDEX($B$11:$B$63,18))*(1-E263))</f>
        <v/>
      </c>
      <c r="AE264" s="15">
        <f>MAX(0,AD263*(1-INDEX($B$11:$B$63,19))*(1-E263))</f>
        <v/>
      </c>
      <c r="AF264" s="15">
        <f>MAX(0,AE263*(1-INDEX($B$11:$B$63,20))*(1-E263))</f>
        <v/>
      </c>
      <c r="AG264" s="15">
        <f>MAX(0,AF263*(1-INDEX($B$11:$B$63,21))*(1-E263))</f>
        <v/>
      </c>
      <c r="AH264" s="15">
        <f>MAX(0,AG263*(1-INDEX($B$11:$B$63,22))*(1-E263))</f>
        <v/>
      </c>
      <c r="AI264" s="15">
        <f>MAX(0,AH263*(1-INDEX($B$11:$B$63,23))*(1-E263))</f>
        <v/>
      </c>
      <c r="AJ264" s="15">
        <f>MAX(0,AI263*(1-INDEX($B$11:$B$63,24))*(1-E263))</f>
        <v/>
      </c>
      <c r="AK264" s="15">
        <f>MAX(0,AJ263*(1-INDEX($B$11:$B$63,25))*(1-E263))</f>
        <v/>
      </c>
      <c r="AL264" s="15">
        <f>MAX(0,AK263*(1-INDEX($B$11:$B$63,26))*(1-E263))</f>
        <v/>
      </c>
      <c r="AM264" s="15">
        <f>MAX(0,AL263*(1-INDEX($B$11:$B$63,27))*(1-E263))</f>
        <v/>
      </c>
      <c r="AN264" s="15">
        <f>MAX(0,AM263*(1-INDEX($B$11:$B$63,28))*(1-E263))</f>
        <v/>
      </c>
      <c r="AO264" s="15">
        <f>MAX(0,AN263*(1-INDEX($B$11:$B$63,29))*(1-E263))</f>
        <v/>
      </c>
      <c r="AP264" s="15">
        <f>MAX(0,AO263*(1-INDEX($B$11:$B$63,30))*(1-E263))</f>
        <v/>
      </c>
      <c r="AQ264" s="15">
        <f>MAX(0,AP263*(1-INDEX($B$11:$B$63,31))*(1-E263))</f>
        <v/>
      </c>
      <c r="AR264" s="15">
        <f>MAX(0,AQ263*(1-INDEX($B$11:$B$63,32))*(1-E263))</f>
        <v/>
      </c>
      <c r="AS264" s="15">
        <f>MAX(0,AR263*(1-INDEX($B$11:$B$63,33))*(1-E263))</f>
        <v/>
      </c>
      <c r="AT264" s="15">
        <f>MAX(0,AS263*(1-INDEX($B$11:$B$63,34))*(1-E263))</f>
        <v/>
      </c>
      <c r="AU264" s="15">
        <f>MAX(0,AT263*(1-INDEX($B$11:$B$63,35))*(1-E263))</f>
        <v/>
      </c>
      <c r="AV264" s="15">
        <f>MAX(0,AU263*(1-INDEX($B$11:$B$63,36))*(1-E263))</f>
        <v/>
      </c>
      <c r="AW264" s="15">
        <f>MAX(0,AV263*(1-INDEX($B$11:$B$63,37))*(1-E263))</f>
        <v/>
      </c>
      <c r="AX264" s="15">
        <f>MAX(0,AW263*(1-INDEX($B$11:$B$63,38))*(1-E263))</f>
        <v/>
      </c>
      <c r="AY264" s="15">
        <f>MAX(0,AX263*(1-INDEX($B$11:$B$63,39))*(1-E263))</f>
        <v/>
      </c>
      <c r="AZ264" s="15">
        <f>MAX(0,AY263*(1-INDEX($B$11:$B$63,40))*(1-E263))</f>
        <v/>
      </c>
      <c r="BA264" s="15">
        <f>MAX(0,AZ263*(1-INDEX($B$11:$B$63,41))*(1-E263))</f>
        <v/>
      </c>
      <c r="BB264" s="15">
        <f>MAX(0,BA263*(1-INDEX($B$11:$B$63,42))*(1-E263))</f>
        <v/>
      </c>
      <c r="BC264" s="15">
        <f>MAX(0,BB263*(1-INDEX($B$11:$B$63,43))*(1-E263))</f>
        <v/>
      </c>
      <c r="BD264" s="15">
        <f>MAX(0,BC263*(1-INDEX($B$11:$B$63,44))*(1-E263))</f>
        <v/>
      </c>
      <c r="BE264" s="15">
        <f>MAX(0,BD263*(1-INDEX($B$11:$B$63,45))*(1-E263))</f>
        <v/>
      </c>
      <c r="BF264" s="15">
        <f>MAX(0,BE263*(1-INDEX($B$11:$B$63,46))*(1-E263))</f>
        <v/>
      </c>
      <c r="BG264" s="15">
        <f>MAX(0,BF263*(1-INDEX($B$11:$B$63,47))*(1-E263))</f>
        <v/>
      </c>
      <c r="BH264" s="15">
        <f>MAX(0,BG263*(1-INDEX($B$11:$B$63,48))*(1-E263))</f>
        <v/>
      </c>
      <c r="BI264" s="15">
        <f>MAX(0,BH263*(1-INDEX($B$11:$B$63,49))*(1-E263))</f>
        <v/>
      </c>
      <c r="BJ264" s="15">
        <f>MAX(0,BI263*(1-INDEX($B$11:$B$63,50))*(1-E263))</f>
        <v/>
      </c>
      <c r="BK264" s="15">
        <f>MAX(0,BJ263*(1-INDEX($B$11:$B$63,51))*(1-E263))</f>
        <v/>
      </c>
      <c r="BL264" s="15">
        <f>MAX(0,(BL263+BK263)*(1-INDEX($B$11:$B$63,53))*(1-E263))</f>
        <v/>
      </c>
    </row>
    <row r="265">
      <c r="A265" s="55" t="n">
        <v>199</v>
      </c>
      <c r="B265" s="15">
        <f>IF(A265&gt;Inputs!$C$62,"",SUM(M265:BK265))</f>
        <v/>
      </c>
      <c r="C265" s="15">
        <f>IF(A265&gt;Inputs!$C$62,"",INDEX(Trajectory!$C$23:$C$2000,A265))</f>
        <v/>
      </c>
      <c r="D265" s="15">
        <f>IF(A265&gt;Inputs!$C$62,"",SUM(L265:BK265))</f>
        <v/>
      </c>
      <c r="E265" s="12">
        <f>IF(A265&gt;Inputs!$C$62,"",INDEX(Trajectory!$AG$23:$AG$2000,A265))</f>
        <v/>
      </c>
      <c r="F265" s="12">
        <f>IF(D265=0,0,SUMPRODUCT(L265:BK265,$B$11:$B$63)/D265)</f>
        <v/>
      </c>
      <c r="G265" s="12">
        <f>IF(D265=0,0,MIN(0.95,1-(1-F265)*(1-E265)))</f>
        <v/>
      </c>
      <c r="H265" s="15">
        <f>IF(D265=0,0,D265*G265)</f>
        <v/>
      </c>
      <c r="I265" s="15">
        <f>IF(D265=0,0,D265-H265)</f>
        <v/>
      </c>
      <c r="L265" s="15">
        <f>C265</f>
        <v/>
      </c>
      <c r="M265" s="15">
        <f>MAX(0,L264*(1-INDEX($B$11:$B$63,1))*(1-E264))</f>
        <v/>
      </c>
      <c r="N265" s="15">
        <f>MAX(0,M264*(1-INDEX($B$11:$B$63,2))*(1-E264))</f>
        <v/>
      </c>
      <c r="O265" s="15">
        <f>MAX(0,N264*(1-INDEX($B$11:$B$63,3))*(1-E264))</f>
        <v/>
      </c>
      <c r="P265" s="15">
        <f>MAX(0,O264*(1-INDEX($B$11:$B$63,4))*(1-E264))</f>
        <v/>
      </c>
      <c r="Q265" s="15">
        <f>MAX(0,P264*(1-INDEX($B$11:$B$63,5))*(1-E264))</f>
        <v/>
      </c>
      <c r="R265" s="15">
        <f>MAX(0,Q264*(1-INDEX($B$11:$B$63,6))*(1-E264))</f>
        <v/>
      </c>
      <c r="S265" s="15">
        <f>MAX(0,R264*(1-INDEX($B$11:$B$63,7))*(1-E264))</f>
        <v/>
      </c>
      <c r="T265" s="15">
        <f>MAX(0,S264*(1-INDEX($B$11:$B$63,8))*(1-E264))</f>
        <v/>
      </c>
      <c r="U265" s="15">
        <f>MAX(0,T264*(1-INDEX($B$11:$B$63,9))*(1-E264))</f>
        <v/>
      </c>
      <c r="V265" s="15">
        <f>MAX(0,U264*(1-INDEX($B$11:$B$63,10))*(1-E264))</f>
        <v/>
      </c>
      <c r="W265" s="15">
        <f>MAX(0,V264*(1-INDEX($B$11:$B$63,11))*(1-E264))</f>
        <v/>
      </c>
      <c r="X265" s="15">
        <f>MAX(0,W264*(1-INDEX($B$11:$B$63,12))*(1-E264))</f>
        <v/>
      </c>
      <c r="Y265" s="15">
        <f>MAX(0,X264*(1-INDEX($B$11:$B$63,13))*(1-E264))</f>
        <v/>
      </c>
      <c r="Z265" s="15">
        <f>MAX(0,Y264*(1-INDEX($B$11:$B$63,14))*(1-E264))</f>
        <v/>
      </c>
      <c r="AA265" s="15">
        <f>MAX(0,Z264*(1-INDEX($B$11:$B$63,15))*(1-E264))</f>
        <v/>
      </c>
      <c r="AB265" s="15">
        <f>MAX(0,AA264*(1-INDEX($B$11:$B$63,16))*(1-E264))</f>
        <v/>
      </c>
      <c r="AC265" s="15">
        <f>MAX(0,AB264*(1-INDEX($B$11:$B$63,17))*(1-E264))</f>
        <v/>
      </c>
      <c r="AD265" s="15">
        <f>MAX(0,AC264*(1-INDEX($B$11:$B$63,18))*(1-E264))</f>
        <v/>
      </c>
      <c r="AE265" s="15">
        <f>MAX(0,AD264*(1-INDEX($B$11:$B$63,19))*(1-E264))</f>
        <v/>
      </c>
      <c r="AF265" s="15">
        <f>MAX(0,AE264*(1-INDEX($B$11:$B$63,20))*(1-E264))</f>
        <v/>
      </c>
      <c r="AG265" s="15">
        <f>MAX(0,AF264*(1-INDEX($B$11:$B$63,21))*(1-E264))</f>
        <v/>
      </c>
      <c r="AH265" s="15">
        <f>MAX(0,AG264*(1-INDEX($B$11:$B$63,22))*(1-E264))</f>
        <v/>
      </c>
      <c r="AI265" s="15">
        <f>MAX(0,AH264*(1-INDEX($B$11:$B$63,23))*(1-E264))</f>
        <v/>
      </c>
      <c r="AJ265" s="15">
        <f>MAX(0,AI264*(1-INDEX($B$11:$B$63,24))*(1-E264))</f>
        <v/>
      </c>
      <c r="AK265" s="15">
        <f>MAX(0,AJ264*(1-INDEX($B$11:$B$63,25))*(1-E264))</f>
        <v/>
      </c>
      <c r="AL265" s="15">
        <f>MAX(0,AK264*(1-INDEX($B$11:$B$63,26))*(1-E264))</f>
        <v/>
      </c>
      <c r="AM265" s="15">
        <f>MAX(0,AL264*(1-INDEX($B$11:$B$63,27))*(1-E264))</f>
        <v/>
      </c>
      <c r="AN265" s="15">
        <f>MAX(0,AM264*(1-INDEX($B$11:$B$63,28))*(1-E264))</f>
        <v/>
      </c>
      <c r="AO265" s="15">
        <f>MAX(0,AN264*(1-INDEX($B$11:$B$63,29))*(1-E264))</f>
        <v/>
      </c>
      <c r="AP265" s="15">
        <f>MAX(0,AO264*(1-INDEX($B$11:$B$63,30))*(1-E264))</f>
        <v/>
      </c>
      <c r="AQ265" s="15">
        <f>MAX(0,AP264*(1-INDEX($B$11:$B$63,31))*(1-E264))</f>
        <v/>
      </c>
      <c r="AR265" s="15">
        <f>MAX(0,AQ264*(1-INDEX($B$11:$B$63,32))*(1-E264))</f>
        <v/>
      </c>
      <c r="AS265" s="15">
        <f>MAX(0,AR264*(1-INDEX($B$11:$B$63,33))*(1-E264))</f>
        <v/>
      </c>
      <c r="AT265" s="15">
        <f>MAX(0,AS264*(1-INDEX($B$11:$B$63,34))*(1-E264))</f>
        <v/>
      </c>
      <c r="AU265" s="15">
        <f>MAX(0,AT264*(1-INDEX($B$11:$B$63,35))*(1-E264))</f>
        <v/>
      </c>
      <c r="AV265" s="15">
        <f>MAX(0,AU264*(1-INDEX($B$11:$B$63,36))*(1-E264))</f>
        <v/>
      </c>
      <c r="AW265" s="15">
        <f>MAX(0,AV264*(1-INDEX($B$11:$B$63,37))*(1-E264))</f>
        <v/>
      </c>
      <c r="AX265" s="15">
        <f>MAX(0,AW264*(1-INDEX($B$11:$B$63,38))*(1-E264))</f>
        <v/>
      </c>
      <c r="AY265" s="15">
        <f>MAX(0,AX264*(1-INDEX($B$11:$B$63,39))*(1-E264))</f>
        <v/>
      </c>
      <c r="AZ265" s="15">
        <f>MAX(0,AY264*(1-INDEX($B$11:$B$63,40))*(1-E264))</f>
        <v/>
      </c>
      <c r="BA265" s="15">
        <f>MAX(0,AZ264*(1-INDEX($B$11:$B$63,41))*(1-E264))</f>
        <v/>
      </c>
      <c r="BB265" s="15">
        <f>MAX(0,BA264*(1-INDEX($B$11:$B$63,42))*(1-E264))</f>
        <v/>
      </c>
      <c r="BC265" s="15">
        <f>MAX(0,BB264*(1-INDEX($B$11:$B$63,43))*(1-E264))</f>
        <v/>
      </c>
      <c r="BD265" s="15">
        <f>MAX(0,BC264*(1-INDEX($B$11:$B$63,44))*(1-E264))</f>
        <v/>
      </c>
      <c r="BE265" s="15">
        <f>MAX(0,BD264*(1-INDEX($B$11:$B$63,45))*(1-E264))</f>
        <v/>
      </c>
      <c r="BF265" s="15">
        <f>MAX(0,BE264*(1-INDEX($B$11:$B$63,46))*(1-E264))</f>
        <v/>
      </c>
      <c r="BG265" s="15">
        <f>MAX(0,BF264*(1-INDEX($B$11:$B$63,47))*(1-E264))</f>
        <v/>
      </c>
      <c r="BH265" s="15">
        <f>MAX(0,BG264*(1-INDEX($B$11:$B$63,48))*(1-E264))</f>
        <v/>
      </c>
      <c r="BI265" s="15">
        <f>MAX(0,BH264*(1-INDEX($B$11:$B$63,49))*(1-E264))</f>
        <v/>
      </c>
      <c r="BJ265" s="15">
        <f>MAX(0,BI264*(1-INDEX($B$11:$B$63,50))*(1-E264))</f>
        <v/>
      </c>
      <c r="BK265" s="15">
        <f>MAX(0,BJ264*(1-INDEX($B$11:$B$63,51))*(1-E264))</f>
        <v/>
      </c>
      <c r="BL265" s="15">
        <f>MAX(0,(BL264+BK264)*(1-INDEX($B$11:$B$63,53))*(1-E264))</f>
        <v/>
      </c>
    </row>
    <row r="266">
      <c r="A266" s="55" t="n">
        <v>200</v>
      </c>
      <c r="B266" s="15">
        <f>IF(A266&gt;Inputs!$C$62,"",SUM(M266:BK266))</f>
        <v/>
      </c>
      <c r="C266" s="15">
        <f>IF(A266&gt;Inputs!$C$62,"",INDEX(Trajectory!$C$23:$C$2000,A266))</f>
        <v/>
      </c>
      <c r="D266" s="15">
        <f>IF(A266&gt;Inputs!$C$62,"",SUM(L266:BK266))</f>
        <v/>
      </c>
      <c r="E266" s="12">
        <f>IF(A266&gt;Inputs!$C$62,"",INDEX(Trajectory!$AG$23:$AG$2000,A266))</f>
        <v/>
      </c>
      <c r="F266" s="12">
        <f>IF(D266=0,0,SUMPRODUCT(L266:BK266,$B$11:$B$63)/D266)</f>
        <v/>
      </c>
      <c r="G266" s="12">
        <f>IF(D266=0,0,MIN(0.95,1-(1-F266)*(1-E266)))</f>
        <v/>
      </c>
      <c r="H266" s="15">
        <f>IF(D266=0,0,D266*G266)</f>
        <v/>
      </c>
      <c r="I266" s="15">
        <f>IF(D266=0,0,D266-H266)</f>
        <v/>
      </c>
      <c r="L266" s="15">
        <f>C266</f>
        <v/>
      </c>
      <c r="M266" s="15">
        <f>MAX(0,L265*(1-INDEX($B$11:$B$63,1))*(1-E265))</f>
        <v/>
      </c>
      <c r="N266" s="15">
        <f>MAX(0,M265*(1-INDEX($B$11:$B$63,2))*(1-E265))</f>
        <v/>
      </c>
      <c r="O266" s="15">
        <f>MAX(0,N265*(1-INDEX($B$11:$B$63,3))*(1-E265))</f>
        <v/>
      </c>
      <c r="P266" s="15">
        <f>MAX(0,O265*(1-INDEX($B$11:$B$63,4))*(1-E265))</f>
        <v/>
      </c>
      <c r="Q266" s="15">
        <f>MAX(0,P265*(1-INDEX($B$11:$B$63,5))*(1-E265))</f>
        <v/>
      </c>
      <c r="R266" s="15">
        <f>MAX(0,Q265*(1-INDEX($B$11:$B$63,6))*(1-E265))</f>
        <v/>
      </c>
      <c r="S266" s="15">
        <f>MAX(0,R265*(1-INDEX($B$11:$B$63,7))*(1-E265))</f>
        <v/>
      </c>
      <c r="T266" s="15">
        <f>MAX(0,S265*(1-INDEX($B$11:$B$63,8))*(1-E265))</f>
        <v/>
      </c>
      <c r="U266" s="15">
        <f>MAX(0,T265*(1-INDEX($B$11:$B$63,9))*(1-E265))</f>
        <v/>
      </c>
      <c r="V266" s="15">
        <f>MAX(0,U265*(1-INDEX($B$11:$B$63,10))*(1-E265))</f>
        <v/>
      </c>
      <c r="W266" s="15">
        <f>MAX(0,V265*(1-INDEX($B$11:$B$63,11))*(1-E265))</f>
        <v/>
      </c>
      <c r="X266" s="15">
        <f>MAX(0,W265*(1-INDEX($B$11:$B$63,12))*(1-E265))</f>
        <v/>
      </c>
      <c r="Y266" s="15">
        <f>MAX(0,X265*(1-INDEX($B$11:$B$63,13))*(1-E265))</f>
        <v/>
      </c>
      <c r="Z266" s="15">
        <f>MAX(0,Y265*(1-INDEX($B$11:$B$63,14))*(1-E265))</f>
        <v/>
      </c>
      <c r="AA266" s="15">
        <f>MAX(0,Z265*(1-INDEX($B$11:$B$63,15))*(1-E265))</f>
        <v/>
      </c>
      <c r="AB266" s="15">
        <f>MAX(0,AA265*(1-INDEX($B$11:$B$63,16))*(1-E265))</f>
        <v/>
      </c>
      <c r="AC266" s="15">
        <f>MAX(0,AB265*(1-INDEX($B$11:$B$63,17))*(1-E265))</f>
        <v/>
      </c>
      <c r="AD266" s="15">
        <f>MAX(0,AC265*(1-INDEX($B$11:$B$63,18))*(1-E265))</f>
        <v/>
      </c>
      <c r="AE266" s="15">
        <f>MAX(0,AD265*(1-INDEX($B$11:$B$63,19))*(1-E265))</f>
        <v/>
      </c>
      <c r="AF266" s="15">
        <f>MAX(0,AE265*(1-INDEX($B$11:$B$63,20))*(1-E265))</f>
        <v/>
      </c>
      <c r="AG266" s="15">
        <f>MAX(0,AF265*(1-INDEX($B$11:$B$63,21))*(1-E265))</f>
        <v/>
      </c>
      <c r="AH266" s="15">
        <f>MAX(0,AG265*(1-INDEX($B$11:$B$63,22))*(1-E265))</f>
        <v/>
      </c>
      <c r="AI266" s="15">
        <f>MAX(0,AH265*(1-INDEX($B$11:$B$63,23))*(1-E265))</f>
        <v/>
      </c>
      <c r="AJ266" s="15">
        <f>MAX(0,AI265*(1-INDEX($B$11:$B$63,24))*(1-E265))</f>
        <v/>
      </c>
      <c r="AK266" s="15">
        <f>MAX(0,AJ265*(1-INDEX($B$11:$B$63,25))*(1-E265))</f>
        <v/>
      </c>
      <c r="AL266" s="15">
        <f>MAX(0,AK265*(1-INDEX($B$11:$B$63,26))*(1-E265))</f>
        <v/>
      </c>
      <c r="AM266" s="15">
        <f>MAX(0,AL265*(1-INDEX($B$11:$B$63,27))*(1-E265))</f>
        <v/>
      </c>
      <c r="AN266" s="15">
        <f>MAX(0,AM265*(1-INDEX($B$11:$B$63,28))*(1-E265))</f>
        <v/>
      </c>
      <c r="AO266" s="15">
        <f>MAX(0,AN265*(1-INDEX($B$11:$B$63,29))*(1-E265))</f>
        <v/>
      </c>
      <c r="AP266" s="15">
        <f>MAX(0,AO265*(1-INDEX($B$11:$B$63,30))*(1-E265))</f>
        <v/>
      </c>
      <c r="AQ266" s="15">
        <f>MAX(0,AP265*(1-INDEX($B$11:$B$63,31))*(1-E265))</f>
        <v/>
      </c>
      <c r="AR266" s="15">
        <f>MAX(0,AQ265*(1-INDEX($B$11:$B$63,32))*(1-E265))</f>
        <v/>
      </c>
      <c r="AS266" s="15">
        <f>MAX(0,AR265*(1-INDEX($B$11:$B$63,33))*(1-E265))</f>
        <v/>
      </c>
      <c r="AT266" s="15">
        <f>MAX(0,AS265*(1-INDEX($B$11:$B$63,34))*(1-E265))</f>
        <v/>
      </c>
      <c r="AU266" s="15">
        <f>MAX(0,AT265*(1-INDEX($B$11:$B$63,35))*(1-E265))</f>
        <v/>
      </c>
      <c r="AV266" s="15">
        <f>MAX(0,AU265*(1-INDEX($B$11:$B$63,36))*(1-E265))</f>
        <v/>
      </c>
      <c r="AW266" s="15">
        <f>MAX(0,AV265*(1-INDEX($B$11:$B$63,37))*(1-E265))</f>
        <v/>
      </c>
      <c r="AX266" s="15">
        <f>MAX(0,AW265*(1-INDEX($B$11:$B$63,38))*(1-E265))</f>
        <v/>
      </c>
      <c r="AY266" s="15">
        <f>MAX(0,AX265*(1-INDEX($B$11:$B$63,39))*(1-E265))</f>
        <v/>
      </c>
      <c r="AZ266" s="15">
        <f>MAX(0,AY265*(1-INDEX($B$11:$B$63,40))*(1-E265))</f>
        <v/>
      </c>
      <c r="BA266" s="15">
        <f>MAX(0,AZ265*(1-INDEX($B$11:$B$63,41))*(1-E265))</f>
        <v/>
      </c>
      <c r="BB266" s="15">
        <f>MAX(0,BA265*(1-INDEX($B$11:$B$63,42))*(1-E265))</f>
        <v/>
      </c>
      <c r="BC266" s="15">
        <f>MAX(0,BB265*(1-INDEX($B$11:$B$63,43))*(1-E265))</f>
        <v/>
      </c>
      <c r="BD266" s="15">
        <f>MAX(0,BC265*(1-INDEX($B$11:$B$63,44))*(1-E265))</f>
        <v/>
      </c>
      <c r="BE266" s="15">
        <f>MAX(0,BD265*(1-INDEX($B$11:$B$63,45))*(1-E265))</f>
        <v/>
      </c>
      <c r="BF266" s="15">
        <f>MAX(0,BE265*(1-INDEX($B$11:$B$63,46))*(1-E265))</f>
        <v/>
      </c>
      <c r="BG266" s="15">
        <f>MAX(0,BF265*(1-INDEX($B$11:$B$63,47))*(1-E265))</f>
        <v/>
      </c>
      <c r="BH266" s="15">
        <f>MAX(0,BG265*(1-INDEX($B$11:$B$63,48))*(1-E265))</f>
        <v/>
      </c>
      <c r="BI266" s="15">
        <f>MAX(0,BH265*(1-INDEX($B$11:$B$63,49))*(1-E265))</f>
        <v/>
      </c>
      <c r="BJ266" s="15">
        <f>MAX(0,BI265*(1-INDEX($B$11:$B$63,50))*(1-E265))</f>
        <v/>
      </c>
      <c r="BK266" s="15">
        <f>MAX(0,BJ265*(1-INDEX($B$11:$B$63,51))*(1-E265))</f>
        <v/>
      </c>
      <c r="BL266" s="15">
        <f>MAX(0,(BL265+BK265)*(1-INDEX($B$11:$B$63,53))*(1-E265))</f>
        <v/>
      </c>
    </row>
    <row r="267">
      <c r="A267" s="55" t="n">
        <v>201</v>
      </c>
      <c r="B267" s="15">
        <f>IF(A267&gt;Inputs!$C$62,"",SUM(M267:BK267))</f>
        <v/>
      </c>
      <c r="C267" s="15">
        <f>IF(A267&gt;Inputs!$C$62,"",INDEX(Trajectory!$C$23:$C$2000,A267))</f>
        <v/>
      </c>
      <c r="D267" s="15">
        <f>IF(A267&gt;Inputs!$C$62,"",SUM(L267:BK267))</f>
        <v/>
      </c>
      <c r="E267" s="12">
        <f>IF(A267&gt;Inputs!$C$62,"",INDEX(Trajectory!$AG$23:$AG$2000,A267))</f>
        <v/>
      </c>
      <c r="F267" s="12">
        <f>IF(D267=0,0,SUMPRODUCT(L267:BK267,$B$11:$B$63)/D267)</f>
        <v/>
      </c>
      <c r="G267" s="12">
        <f>IF(D267=0,0,MIN(0.95,1-(1-F267)*(1-E267)))</f>
        <v/>
      </c>
      <c r="H267" s="15">
        <f>IF(D267=0,0,D267*G267)</f>
        <v/>
      </c>
      <c r="I267" s="15">
        <f>IF(D267=0,0,D267-H267)</f>
        <v/>
      </c>
      <c r="L267" s="15">
        <f>C267</f>
        <v/>
      </c>
      <c r="M267" s="15">
        <f>MAX(0,L266*(1-INDEX($B$11:$B$63,1))*(1-E266))</f>
        <v/>
      </c>
      <c r="N267" s="15">
        <f>MAX(0,M266*(1-INDEX($B$11:$B$63,2))*(1-E266))</f>
        <v/>
      </c>
      <c r="O267" s="15">
        <f>MAX(0,N266*(1-INDEX($B$11:$B$63,3))*(1-E266))</f>
        <v/>
      </c>
      <c r="P267" s="15">
        <f>MAX(0,O266*(1-INDEX($B$11:$B$63,4))*(1-E266))</f>
        <v/>
      </c>
      <c r="Q267" s="15">
        <f>MAX(0,P266*(1-INDEX($B$11:$B$63,5))*(1-E266))</f>
        <v/>
      </c>
      <c r="R267" s="15">
        <f>MAX(0,Q266*(1-INDEX($B$11:$B$63,6))*(1-E266))</f>
        <v/>
      </c>
      <c r="S267" s="15">
        <f>MAX(0,R266*(1-INDEX($B$11:$B$63,7))*(1-E266))</f>
        <v/>
      </c>
      <c r="T267" s="15">
        <f>MAX(0,S266*(1-INDEX($B$11:$B$63,8))*(1-E266))</f>
        <v/>
      </c>
      <c r="U267" s="15">
        <f>MAX(0,T266*(1-INDEX($B$11:$B$63,9))*(1-E266))</f>
        <v/>
      </c>
      <c r="V267" s="15">
        <f>MAX(0,U266*(1-INDEX($B$11:$B$63,10))*(1-E266))</f>
        <v/>
      </c>
      <c r="W267" s="15">
        <f>MAX(0,V266*(1-INDEX($B$11:$B$63,11))*(1-E266))</f>
        <v/>
      </c>
      <c r="X267" s="15">
        <f>MAX(0,W266*(1-INDEX($B$11:$B$63,12))*(1-E266))</f>
        <v/>
      </c>
      <c r="Y267" s="15">
        <f>MAX(0,X266*(1-INDEX($B$11:$B$63,13))*(1-E266))</f>
        <v/>
      </c>
      <c r="Z267" s="15">
        <f>MAX(0,Y266*(1-INDEX($B$11:$B$63,14))*(1-E266))</f>
        <v/>
      </c>
      <c r="AA267" s="15">
        <f>MAX(0,Z266*(1-INDEX($B$11:$B$63,15))*(1-E266))</f>
        <v/>
      </c>
      <c r="AB267" s="15">
        <f>MAX(0,AA266*(1-INDEX($B$11:$B$63,16))*(1-E266))</f>
        <v/>
      </c>
      <c r="AC267" s="15">
        <f>MAX(0,AB266*(1-INDEX($B$11:$B$63,17))*(1-E266))</f>
        <v/>
      </c>
      <c r="AD267" s="15">
        <f>MAX(0,AC266*(1-INDEX($B$11:$B$63,18))*(1-E266))</f>
        <v/>
      </c>
      <c r="AE267" s="15">
        <f>MAX(0,AD266*(1-INDEX($B$11:$B$63,19))*(1-E266))</f>
        <v/>
      </c>
      <c r="AF267" s="15">
        <f>MAX(0,AE266*(1-INDEX($B$11:$B$63,20))*(1-E266))</f>
        <v/>
      </c>
      <c r="AG267" s="15">
        <f>MAX(0,AF266*(1-INDEX($B$11:$B$63,21))*(1-E266))</f>
        <v/>
      </c>
      <c r="AH267" s="15">
        <f>MAX(0,AG266*(1-INDEX($B$11:$B$63,22))*(1-E266))</f>
        <v/>
      </c>
      <c r="AI267" s="15">
        <f>MAX(0,AH266*(1-INDEX($B$11:$B$63,23))*(1-E266))</f>
        <v/>
      </c>
      <c r="AJ267" s="15">
        <f>MAX(0,AI266*(1-INDEX($B$11:$B$63,24))*(1-E266))</f>
        <v/>
      </c>
      <c r="AK267" s="15">
        <f>MAX(0,AJ266*(1-INDEX($B$11:$B$63,25))*(1-E266))</f>
        <v/>
      </c>
      <c r="AL267" s="15">
        <f>MAX(0,AK266*(1-INDEX($B$11:$B$63,26))*(1-E266))</f>
        <v/>
      </c>
      <c r="AM267" s="15">
        <f>MAX(0,AL266*(1-INDEX($B$11:$B$63,27))*(1-E266))</f>
        <v/>
      </c>
      <c r="AN267" s="15">
        <f>MAX(0,AM266*(1-INDEX($B$11:$B$63,28))*(1-E266))</f>
        <v/>
      </c>
      <c r="AO267" s="15">
        <f>MAX(0,AN266*(1-INDEX($B$11:$B$63,29))*(1-E266))</f>
        <v/>
      </c>
      <c r="AP267" s="15">
        <f>MAX(0,AO266*(1-INDEX($B$11:$B$63,30))*(1-E266))</f>
        <v/>
      </c>
      <c r="AQ267" s="15">
        <f>MAX(0,AP266*(1-INDEX($B$11:$B$63,31))*(1-E266))</f>
        <v/>
      </c>
      <c r="AR267" s="15">
        <f>MAX(0,AQ266*(1-INDEX($B$11:$B$63,32))*(1-E266))</f>
        <v/>
      </c>
      <c r="AS267" s="15">
        <f>MAX(0,AR266*(1-INDEX($B$11:$B$63,33))*(1-E266))</f>
        <v/>
      </c>
      <c r="AT267" s="15">
        <f>MAX(0,AS266*(1-INDEX($B$11:$B$63,34))*(1-E266))</f>
        <v/>
      </c>
      <c r="AU267" s="15">
        <f>MAX(0,AT266*(1-INDEX($B$11:$B$63,35))*(1-E266))</f>
        <v/>
      </c>
      <c r="AV267" s="15">
        <f>MAX(0,AU266*(1-INDEX($B$11:$B$63,36))*(1-E266))</f>
        <v/>
      </c>
      <c r="AW267" s="15">
        <f>MAX(0,AV266*(1-INDEX($B$11:$B$63,37))*(1-E266))</f>
        <v/>
      </c>
      <c r="AX267" s="15">
        <f>MAX(0,AW266*(1-INDEX($B$11:$B$63,38))*(1-E266))</f>
        <v/>
      </c>
      <c r="AY267" s="15">
        <f>MAX(0,AX266*(1-INDEX($B$11:$B$63,39))*(1-E266))</f>
        <v/>
      </c>
      <c r="AZ267" s="15">
        <f>MAX(0,AY266*(1-INDEX($B$11:$B$63,40))*(1-E266))</f>
        <v/>
      </c>
      <c r="BA267" s="15">
        <f>MAX(0,AZ266*(1-INDEX($B$11:$B$63,41))*(1-E266))</f>
        <v/>
      </c>
      <c r="BB267" s="15">
        <f>MAX(0,BA266*(1-INDEX($B$11:$B$63,42))*(1-E266))</f>
        <v/>
      </c>
      <c r="BC267" s="15">
        <f>MAX(0,BB266*(1-INDEX($B$11:$B$63,43))*(1-E266))</f>
        <v/>
      </c>
      <c r="BD267" s="15">
        <f>MAX(0,BC266*(1-INDEX($B$11:$B$63,44))*(1-E266))</f>
        <v/>
      </c>
      <c r="BE267" s="15">
        <f>MAX(0,BD266*(1-INDEX($B$11:$B$63,45))*(1-E266))</f>
        <v/>
      </c>
      <c r="BF267" s="15">
        <f>MAX(0,BE266*(1-INDEX($B$11:$B$63,46))*(1-E266))</f>
        <v/>
      </c>
      <c r="BG267" s="15">
        <f>MAX(0,BF266*(1-INDEX($B$11:$B$63,47))*(1-E266))</f>
        <v/>
      </c>
      <c r="BH267" s="15">
        <f>MAX(0,BG266*(1-INDEX($B$11:$B$63,48))*(1-E266))</f>
        <v/>
      </c>
      <c r="BI267" s="15">
        <f>MAX(0,BH266*(1-INDEX($B$11:$B$63,49))*(1-E266))</f>
        <v/>
      </c>
      <c r="BJ267" s="15">
        <f>MAX(0,BI266*(1-INDEX($B$11:$B$63,50))*(1-E266))</f>
        <v/>
      </c>
      <c r="BK267" s="15">
        <f>MAX(0,BJ266*(1-INDEX($B$11:$B$63,51))*(1-E266))</f>
        <v/>
      </c>
      <c r="BL267" s="15">
        <f>MAX(0,(BL266+BK266)*(1-INDEX($B$11:$B$63,53))*(1-E266))</f>
        <v/>
      </c>
    </row>
    <row r="268">
      <c r="A268" s="55" t="n">
        <v>202</v>
      </c>
      <c r="B268" s="15">
        <f>IF(A268&gt;Inputs!$C$62,"",SUM(M268:BK268))</f>
        <v/>
      </c>
      <c r="C268" s="15">
        <f>IF(A268&gt;Inputs!$C$62,"",INDEX(Trajectory!$C$23:$C$2000,A268))</f>
        <v/>
      </c>
      <c r="D268" s="15">
        <f>IF(A268&gt;Inputs!$C$62,"",SUM(L268:BK268))</f>
        <v/>
      </c>
      <c r="E268" s="12">
        <f>IF(A268&gt;Inputs!$C$62,"",INDEX(Trajectory!$AG$23:$AG$2000,A268))</f>
        <v/>
      </c>
      <c r="F268" s="12">
        <f>IF(D268=0,0,SUMPRODUCT(L268:BK268,$B$11:$B$63)/D268)</f>
        <v/>
      </c>
      <c r="G268" s="12">
        <f>IF(D268=0,0,MIN(0.95,1-(1-F268)*(1-E268)))</f>
        <v/>
      </c>
      <c r="H268" s="15">
        <f>IF(D268=0,0,D268*G268)</f>
        <v/>
      </c>
      <c r="I268" s="15">
        <f>IF(D268=0,0,D268-H268)</f>
        <v/>
      </c>
      <c r="L268" s="15">
        <f>C268</f>
        <v/>
      </c>
      <c r="M268" s="15">
        <f>MAX(0,L267*(1-INDEX($B$11:$B$63,1))*(1-E267))</f>
        <v/>
      </c>
      <c r="N268" s="15">
        <f>MAX(0,M267*(1-INDEX($B$11:$B$63,2))*(1-E267))</f>
        <v/>
      </c>
      <c r="O268" s="15">
        <f>MAX(0,N267*(1-INDEX($B$11:$B$63,3))*(1-E267))</f>
        <v/>
      </c>
      <c r="P268" s="15">
        <f>MAX(0,O267*(1-INDEX($B$11:$B$63,4))*(1-E267))</f>
        <v/>
      </c>
      <c r="Q268" s="15">
        <f>MAX(0,P267*(1-INDEX($B$11:$B$63,5))*(1-E267))</f>
        <v/>
      </c>
      <c r="R268" s="15">
        <f>MAX(0,Q267*(1-INDEX($B$11:$B$63,6))*(1-E267))</f>
        <v/>
      </c>
      <c r="S268" s="15">
        <f>MAX(0,R267*(1-INDEX($B$11:$B$63,7))*(1-E267))</f>
        <v/>
      </c>
      <c r="T268" s="15">
        <f>MAX(0,S267*(1-INDEX($B$11:$B$63,8))*(1-E267))</f>
        <v/>
      </c>
      <c r="U268" s="15">
        <f>MAX(0,T267*(1-INDEX($B$11:$B$63,9))*(1-E267))</f>
        <v/>
      </c>
      <c r="V268" s="15">
        <f>MAX(0,U267*(1-INDEX($B$11:$B$63,10))*(1-E267))</f>
        <v/>
      </c>
      <c r="W268" s="15">
        <f>MAX(0,V267*(1-INDEX($B$11:$B$63,11))*(1-E267))</f>
        <v/>
      </c>
      <c r="X268" s="15">
        <f>MAX(0,W267*(1-INDEX($B$11:$B$63,12))*(1-E267))</f>
        <v/>
      </c>
      <c r="Y268" s="15">
        <f>MAX(0,X267*(1-INDEX($B$11:$B$63,13))*(1-E267))</f>
        <v/>
      </c>
      <c r="Z268" s="15">
        <f>MAX(0,Y267*(1-INDEX($B$11:$B$63,14))*(1-E267))</f>
        <v/>
      </c>
      <c r="AA268" s="15">
        <f>MAX(0,Z267*(1-INDEX($B$11:$B$63,15))*(1-E267))</f>
        <v/>
      </c>
      <c r="AB268" s="15">
        <f>MAX(0,AA267*(1-INDEX($B$11:$B$63,16))*(1-E267))</f>
        <v/>
      </c>
      <c r="AC268" s="15">
        <f>MAX(0,AB267*(1-INDEX($B$11:$B$63,17))*(1-E267))</f>
        <v/>
      </c>
      <c r="AD268" s="15">
        <f>MAX(0,AC267*(1-INDEX($B$11:$B$63,18))*(1-E267))</f>
        <v/>
      </c>
      <c r="AE268" s="15">
        <f>MAX(0,AD267*(1-INDEX($B$11:$B$63,19))*(1-E267))</f>
        <v/>
      </c>
      <c r="AF268" s="15">
        <f>MAX(0,AE267*(1-INDEX($B$11:$B$63,20))*(1-E267))</f>
        <v/>
      </c>
      <c r="AG268" s="15">
        <f>MAX(0,AF267*(1-INDEX($B$11:$B$63,21))*(1-E267))</f>
        <v/>
      </c>
      <c r="AH268" s="15">
        <f>MAX(0,AG267*(1-INDEX($B$11:$B$63,22))*(1-E267))</f>
        <v/>
      </c>
      <c r="AI268" s="15">
        <f>MAX(0,AH267*(1-INDEX($B$11:$B$63,23))*(1-E267))</f>
        <v/>
      </c>
      <c r="AJ268" s="15">
        <f>MAX(0,AI267*(1-INDEX($B$11:$B$63,24))*(1-E267))</f>
        <v/>
      </c>
      <c r="AK268" s="15">
        <f>MAX(0,AJ267*(1-INDEX($B$11:$B$63,25))*(1-E267))</f>
        <v/>
      </c>
      <c r="AL268" s="15">
        <f>MAX(0,AK267*(1-INDEX($B$11:$B$63,26))*(1-E267))</f>
        <v/>
      </c>
      <c r="AM268" s="15">
        <f>MAX(0,AL267*(1-INDEX($B$11:$B$63,27))*(1-E267))</f>
        <v/>
      </c>
      <c r="AN268" s="15">
        <f>MAX(0,AM267*(1-INDEX($B$11:$B$63,28))*(1-E267))</f>
        <v/>
      </c>
      <c r="AO268" s="15">
        <f>MAX(0,AN267*(1-INDEX($B$11:$B$63,29))*(1-E267))</f>
        <v/>
      </c>
      <c r="AP268" s="15">
        <f>MAX(0,AO267*(1-INDEX($B$11:$B$63,30))*(1-E267))</f>
        <v/>
      </c>
      <c r="AQ268" s="15">
        <f>MAX(0,AP267*(1-INDEX($B$11:$B$63,31))*(1-E267))</f>
        <v/>
      </c>
      <c r="AR268" s="15">
        <f>MAX(0,AQ267*(1-INDEX($B$11:$B$63,32))*(1-E267))</f>
        <v/>
      </c>
      <c r="AS268" s="15">
        <f>MAX(0,AR267*(1-INDEX($B$11:$B$63,33))*(1-E267))</f>
        <v/>
      </c>
      <c r="AT268" s="15">
        <f>MAX(0,AS267*(1-INDEX($B$11:$B$63,34))*(1-E267))</f>
        <v/>
      </c>
      <c r="AU268" s="15">
        <f>MAX(0,AT267*(1-INDEX($B$11:$B$63,35))*(1-E267))</f>
        <v/>
      </c>
      <c r="AV268" s="15">
        <f>MAX(0,AU267*(1-INDEX($B$11:$B$63,36))*(1-E267))</f>
        <v/>
      </c>
      <c r="AW268" s="15">
        <f>MAX(0,AV267*(1-INDEX($B$11:$B$63,37))*(1-E267))</f>
        <v/>
      </c>
      <c r="AX268" s="15">
        <f>MAX(0,AW267*(1-INDEX($B$11:$B$63,38))*(1-E267))</f>
        <v/>
      </c>
      <c r="AY268" s="15">
        <f>MAX(0,AX267*(1-INDEX($B$11:$B$63,39))*(1-E267))</f>
        <v/>
      </c>
      <c r="AZ268" s="15">
        <f>MAX(0,AY267*(1-INDEX($B$11:$B$63,40))*(1-E267))</f>
        <v/>
      </c>
      <c r="BA268" s="15">
        <f>MAX(0,AZ267*(1-INDEX($B$11:$B$63,41))*(1-E267))</f>
        <v/>
      </c>
      <c r="BB268" s="15">
        <f>MAX(0,BA267*(1-INDEX($B$11:$B$63,42))*(1-E267))</f>
        <v/>
      </c>
      <c r="BC268" s="15">
        <f>MAX(0,BB267*(1-INDEX($B$11:$B$63,43))*(1-E267))</f>
        <v/>
      </c>
      <c r="BD268" s="15">
        <f>MAX(0,BC267*(1-INDEX($B$11:$B$63,44))*(1-E267))</f>
        <v/>
      </c>
      <c r="BE268" s="15">
        <f>MAX(0,BD267*(1-INDEX($B$11:$B$63,45))*(1-E267))</f>
        <v/>
      </c>
      <c r="BF268" s="15">
        <f>MAX(0,BE267*(1-INDEX($B$11:$B$63,46))*(1-E267))</f>
        <v/>
      </c>
      <c r="BG268" s="15">
        <f>MAX(0,BF267*(1-INDEX($B$11:$B$63,47))*(1-E267))</f>
        <v/>
      </c>
      <c r="BH268" s="15">
        <f>MAX(0,BG267*(1-INDEX($B$11:$B$63,48))*(1-E267))</f>
        <v/>
      </c>
      <c r="BI268" s="15">
        <f>MAX(0,BH267*(1-INDEX($B$11:$B$63,49))*(1-E267))</f>
        <v/>
      </c>
      <c r="BJ268" s="15">
        <f>MAX(0,BI267*(1-INDEX($B$11:$B$63,50))*(1-E267))</f>
        <v/>
      </c>
      <c r="BK268" s="15">
        <f>MAX(0,BJ267*(1-INDEX($B$11:$B$63,51))*(1-E267))</f>
        <v/>
      </c>
      <c r="BL268" s="15">
        <f>MAX(0,(BL267+BK267)*(1-INDEX($B$11:$B$63,53))*(1-E267))</f>
        <v/>
      </c>
    </row>
    <row r="269">
      <c r="A269" s="55" t="n">
        <v>203</v>
      </c>
      <c r="B269" s="15">
        <f>IF(A269&gt;Inputs!$C$62,"",SUM(M269:BK269))</f>
        <v/>
      </c>
      <c r="C269" s="15">
        <f>IF(A269&gt;Inputs!$C$62,"",INDEX(Trajectory!$C$23:$C$2000,A269))</f>
        <v/>
      </c>
      <c r="D269" s="15">
        <f>IF(A269&gt;Inputs!$C$62,"",SUM(L269:BK269))</f>
        <v/>
      </c>
      <c r="E269" s="12">
        <f>IF(A269&gt;Inputs!$C$62,"",INDEX(Trajectory!$AG$23:$AG$2000,A269))</f>
        <v/>
      </c>
      <c r="F269" s="12">
        <f>IF(D269=0,0,SUMPRODUCT(L269:BK269,$B$11:$B$63)/D269)</f>
        <v/>
      </c>
      <c r="G269" s="12">
        <f>IF(D269=0,0,MIN(0.95,1-(1-F269)*(1-E269)))</f>
        <v/>
      </c>
      <c r="H269" s="15">
        <f>IF(D269=0,0,D269*G269)</f>
        <v/>
      </c>
      <c r="I269" s="15">
        <f>IF(D269=0,0,D269-H269)</f>
        <v/>
      </c>
      <c r="L269" s="15">
        <f>C269</f>
        <v/>
      </c>
      <c r="M269" s="15">
        <f>MAX(0,L268*(1-INDEX($B$11:$B$63,1))*(1-E268))</f>
        <v/>
      </c>
      <c r="N269" s="15">
        <f>MAX(0,M268*(1-INDEX($B$11:$B$63,2))*(1-E268))</f>
        <v/>
      </c>
      <c r="O269" s="15">
        <f>MAX(0,N268*(1-INDEX($B$11:$B$63,3))*(1-E268))</f>
        <v/>
      </c>
      <c r="P269" s="15">
        <f>MAX(0,O268*(1-INDEX($B$11:$B$63,4))*(1-E268))</f>
        <v/>
      </c>
      <c r="Q269" s="15">
        <f>MAX(0,P268*(1-INDEX($B$11:$B$63,5))*(1-E268))</f>
        <v/>
      </c>
      <c r="R269" s="15">
        <f>MAX(0,Q268*(1-INDEX($B$11:$B$63,6))*(1-E268))</f>
        <v/>
      </c>
      <c r="S269" s="15">
        <f>MAX(0,R268*(1-INDEX($B$11:$B$63,7))*(1-E268))</f>
        <v/>
      </c>
      <c r="T269" s="15">
        <f>MAX(0,S268*(1-INDEX($B$11:$B$63,8))*(1-E268))</f>
        <v/>
      </c>
      <c r="U269" s="15">
        <f>MAX(0,T268*(1-INDEX($B$11:$B$63,9))*(1-E268))</f>
        <v/>
      </c>
      <c r="V269" s="15">
        <f>MAX(0,U268*(1-INDEX($B$11:$B$63,10))*(1-E268))</f>
        <v/>
      </c>
      <c r="W269" s="15">
        <f>MAX(0,V268*(1-INDEX($B$11:$B$63,11))*(1-E268))</f>
        <v/>
      </c>
      <c r="X269" s="15">
        <f>MAX(0,W268*(1-INDEX($B$11:$B$63,12))*(1-E268))</f>
        <v/>
      </c>
      <c r="Y269" s="15">
        <f>MAX(0,X268*(1-INDEX($B$11:$B$63,13))*(1-E268))</f>
        <v/>
      </c>
      <c r="Z269" s="15">
        <f>MAX(0,Y268*(1-INDEX($B$11:$B$63,14))*(1-E268))</f>
        <v/>
      </c>
      <c r="AA269" s="15">
        <f>MAX(0,Z268*(1-INDEX($B$11:$B$63,15))*(1-E268))</f>
        <v/>
      </c>
      <c r="AB269" s="15">
        <f>MAX(0,AA268*(1-INDEX($B$11:$B$63,16))*(1-E268))</f>
        <v/>
      </c>
      <c r="AC269" s="15">
        <f>MAX(0,AB268*(1-INDEX($B$11:$B$63,17))*(1-E268))</f>
        <v/>
      </c>
      <c r="AD269" s="15">
        <f>MAX(0,AC268*(1-INDEX($B$11:$B$63,18))*(1-E268))</f>
        <v/>
      </c>
      <c r="AE269" s="15">
        <f>MAX(0,AD268*(1-INDEX($B$11:$B$63,19))*(1-E268))</f>
        <v/>
      </c>
      <c r="AF269" s="15">
        <f>MAX(0,AE268*(1-INDEX($B$11:$B$63,20))*(1-E268))</f>
        <v/>
      </c>
      <c r="AG269" s="15">
        <f>MAX(0,AF268*(1-INDEX($B$11:$B$63,21))*(1-E268))</f>
        <v/>
      </c>
      <c r="AH269" s="15">
        <f>MAX(0,AG268*(1-INDEX($B$11:$B$63,22))*(1-E268))</f>
        <v/>
      </c>
      <c r="AI269" s="15">
        <f>MAX(0,AH268*(1-INDEX($B$11:$B$63,23))*(1-E268))</f>
        <v/>
      </c>
      <c r="AJ269" s="15">
        <f>MAX(0,AI268*(1-INDEX($B$11:$B$63,24))*(1-E268))</f>
        <v/>
      </c>
      <c r="AK269" s="15">
        <f>MAX(0,AJ268*(1-INDEX($B$11:$B$63,25))*(1-E268))</f>
        <v/>
      </c>
      <c r="AL269" s="15">
        <f>MAX(0,AK268*(1-INDEX($B$11:$B$63,26))*(1-E268))</f>
        <v/>
      </c>
      <c r="AM269" s="15">
        <f>MAX(0,AL268*(1-INDEX($B$11:$B$63,27))*(1-E268))</f>
        <v/>
      </c>
      <c r="AN269" s="15">
        <f>MAX(0,AM268*(1-INDEX($B$11:$B$63,28))*(1-E268))</f>
        <v/>
      </c>
      <c r="AO269" s="15">
        <f>MAX(0,AN268*(1-INDEX($B$11:$B$63,29))*(1-E268))</f>
        <v/>
      </c>
      <c r="AP269" s="15">
        <f>MAX(0,AO268*(1-INDEX($B$11:$B$63,30))*(1-E268))</f>
        <v/>
      </c>
      <c r="AQ269" s="15">
        <f>MAX(0,AP268*(1-INDEX($B$11:$B$63,31))*(1-E268))</f>
        <v/>
      </c>
      <c r="AR269" s="15">
        <f>MAX(0,AQ268*(1-INDEX($B$11:$B$63,32))*(1-E268))</f>
        <v/>
      </c>
      <c r="AS269" s="15">
        <f>MAX(0,AR268*(1-INDEX($B$11:$B$63,33))*(1-E268))</f>
        <v/>
      </c>
      <c r="AT269" s="15">
        <f>MAX(0,AS268*(1-INDEX($B$11:$B$63,34))*(1-E268))</f>
        <v/>
      </c>
      <c r="AU269" s="15">
        <f>MAX(0,AT268*(1-INDEX($B$11:$B$63,35))*(1-E268))</f>
        <v/>
      </c>
      <c r="AV269" s="15">
        <f>MAX(0,AU268*(1-INDEX($B$11:$B$63,36))*(1-E268))</f>
        <v/>
      </c>
      <c r="AW269" s="15">
        <f>MAX(0,AV268*(1-INDEX($B$11:$B$63,37))*(1-E268))</f>
        <v/>
      </c>
      <c r="AX269" s="15">
        <f>MAX(0,AW268*(1-INDEX($B$11:$B$63,38))*(1-E268))</f>
        <v/>
      </c>
      <c r="AY269" s="15">
        <f>MAX(0,AX268*(1-INDEX($B$11:$B$63,39))*(1-E268))</f>
        <v/>
      </c>
      <c r="AZ269" s="15">
        <f>MAX(0,AY268*(1-INDEX($B$11:$B$63,40))*(1-E268))</f>
        <v/>
      </c>
      <c r="BA269" s="15">
        <f>MAX(0,AZ268*(1-INDEX($B$11:$B$63,41))*(1-E268))</f>
        <v/>
      </c>
      <c r="BB269" s="15">
        <f>MAX(0,BA268*(1-INDEX($B$11:$B$63,42))*(1-E268))</f>
        <v/>
      </c>
      <c r="BC269" s="15">
        <f>MAX(0,BB268*(1-INDEX($B$11:$B$63,43))*(1-E268))</f>
        <v/>
      </c>
      <c r="BD269" s="15">
        <f>MAX(0,BC268*(1-INDEX($B$11:$B$63,44))*(1-E268))</f>
        <v/>
      </c>
      <c r="BE269" s="15">
        <f>MAX(0,BD268*(1-INDEX($B$11:$B$63,45))*(1-E268))</f>
        <v/>
      </c>
      <c r="BF269" s="15">
        <f>MAX(0,BE268*(1-INDEX($B$11:$B$63,46))*(1-E268))</f>
        <v/>
      </c>
      <c r="BG269" s="15">
        <f>MAX(0,BF268*(1-INDEX($B$11:$B$63,47))*(1-E268))</f>
        <v/>
      </c>
      <c r="BH269" s="15">
        <f>MAX(0,BG268*(1-INDEX($B$11:$B$63,48))*(1-E268))</f>
        <v/>
      </c>
      <c r="BI269" s="15">
        <f>MAX(0,BH268*(1-INDEX($B$11:$B$63,49))*(1-E268))</f>
        <v/>
      </c>
      <c r="BJ269" s="15">
        <f>MAX(0,BI268*(1-INDEX($B$11:$B$63,50))*(1-E268))</f>
        <v/>
      </c>
      <c r="BK269" s="15">
        <f>MAX(0,BJ268*(1-INDEX($B$11:$B$63,51))*(1-E268))</f>
        <v/>
      </c>
      <c r="BL269" s="15">
        <f>MAX(0,(BL268+BK268)*(1-INDEX($B$11:$B$63,53))*(1-E268))</f>
        <v/>
      </c>
    </row>
    <row r="270">
      <c r="A270" s="55" t="n">
        <v>204</v>
      </c>
      <c r="B270" s="15">
        <f>IF(A270&gt;Inputs!$C$62,"",SUM(M270:BK270))</f>
        <v/>
      </c>
      <c r="C270" s="15">
        <f>IF(A270&gt;Inputs!$C$62,"",INDEX(Trajectory!$C$23:$C$2000,A270))</f>
        <v/>
      </c>
      <c r="D270" s="15">
        <f>IF(A270&gt;Inputs!$C$62,"",SUM(L270:BK270))</f>
        <v/>
      </c>
      <c r="E270" s="12">
        <f>IF(A270&gt;Inputs!$C$62,"",INDEX(Trajectory!$AG$23:$AG$2000,A270))</f>
        <v/>
      </c>
      <c r="F270" s="12">
        <f>IF(D270=0,0,SUMPRODUCT(L270:BK270,$B$11:$B$63)/D270)</f>
        <v/>
      </c>
      <c r="G270" s="12">
        <f>IF(D270=0,0,MIN(0.95,1-(1-F270)*(1-E270)))</f>
        <v/>
      </c>
      <c r="H270" s="15">
        <f>IF(D270=0,0,D270*G270)</f>
        <v/>
      </c>
      <c r="I270" s="15">
        <f>IF(D270=0,0,D270-H270)</f>
        <v/>
      </c>
      <c r="L270" s="15">
        <f>C270</f>
        <v/>
      </c>
      <c r="M270" s="15">
        <f>MAX(0,L269*(1-INDEX($B$11:$B$63,1))*(1-E269))</f>
        <v/>
      </c>
      <c r="N270" s="15">
        <f>MAX(0,M269*(1-INDEX($B$11:$B$63,2))*(1-E269))</f>
        <v/>
      </c>
      <c r="O270" s="15">
        <f>MAX(0,N269*(1-INDEX($B$11:$B$63,3))*(1-E269))</f>
        <v/>
      </c>
      <c r="P270" s="15">
        <f>MAX(0,O269*(1-INDEX($B$11:$B$63,4))*(1-E269))</f>
        <v/>
      </c>
      <c r="Q270" s="15">
        <f>MAX(0,P269*(1-INDEX($B$11:$B$63,5))*(1-E269))</f>
        <v/>
      </c>
      <c r="R270" s="15">
        <f>MAX(0,Q269*(1-INDEX($B$11:$B$63,6))*(1-E269))</f>
        <v/>
      </c>
      <c r="S270" s="15">
        <f>MAX(0,R269*(1-INDEX($B$11:$B$63,7))*(1-E269))</f>
        <v/>
      </c>
      <c r="T270" s="15">
        <f>MAX(0,S269*(1-INDEX($B$11:$B$63,8))*(1-E269))</f>
        <v/>
      </c>
      <c r="U270" s="15">
        <f>MAX(0,T269*(1-INDEX($B$11:$B$63,9))*(1-E269))</f>
        <v/>
      </c>
      <c r="V270" s="15">
        <f>MAX(0,U269*(1-INDEX($B$11:$B$63,10))*(1-E269))</f>
        <v/>
      </c>
      <c r="W270" s="15">
        <f>MAX(0,V269*(1-INDEX($B$11:$B$63,11))*(1-E269))</f>
        <v/>
      </c>
      <c r="X270" s="15">
        <f>MAX(0,W269*(1-INDEX($B$11:$B$63,12))*(1-E269))</f>
        <v/>
      </c>
      <c r="Y270" s="15">
        <f>MAX(0,X269*(1-INDEX($B$11:$B$63,13))*(1-E269))</f>
        <v/>
      </c>
      <c r="Z270" s="15">
        <f>MAX(0,Y269*(1-INDEX($B$11:$B$63,14))*(1-E269))</f>
        <v/>
      </c>
      <c r="AA270" s="15">
        <f>MAX(0,Z269*(1-INDEX($B$11:$B$63,15))*(1-E269))</f>
        <v/>
      </c>
      <c r="AB270" s="15">
        <f>MAX(0,AA269*(1-INDEX($B$11:$B$63,16))*(1-E269))</f>
        <v/>
      </c>
      <c r="AC270" s="15">
        <f>MAX(0,AB269*(1-INDEX($B$11:$B$63,17))*(1-E269))</f>
        <v/>
      </c>
      <c r="AD270" s="15">
        <f>MAX(0,AC269*(1-INDEX($B$11:$B$63,18))*(1-E269))</f>
        <v/>
      </c>
      <c r="AE270" s="15">
        <f>MAX(0,AD269*(1-INDEX($B$11:$B$63,19))*(1-E269))</f>
        <v/>
      </c>
      <c r="AF270" s="15">
        <f>MAX(0,AE269*(1-INDEX($B$11:$B$63,20))*(1-E269))</f>
        <v/>
      </c>
      <c r="AG270" s="15">
        <f>MAX(0,AF269*(1-INDEX($B$11:$B$63,21))*(1-E269))</f>
        <v/>
      </c>
      <c r="AH270" s="15">
        <f>MAX(0,AG269*(1-INDEX($B$11:$B$63,22))*(1-E269))</f>
        <v/>
      </c>
      <c r="AI270" s="15">
        <f>MAX(0,AH269*(1-INDEX($B$11:$B$63,23))*(1-E269))</f>
        <v/>
      </c>
      <c r="AJ270" s="15">
        <f>MAX(0,AI269*(1-INDEX($B$11:$B$63,24))*(1-E269))</f>
        <v/>
      </c>
      <c r="AK270" s="15">
        <f>MAX(0,AJ269*(1-INDEX($B$11:$B$63,25))*(1-E269))</f>
        <v/>
      </c>
      <c r="AL270" s="15">
        <f>MAX(0,AK269*(1-INDEX($B$11:$B$63,26))*(1-E269))</f>
        <v/>
      </c>
      <c r="AM270" s="15">
        <f>MAX(0,AL269*(1-INDEX($B$11:$B$63,27))*(1-E269))</f>
        <v/>
      </c>
      <c r="AN270" s="15">
        <f>MAX(0,AM269*(1-INDEX($B$11:$B$63,28))*(1-E269))</f>
        <v/>
      </c>
      <c r="AO270" s="15">
        <f>MAX(0,AN269*(1-INDEX($B$11:$B$63,29))*(1-E269))</f>
        <v/>
      </c>
      <c r="AP270" s="15">
        <f>MAX(0,AO269*(1-INDEX($B$11:$B$63,30))*(1-E269))</f>
        <v/>
      </c>
      <c r="AQ270" s="15">
        <f>MAX(0,AP269*(1-INDEX($B$11:$B$63,31))*(1-E269))</f>
        <v/>
      </c>
      <c r="AR270" s="15">
        <f>MAX(0,AQ269*(1-INDEX($B$11:$B$63,32))*(1-E269))</f>
        <v/>
      </c>
      <c r="AS270" s="15">
        <f>MAX(0,AR269*(1-INDEX($B$11:$B$63,33))*(1-E269))</f>
        <v/>
      </c>
      <c r="AT270" s="15">
        <f>MAX(0,AS269*(1-INDEX($B$11:$B$63,34))*(1-E269))</f>
        <v/>
      </c>
      <c r="AU270" s="15">
        <f>MAX(0,AT269*(1-INDEX($B$11:$B$63,35))*(1-E269))</f>
        <v/>
      </c>
      <c r="AV270" s="15">
        <f>MAX(0,AU269*(1-INDEX($B$11:$B$63,36))*(1-E269))</f>
        <v/>
      </c>
      <c r="AW270" s="15">
        <f>MAX(0,AV269*(1-INDEX($B$11:$B$63,37))*(1-E269))</f>
        <v/>
      </c>
      <c r="AX270" s="15">
        <f>MAX(0,AW269*(1-INDEX($B$11:$B$63,38))*(1-E269))</f>
        <v/>
      </c>
      <c r="AY270" s="15">
        <f>MAX(0,AX269*(1-INDEX($B$11:$B$63,39))*(1-E269))</f>
        <v/>
      </c>
      <c r="AZ270" s="15">
        <f>MAX(0,AY269*(1-INDEX($B$11:$B$63,40))*(1-E269))</f>
        <v/>
      </c>
      <c r="BA270" s="15">
        <f>MAX(0,AZ269*(1-INDEX($B$11:$B$63,41))*(1-E269))</f>
        <v/>
      </c>
      <c r="BB270" s="15">
        <f>MAX(0,BA269*(1-INDEX($B$11:$B$63,42))*(1-E269))</f>
        <v/>
      </c>
      <c r="BC270" s="15">
        <f>MAX(0,BB269*(1-INDEX($B$11:$B$63,43))*(1-E269))</f>
        <v/>
      </c>
      <c r="BD270" s="15">
        <f>MAX(0,BC269*(1-INDEX($B$11:$B$63,44))*(1-E269))</f>
        <v/>
      </c>
      <c r="BE270" s="15">
        <f>MAX(0,BD269*(1-INDEX($B$11:$B$63,45))*(1-E269))</f>
        <v/>
      </c>
      <c r="BF270" s="15">
        <f>MAX(0,BE269*(1-INDEX($B$11:$B$63,46))*(1-E269))</f>
        <v/>
      </c>
      <c r="BG270" s="15">
        <f>MAX(0,BF269*(1-INDEX($B$11:$B$63,47))*(1-E269))</f>
        <v/>
      </c>
      <c r="BH270" s="15">
        <f>MAX(0,BG269*(1-INDEX($B$11:$B$63,48))*(1-E269))</f>
        <v/>
      </c>
      <c r="BI270" s="15">
        <f>MAX(0,BH269*(1-INDEX($B$11:$B$63,49))*(1-E269))</f>
        <v/>
      </c>
      <c r="BJ270" s="15">
        <f>MAX(0,BI269*(1-INDEX($B$11:$B$63,50))*(1-E269))</f>
        <v/>
      </c>
      <c r="BK270" s="15">
        <f>MAX(0,BJ269*(1-INDEX($B$11:$B$63,51))*(1-E269))</f>
        <v/>
      </c>
      <c r="BL270" s="15">
        <f>MAX(0,(BL269+BK269)*(1-INDEX($B$11:$B$63,53))*(1-E269))</f>
        <v/>
      </c>
    </row>
    <row r="271">
      <c r="A271" s="55" t="n">
        <v>205</v>
      </c>
      <c r="B271" s="15">
        <f>IF(A271&gt;Inputs!$C$62,"",SUM(M271:BK271))</f>
        <v/>
      </c>
      <c r="C271" s="15">
        <f>IF(A271&gt;Inputs!$C$62,"",INDEX(Trajectory!$C$23:$C$2000,A271))</f>
        <v/>
      </c>
      <c r="D271" s="15">
        <f>IF(A271&gt;Inputs!$C$62,"",SUM(L271:BK271))</f>
        <v/>
      </c>
      <c r="E271" s="12">
        <f>IF(A271&gt;Inputs!$C$62,"",INDEX(Trajectory!$AG$23:$AG$2000,A271))</f>
        <v/>
      </c>
      <c r="F271" s="12">
        <f>IF(D271=0,0,SUMPRODUCT(L271:BK271,$B$11:$B$63)/D271)</f>
        <v/>
      </c>
      <c r="G271" s="12">
        <f>IF(D271=0,0,MIN(0.95,1-(1-F271)*(1-E271)))</f>
        <v/>
      </c>
      <c r="H271" s="15">
        <f>IF(D271=0,0,D271*G271)</f>
        <v/>
      </c>
      <c r="I271" s="15">
        <f>IF(D271=0,0,D271-H271)</f>
        <v/>
      </c>
      <c r="L271" s="15">
        <f>C271</f>
        <v/>
      </c>
      <c r="M271" s="15">
        <f>MAX(0,L270*(1-INDEX($B$11:$B$63,1))*(1-E270))</f>
        <v/>
      </c>
      <c r="N271" s="15">
        <f>MAX(0,M270*(1-INDEX($B$11:$B$63,2))*(1-E270))</f>
        <v/>
      </c>
      <c r="O271" s="15">
        <f>MAX(0,N270*(1-INDEX($B$11:$B$63,3))*(1-E270))</f>
        <v/>
      </c>
      <c r="P271" s="15">
        <f>MAX(0,O270*(1-INDEX($B$11:$B$63,4))*(1-E270))</f>
        <v/>
      </c>
      <c r="Q271" s="15">
        <f>MAX(0,P270*(1-INDEX($B$11:$B$63,5))*(1-E270))</f>
        <v/>
      </c>
      <c r="R271" s="15">
        <f>MAX(0,Q270*(1-INDEX($B$11:$B$63,6))*(1-E270))</f>
        <v/>
      </c>
      <c r="S271" s="15">
        <f>MAX(0,R270*(1-INDEX($B$11:$B$63,7))*(1-E270))</f>
        <v/>
      </c>
      <c r="T271" s="15">
        <f>MAX(0,S270*(1-INDEX($B$11:$B$63,8))*(1-E270))</f>
        <v/>
      </c>
      <c r="U271" s="15">
        <f>MAX(0,T270*(1-INDEX($B$11:$B$63,9))*(1-E270))</f>
        <v/>
      </c>
      <c r="V271" s="15">
        <f>MAX(0,U270*(1-INDEX($B$11:$B$63,10))*(1-E270))</f>
        <v/>
      </c>
      <c r="W271" s="15">
        <f>MAX(0,V270*(1-INDEX($B$11:$B$63,11))*(1-E270))</f>
        <v/>
      </c>
      <c r="X271" s="15">
        <f>MAX(0,W270*(1-INDEX($B$11:$B$63,12))*(1-E270))</f>
        <v/>
      </c>
      <c r="Y271" s="15">
        <f>MAX(0,X270*(1-INDEX($B$11:$B$63,13))*(1-E270))</f>
        <v/>
      </c>
      <c r="Z271" s="15">
        <f>MAX(0,Y270*(1-INDEX($B$11:$B$63,14))*(1-E270))</f>
        <v/>
      </c>
      <c r="AA271" s="15">
        <f>MAX(0,Z270*(1-INDEX($B$11:$B$63,15))*(1-E270))</f>
        <v/>
      </c>
      <c r="AB271" s="15">
        <f>MAX(0,AA270*(1-INDEX($B$11:$B$63,16))*(1-E270))</f>
        <v/>
      </c>
      <c r="AC271" s="15">
        <f>MAX(0,AB270*(1-INDEX($B$11:$B$63,17))*(1-E270))</f>
        <v/>
      </c>
      <c r="AD271" s="15">
        <f>MAX(0,AC270*(1-INDEX($B$11:$B$63,18))*(1-E270))</f>
        <v/>
      </c>
      <c r="AE271" s="15">
        <f>MAX(0,AD270*(1-INDEX($B$11:$B$63,19))*(1-E270))</f>
        <v/>
      </c>
      <c r="AF271" s="15">
        <f>MAX(0,AE270*(1-INDEX($B$11:$B$63,20))*(1-E270))</f>
        <v/>
      </c>
      <c r="AG271" s="15">
        <f>MAX(0,AF270*(1-INDEX($B$11:$B$63,21))*(1-E270))</f>
        <v/>
      </c>
      <c r="AH271" s="15">
        <f>MAX(0,AG270*(1-INDEX($B$11:$B$63,22))*(1-E270))</f>
        <v/>
      </c>
      <c r="AI271" s="15">
        <f>MAX(0,AH270*(1-INDEX($B$11:$B$63,23))*(1-E270))</f>
        <v/>
      </c>
      <c r="AJ271" s="15">
        <f>MAX(0,AI270*(1-INDEX($B$11:$B$63,24))*(1-E270))</f>
        <v/>
      </c>
      <c r="AK271" s="15">
        <f>MAX(0,AJ270*(1-INDEX($B$11:$B$63,25))*(1-E270))</f>
        <v/>
      </c>
      <c r="AL271" s="15">
        <f>MAX(0,AK270*(1-INDEX($B$11:$B$63,26))*(1-E270))</f>
        <v/>
      </c>
      <c r="AM271" s="15">
        <f>MAX(0,AL270*(1-INDEX($B$11:$B$63,27))*(1-E270))</f>
        <v/>
      </c>
      <c r="AN271" s="15">
        <f>MAX(0,AM270*(1-INDEX($B$11:$B$63,28))*(1-E270))</f>
        <v/>
      </c>
      <c r="AO271" s="15">
        <f>MAX(0,AN270*(1-INDEX($B$11:$B$63,29))*(1-E270))</f>
        <v/>
      </c>
      <c r="AP271" s="15">
        <f>MAX(0,AO270*(1-INDEX($B$11:$B$63,30))*(1-E270))</f>
        <v/>
      </c>
      <c r="AQ271" s="15">
        <f>MAX(0,AP270*(1-INDEX($B$11:$B$63,31))*(1-E270))</f>
        <v/>
      </c>
      <c r="AR271" s="15">
        <f>MAX(0,AQ270*(1-INDEX($B$11:$B$63,32))*(1-E270))</f>
        <v/>
      </c>
      <c r="AS271" s="15">
        <f>MAX(0,AR270*(1-INDEX($B$11:$B$63,33))*(1-E270))</f>
        <v/>
      </c>
      <c r="AT271" s="15">
        <f>MAX(0,AS270*(1-INDEX($B$11:$B$63,34))*(1-E270))</f>
        <v/>
      </c>
      <c r="AU271" s="15">
        <f>MAX(0,AT270*(1-INDEX($B$11:$B$63,35))*(1-E270))</f>
        <v/>
      </c>
      <c r="AV271" s="15">
        <f>MAX(0,AU270*(1-INDEX($B$11:$B$63,36))*(1-E270))</f>
        <v/>
      </c>
      <c r="AW271" s="15">
        <f>MAX(0,AV270*(1-INDEX($B$11:$B$63,37))*(1-E270))</f>
        <v/>
      </c>
      <c r="AX271" s="15">
        <f>MAX(0,AW270*(1-INDEX($B$11:$B$63,38))*(1-E270))</f>
        <v/>
      </c>
      <c r="AY271" s="15">
        <f>MAX(0,AX270*(1-INDEX($B$11:$B$63,39))*(1-E270))</f>
        <v/>
      </c>
      <c r="AZ271" s="15">
        <f>MAX(0,AY270*(1-INDEX($B$11:$B$63,40))*(1-E270))</f>
        <v/>
      </c>
      <c r="BA271" s="15">
        <f>MAX(0,AZ270*(1-INDEX($B$11:$B$63,41))*(1-E270))</f>
        <v/>
      </c>
      <c r="BB271" s="15">
        <f>MAX(0,BA270*(1-INDEX($B$11:$B$63,42))*(1-E270))</f>
        <v/>
      </c>
      <c r="BC271" s="15">
        <f>MAX(0,BB270*(1-INDEX($B$11:$B$63,43))*(1-E270))</f>
        <v/>
      </c>
      <c r="BD271" s="15">
        <f>MAX(0,BC270*(1-INDEX($B$11:$B$63,44))*(1-E270))</f>
        <v/>
      </c>
      <c r="BE271" s="15">
        <f>MAX(0,BD270*(1-INDEX($B$11:$B$63,45))*(1-E270))</f>
        <v/>
      </c>
      <c r="BF271" s="15">
        <f>MAX(0,BE270*(1-INDEX($B$11:$B$63,46))*(1-E270))</f>
        <v/>
      </c>
      <c r="BG271" s="15">
        <f>MAX(0,BF270*(1-INDEX($B$11:$B$63,47))*(1-E270))</f>
        <v/>
      </c>
      <c r="BH271" s="15">
        <f>MAX(0,BG270*(1-INDEX($B$11:$B$63,48))*(1-E270))</f>
        <v/>
      </c>
      <c r="BI271" s="15">
        <f>MAX(0,BH270*(1-INDEX($B$11:$B$63,49))*(1-E270))</f>
        <v/>
      </c>
      <c r="BJ271" s="15">
        <f>MAX(0,BI270*(1-INDEX($B$11:$B$63,50))*(1-E270))</f>
        <v/>
      </c>
      <c r="BK271" s="15">
        <f>MAX(0,BJ270*(1-INDEX($B$11:$B$63,51))*(1-E270))</f>
        <v/>
      </c>
      <c r="BL271" s="15">
        <f>MAX(0,(BL270+BK270)*(1-INDEX($B$11:$B$63,53))*(1-E270))</f>
        <v/>
      </c>
    </row>
    <row r="272">
      <c r="A272" s="55" t="n">
        <v>206</v>
      </c>
      <c r="B272" s="15">
        <f>IF(A272&gt;Inputs!$C$62,"",SUM(M272:BK272))</f>
        <v/>
      </c>
      <c r="C272" s="15">
        <f>IF(A272&gt;Inputs!$C$62,"",INDEX(Trajectory!$C$23:$C$2000,A272))</f>
        <v/>
      </c>
      <c r="D272" s="15">
        <f>IF(A272&gt;Inputs!$C$62,"",SUM(L272:BK272))</f>
        <v/>
      </c>
      <c r="E272" s="12">
        <f>IF(A272&gt;Inputs!$C$62,"",INDEX(Trajectory!$AG$23:$AG$2000,A272))</f>
        <v/>
      </c>
      <c r="F272" s="12">
        <f>IF(D272=0,0,SUMPRODUCT(L272:BK272,$B$11:$B$63)/D272)</f>
        <v/>
      </c>
      <c r="G272" s="12">
        <f>IF(D272=0,0,MIN(0.95,1-(1-F272)*(1-E272)))</f>
        <v/>
      </c>
      <c r="H272" s="15">
        <f>IF(D272=0,0,D272*G272)</f>
        <v/>
      </c>
      <c r="I272" s="15">
        <f>IF(D272=0,0,D272-H272)</f>
        <v/>
      </c>
      <c r="L272" s="15">
        <f>C272</f>
        <v/>
      </c>
      <c r="M272" s="15">
        <f>MAX(0,L271*(1-INDEX($B$11:$B$63,1))*(1-E271))</f>
        <v/>
      </c>
      <c r="N272" s="15">
        <f>MAX(0,M271*(1-INDEX($B$11:$B$63,2))*(1-E271))</f>
        <v/>
      </c>
      <c r="O272" s="15">
        <f>MAX(0,N271*(1-INDEX($B$11:$B$63,3))*(1-E271))</f>
        <v/>
      </c>
      <c r="P272" s="15">
        <f>MAX(0,O271*(1-INDEX($B$11:$B$63,4))*(1-E271))</f>
        <v/>
      </c>
      <c r="Q272" s="15">
        <f>MAX(0,P271*(1-INDEX($B$11:$B$63,5))*(1-E271))</f>
        <v/>
      </c>
      <c r="R272" s="15">
        <f>MAX(0,Q271*(1-INDEX($B$11:$B$63,6))*(1-E271))</f>
        <v/>
      </c>
      <c r="S272" s="15">
        <f>MAX(0,R271*(1-INDEX($B$11:$B$63,7))*(1-E271))</f>
        <v/>
      </c>
      <c r="T272" s="15">
        <f>MAX(0,S271*(1-INDEX($B$11:$B$63,8))*(1-E271))</f>
        <v/>
      </c>
      <c r="U272" s="15">
        <f>MAX(0,T271*(1-INDEX($B$11:$B$63,9))*(1-E271))</f>
        <v/>
      </c>
      <c r="V272" s="15">
        <f>MAX(0,U271*(1-INDEX($B$11:$B$63,10))*(1-E271))</f>
        <v/>
      </c>
      <c r="W272" s="15">
        <f>MAX(0,V271*(1-INDEX($B$11:$B$63,11))*(1-E271))</f>
        <v/>
      </c>
      <c r="X272" s="15">
        <f>MAX(0,W271*(1-INDEX($B$11:$B$63,12))*(1-E271))</f>
        <v/>
      </c>
      <c r="Y272" s="15">
        <f>MAX(0,X271*(1-INDEX($B$11:$B$63,13))*(1-E271))</f>
        <v/>
      </c>
      <c r="Z272" s="15">
        <f>MAX(0,Y271*(1-INDEX($B$11:$B$63,14))*(1-E271))</f>
        <v/>
      </c>
      <c r="AA272" s="15">
        <f>MAX(0,Z271*(1-INDEX($B$11:$B$63,15))*(1-E271))</f>
        <v/>
      </c>
      <c r="AB272" s="15">
        <f>MAX(0,AA271*(1-INDEX($B$11:$B$63,16))*(1-E271))</f>
        <v/>
      </c>
      <c r="AC272" s="15">
        <f>MAX(0,AB271*(1-INDEX($B$11:$B$63,17))*(1-E271))</f>
        <v/>
      </c>
      <c r="AD272" s="15">
        <f>MAX(0,AC271*(1-INDEX($B$11:$B$63,18))*(1-E271))</f>
        <v/>
      </c>
      <c r="AE272" s="15">
        <f>MAX(0,AD271*(1-INDEX($B$11:$B$63,19))*(1-E271))</f>
        <v/>
      </c>
      <c r="AF272" s="15">
        <f>MAX(0,AE271*(1-INDEX($B$11:$B$63,20))*(1-E271))</f>
        <v/>
      </c>
      <c r="AG272" s="15">
        <f>MAX(0,AF271*(1-INDEX($B$11:$B$63,21))*(1-E271))</f>
        <v/>
      </c>
      <c r="AH272" s="15">
        <f>MAX(0,AG271*(1-INDEX($B$11:$B$63,22))*(1-E271))</f>
        <v/>
      </c>
      <c r="AI272" s="15">
        <f>MAX(0,AH271*(1-INDEX($B$11:$B$63,23))*(1-E271))</f>
        <v/>
      </c>
      <c r="AJ272" s="15">
        <f>MAX(0,AI271*(1-INDEX($B$11:$B$63,24))*(1-E271))</f>
        <v/>
      </c>
      <c r="AK272" s="15">
        <f>MAX(0,AJ271*(1-INDEX($B$11:$B$63,25))*(1-E271))</f>
        <v/>
      </c>
      <c r="AL272" s="15">
        <f>MAX(0,AK271*(1-INDEX($B$11:$B$63,26))*(1-E271))</f>
        <v/>
      </c>
      <c r="AM272" s="15">
        <f>MAX(0,AL271*(1-INDEX($B$11:$B$63,27))*(1-E271))</f>
        <v/>
      </c>
      <c r="AN272" s="15">
        <f>MAX(0,AM271*(1-INDEX($B$11:$B$63,28))*(1-E271))</f>
        <v/>
      </c>
      <c r="AO272" s="15">
        <f>MAX(0,AN271*(1-INDEX($B$11:$B$63,29))*(1-E271))</f>
        <v/>
      </c>
      <c r="AP272" s="15">
        <f>MAX(0,AO271*(1-INDEX($B$11:$B$63,30))*(1-E271))</f>
        <v/>
      </c>
      <c r="AQ272" s="15">
        <f>MAX(0,AP271*(1-INDEX($B$11:$B$63,31))*(1-E271))</f>
        <v/>
      </c>
      <c r="AR272" s="15">
        <f>MAX(0,AQ271*(1-INDEX($B$11:$B$63,32))*(1-E271))</f>
        <v/>
      </c>
      <c r="AS272" s="15">
        <f>MAX(0,AR271*(1-INDEX($B$11:$B$63,33))*(1-E271))</f>
        <v/>
      </c>
      <c r="AT272" s="15">
        <f>MAX(0,AS271*(1-INDEX($B$11:$B$63,34))*(1-E271))</f>
        <v/>
      </c>
      <c r="AU272" s="15">
        <f>MAX(0,AT271*(1-INDEX($B$11:$B$63,35))*(1-E271))</f>
        <v/>
      </c>
      <c r="AV272" s="15">
        <f>MAX(0,AU271*(1-INDEX($B$11:$B$63,36))*(1-E271))</f>
        <v/>
      </c>
      <c r="AW272" s="15">
        <f>MAX(0,AV271*(1-INDEX($B$11:$B$63,37))*(1-E271))</f>
        <v/>
      </c>
      <c r="AX272" s="15">
        <f>MAX(0,AW271*(1-INDEX($B$11:$B$63,38))*(1-E271))</f>
        <v/>
      </c>
      <c r="AY272" s="15">
        <f>MAX(0,AX271*(1-INDEX($B$11:$B$63,39))*(1-E271))</f>
        <v/>
      </c>
      <c r="AZ272" s="15">
        <f>MAX(0,AY271*(1-INDEX($B$11:$B$63,40))*(1-E271))</f>
        <v/>
      </c>
      <c r="BA272" s="15">
        <f>MAX(0,AZ271*(1-INDEX($B$11:$B$63,41))*(1-E271))</f>
        <v/>
      </c>
      <c r="BB272" s="15">
        <f>MAX(0,BA271*(1-INDEX($B$11:$B$63,42))*(1-E271))</f>
        <v/>
      </c>
      <c r="BC272" s="15">
        <f>MAX(0,BB271*(1-INDEX($B$11:$B$63,43))*(1-E271))</f>
        <v/>
      </c>
      <c r="BD272" s="15">
        <f>MAX(0,BC271*(1-INDEX($B$11:$B$63,44))*(1-E271))</f>
        <v/>
      </c>
      <c r="BE272" s="15">
        <f>MAX(0,BD271*(1-INDEX($B$11:$B$63,45))*(1-E271))</f>
        <v/>
      </c>
      <c r="BF272" s="15">
        <f>MAX(0,BE271*(1-INDEX($B$11:$B$63,46))*(1-E271))</f>
        <v/>
      </c>
      <c r="BG272" s="15">
        <f>MAX(0,BF271*(1-INDEX($B$11:$B$63,47))*(1-E271))</f>
        <v/>
      </c>
      <c r="BH272" s="15">
        <f>MAX(0,BG271*(1-INDEX($B$11:$B$63,48))*(1-E271))</f>
        <v/>
      </c>
      <c r="BI272" s="15">
        <f>MAX(0,BH271*(1-INDEX($B$11:$B$63,49))*(1-E271))</f>
        <v/>
      </c>
      <c r="BJ272" s="15">
        <f>MAX(0,BI271*(1-INDEX($B$11:$B$63,50))*(1-E271))</f>
        <v/>
      </c>
      <c r="BK272" s="15">
        <f>MAX(0,BJ271*(1-INDEX($B$11:$B$63,51))*(1-E271))</f>
        <v/>
      </c>
      <c r="BL272" s="15">
        <f>MAX(0,(BL271+BK271)*(1-INDEX($B$11:$B$63,53))*(1-E271))</f>
        <v/>
      </c>
    </row>
    <row r="273">
      <c r="A273" s="55" t="n">
        <v>207</v>
      </c>
      <c r="B273" s="15">
        <f>IF(A273&gt;Inputs!$C$62,"",SUM(M273:BK273))</f>
        <v/>
      </c>
      <c r="C273" s="15">
        <f>IF(A273&gt;Inputs!$C$62,"",INDEX(Trajectory!$C$23:$C$2000,A273))</f>
        <v/>
      </c>
      <c r="D273" s="15">
        <f>IF(A273&gt;Inputs!$C$62,"",SUM(L273:BK273))</f>
        <v/>
      </c>
      <c r="E273" s="12">
        <f>IF(A273&gt;Inputs!$C$62,"",INDEX(Trajectory!$AG$23:$AG$2000,A273))</f>
        <v/>
      </c>
      <c r="F273" s="12">
        <f>IF(D273=0,0,SUMPRODUCT(L273:BK273,$B$11:$B$63)/D273)</f>
        <v/>
      </c>
      <c r="G273" s="12">
        <f>IF(D273=0,0,MIN(0.95,1-(1-F273)*(1-E273)))</f>
        <v/>
      </c>
      <c r="H273" s="15">
        <f>IF(D273=0,0,D273*G273)</f>
        <v/>
      </c>
      <c r="I273" s="15">
        <f>IF(D273=0,0,D273-H273)</f>
        <v/>
      </c>
      <c r="L273" s="15">
        <f>C273</f>
        <v/>
      </c>
      <c r="M273" s="15">
        <f>MAX(0,L272*(1-INDEX($B$11:$B$63,1))*(1-E272))</f>
        <v/>
      </c>
      <c r="N273" s="15">
        <f>MAX(0,M272*(1-INDEX($B$11:$B$63,2))*(1-E272))</f>
        <v/>
      </c>
      <c r="O273" s="15">
        <f>MAX(0,N272*(1-INDEX($B$11:$B$63,3))*(1-E272))</f>
        <v/>
      </c>
      <c r="P273" s="15">
        <f>MAX(0,O272*(1-INDEX($B$11:$B$63,4))*(1-E272))</f>
        <v/>
      </c>
      <c r="Q273" s="15">
        <f>MAX(0,P272*(1-INDEX($B$11:$B$63,5))*(1-E272))</f>
        <v/>
      </c>
      <c r="R273" s="15">
        <f>MAX(0,Q272*(1-INDEX($B$11:$B$63,6))*(1-E272))</f>
        <v/>
      </c>
      <c r="S273" s="15">
        <f>MAX(0,R272*(1-INDEX($B$11:$B$63,7))*(1-E272))</f>
        <v/>
      </c>
      <c r="T273" s="15">
        <f>MAX(0,S272*(1-INDEX($B$11:$B$63,8))*(1-E272))</f>
        <v/>
      </c>
      <c r="U273" s="15">
        <f>MAX(0,T272*(1-INDEX($B$11:$B$63,9))*(1-E272))</f>
        <v/>
      </c>
      <c r="V273" s="15">
        <f>MAX(0,U272*(1-INDEX($B$11:$B$63,10))*(1-E272))</f>
        <v/>
      </c>
      <c r="W273" s="15">
        <f>MAX(0,V272*(1-INDEX($B$11:$B$63,11))*(1-E272))</f>
        <v/>
      </c>
      <c r="X273" s="15">
        <f>MAX(0,W272*(1-INDEX($B$11:$B$63,12))*(1-E272))</f>
        <v/>
      </c>
      <c r="Y273" s="15">
        <f>MAX(0,X272*(1-INDEX($B$11:$B$63,13))*(1-E272))</f>
        <v/>
      </c>
      <c r="Z273" s="15">
        <f>MAX(0,Y272*(1-INDEX($B$11:$B$63,14))*(1-E272))</f>
        <v/>
      </c>
      <c r="AA273" s="15">
        <f>MAX(0,Z272*(1-INDEX($B$11:$B$63,15))*(1-E272))</f>
        <v/>
      </c>
      <c r="AB273" s="15">
        <f>MAX(0,AA272*(1-INDEX($B$11:$B$63,16))*(1-E272))</f>
        <v/>
      </c>
      <c r="AC273" s="15">
        <f>MAX(0,AB272*(1-INDEX($B$11:$B$63,17))*(1-E272))</f>
        <v/>
      </c>
      <c r="AD273" s="15">
        <f>MAX(0,AC272*(1-INDEX($B$11:$B$63,18))*(1-E272))</f>
        <v/>
      </c>
      <c r="AE273" s="15">
        <f>MAX(0,AD272*(1-INDEX($B$11:$B$63,19))*(1-E272))</f>
        <v/>
      </c>
      <c r="AF273" s="15">
        <f>MAX(0,AE272*(1-INDEX($B$11:$B$63,20))*(1-E272))</f>
        <v/>
      </c>
      <c r="AG273" s="15">
        <f>MAX(0,AF272*(1-INDEX($B$11:$B$63,21))*(1-E272))</f>
        <v/>
      </c>
      <c r="AH273" s="15">
        <f>MAX(0,AG272*(1-INDEX($B$11:$B$63,22))*(1-E272))</f>
        <v/>
      </c>
      <c r="AI273" s="15">
        <f>MAX(0,AH272*(1-INDEX($B$11:$B$63,23))*(1-E272))</f>
        <v/>
      </c>
      <c r="AJ273" s="15">
        <f>MAX(0,AI272*(1-INDEX($B$11:$B$63,24))*(1-E272))</f>
        <v/>
      </c>
      <c r="AK273" s="15">
        <f>MAX(0,AJ272*(1-INDEX($B$11:$B$63,25))*(1-E272))</f>
        <v/>
      </c>
      <c r="AL273" s="15">
        <f>MAX(0,AK272*(1-INDEX($B$11:$B$63,26))*(1-E272))</f>
        <v/>
      </c>
      <c r="AM273" s="15">
        <f>MAX(0,AL272*(1-INDEX($B$11:$B$63,27))*(1-E272))</f>
        <v/>
      </c>
      <c r="AN273" s="15">
        <f>MAX(0,AM272*(1-INDEX($B$11:$B$63,28))*(1-E272))</f>
        <v/>
      </c>
      <c r="AO273" s="15">
        <f>MAX(0,AN272*(1-INDEX($B$11:$B$63,29))*(1-E272))</f>
        <v/>
      </c>
      <c r="AP273" s="15">
        <f>MAX(0,AO272*(1-INDEX($B$11:$B$63,30))*(1-E272))</f>
        <v/>
      </c>
      <c r="AQ273" s="15">
        <f>MAX(0,AP272*(1-INDEX($B$11:$B$63,31))*(1-E272))</f>
        <v/>
      </c>
      <c r="AR273" s="15">
        <f>MAX(0,AQ272*(1-INDEX($B$11:$B$63,32))*(1-E272))</f>
        <v/>
      </c>
      <c r="AS273" s="15">
        <f>MAX(0,AR272*(1-INDEX($B$11:$B$63,33))*(1-E272))</f>
        <v/>
      </c>
      <c r="AT273" s="15">
        <f>MAX(0,AS272*(1-INDEX($B$11:$B$63,34))*(1-E272))</f>
        <v/>
      </c>
      <c r="AU273" s="15">
        <f>MAX(0,AT272*(1-INDEX($B$11:$B$63,35))*(1-E272))</f>
        <v/>
      </c>
      <c r="AV273" s="15">
        <f>MAX(0,AU272*(1-INDEX($B$11:$B$63,36))*(1-E272))</f>
        <v/>
      </c>
      <c r="AW273" s="15">
        <f>MAX(0,AV272*(1-INDEX($B$11:$B$63,37))*(1-E272))</f>
        <v/>
      </c>
      <c r="AX273" s="15">
        <f>MAX(0,AW272*(1-INDEX($B$11:$B$63,38))*(1-E272))</f>
        <v/>
      </c>
      <c r="AY273" s="15">
        <f>MAX(0,AX272*(1-INDEX($B$11:$B$63,39))*(1-E272))</f>
        <v/>
      </c>
      <c r="AZ273" s="15">
        <f>MAX(0,AY272*(1-INDEX($B$11:$B$63,40))*(1-E272))</f>
        <v/>
      </c>
      <c r="BA273" s="15">
        <f>MAX(0,AZ272*(1-INDEX($B$11:$B$63,41))*(1-E272))</f>
        <v/>
      </c>
      <c r="BB273" s="15">
        <f>MAX(0,BA272*(1-INDEX($B$11:$B$63,42))*(1-E272))</f>
        <v/>
      </c>
      <c r="BC273" s="15">
        <f>MAX(0,BB272*(1-INDEX($B$11:$B$63,43))*(1-E272))</f>
        <v/>
      </c>
      <c r="BD273" s="15">
        <f>MAX(0,BC272*(1-INDEX($B$11:$B$63,44))*(1-E272))</f>
        <v/>
      </c>
      <c r="BE273" s="15">
        <f>MAX(0,BD272*(1-INDEX($B$11:$B$63,45))*(1-E272))</f>
        <v/>
      </c>
      <c r="BF273" s="15">
        <f>MAX(0,BE272*(1-INDEX($B$11:$B$63,46))*(1-E272))</f>
        <v/>
      </c>
      <c r="BG273" s="15">
        <f>MAX(0,BF272*(1-INDEX($B$11:$B$63,47))*(1-E272))</f>
        <v/>
      </c>
      <c r="BH273" s="15">
        <f>MAX(0,BG272*(1-INDEX($B$11:$B$63,48))*(1-E272))</f>
        <v/>
      </c>
      <c r="BI273" s="15">
        <f>MAX(0,BH272*(1-INDEX($B$11:$B$63,49))*(1-E272))</f>
        <v/>
      </c>
      <c r="BJ273" s="15">
        <f>MAX(0,BI272*(1-INDEX($B$11:$B$63,50))*(1-E272))</f>
        <v/>
      </c>
      <c r="BK273" s="15">
        <f>MAX(0,BJ272*(1-INDEX($B$11:$B$63,51))*(1-E272))</f>
        <v/>
      </c>
      <c r="BL273" s="15">
        <f>MAX(0,(BL272+BK272)*(1-INDEX($B$11:$B$63,53))*(1-E272))</f>
        <v/>
      </c>
    </row>
    <row r="274">
      <c r="A274" s="55" t="n">
        <v>208</v>
      </c>
      <c r="B274" s="15">
        <f>IF(A274&gt;Inputs!$C$62,"",SUM(M274:BK274))</f>
        <v/>
      </c>
      <c r="C274" s="15">
        <f>IF(A274&gt;Inputs!$C$62,"",INDEX(Trajectory!$C$23:$C$2000,A274))</f>
        <v/>
      </c>
      <c r="D274" s="15">
        <f>IF(A274&gt;Inputs!$C$62,"",SUM(L274:BK274))</f>
        <v/>
      </c>
      <c r="E274" s="12">
        <f>IF(A274&gt;Inputs!$C$62,"",INDEX(Trajectory!$AG$23:$AG$2000,A274))</f>
        <v/>
      </c>
      <c r="F274" s="12">
        <f>IF(D274=0,0,SUMPRODUCT(L274:BK274,$B$11:$B$63)/D274)</f>
        <v/>
      </c>
      <c r="G274" s="12">
        <f>IF(D274=0,0,MIN(0.95,1-(1-F274)*(1-E274)))</f>
        <v/>
      </c>
      <c r="H274" s="15">
        <f>IF(D274=0,0,D274*G274)</f>
        <v/>
      </c>
      <c r="I274" s="15">
        <f>IF(D274=0,0,D274-H274)</f>
        <v/>
      </c>
      <c r="L274" s="15">
        <f>C274</f>
        <v/>
      </c>
      <c r="M274" s="15">
        <f>MAX(0,L273*(1-INDEX($B$11:$B$63,1))*(1-E273))</f>
        <v/>
      </c>
      <c r="N274" s="15">
        <f>MAX(0,M273*(1-INDEX($B$11:$B$63,2))*(1-E273))</f>
        <v/>
      </c>
      <c r="O274" s="15">
        <f>MAX(0,N273*(1-INDEX($B$11:$B$63,3))*(1-E273))</f>
        <v/>
      </c>
      <c r="P274" s="15">
        <f>MAX(0,O273*(1-INDEX($B$11:$B$63,4))*(1-E273))</f>
        <v/>
      </c>
      <c r="Q274" s="15">
        <f>MAX(0,P273*(1-INDEX($B$11:$B$63,5))*(1-E273))</f>
        <v/>
      </c>
      <c r="R274" s="15">
        <f>MAX(0,Q273*(1-INDEX($B$11:$B$63,6))*(1-E273))</f>
        <v/>
      </c>
      <c r="S274" s="15">
        <f>MAX(0,R273*(1-INDEX($B$11:$B$63,7))*(1-E273))</f>
        <v/>
      </c>
      <c r="T274" s="15">
        <f>MAX(0,S273*(1-INDEX($B$11:$B$63,8))*(1-E273))</f>
        <v/>
      </c>
      <c r="U274" s="15">
        <f>MAX(0,T273*(1-INDEX($B$11:$B$63,9))*(1-E273))</f>
        <v/>
      </c>
      <c r="V274" s="15">
        <f>MAX(0,U273*(1-INDEX($B$11:$B$63,10))*(1-E273))</f>
        <v/>
      </c>
      <c r="W274" s="15">
        <f>MAX(0,V273*(1-INDEX($B$11:$B$63,11))*(1-E273))</f>
        <v/>
      </c>
      <c r="X274" s="15">
        <f>MAX(0,W273*(1-INDEX($B$11:$B$63,12))*(1-E273))</f>
        <v/>
      </c>
      <c r="Y274" s="15">
        <f>MAX(0,X273*(1-INDEX($B$11:$B$63,13))*(1-E273))</f>
        <v/>
      </c>
      <c r="Z274" s="15">
        <f>MAX(0,Y273*(1-INDEX($B$11:$B$63,14))*(1-E273))</f>
        <v/>
      </c>
      <c r="AA274" s="15">
        <f>MAX(0,Z273*(1-INDEX($B$11:$B$63,15))*(1-E273))</f>
        <v/>
      </c>
      <c r="AB274" s="15">
        <f>MAX(0,AA273*(1-INDEX($B$11:$B$63,16))*(1-E273))</f>
        <v/>
      </c>
      <c r="AC274" s="15">
        <f>MAX(0,AB273*(1-INDEX($B$11:$B$63,17))*(1-E273))</f>
        <v/>
      </c>
      <c r="AD274" s="15">
        <f>MAX(0,AC273*(1-INDEX($B$11:$B$63,18))*(1-E273))</f>
        <v/>
      </c>
      <c r="AE274" s="15">
        <f>MAX(0,AD273*(1-INDEX($B$11:$B$63,19))*(1-E273))</f>
        <v/>
      </c>
      <c r="AF274" s="15">
        <f>MAX(0,AE273*(1-INDEX($B$11:$B$63,20))*(1-E273))</f>
        <v/>
      </c>
      <c r="AG274" s="15">
        <f>MAX(0,AF273*(1-INDEX($B$11:$B$63,21))*(1-E273))</f>
        <v/>
      </c>
      <c r="AH274" s="15">
        <f>MAX(0,AG273*(1-INDEX($B$11:$B$63,22))*(1-E273))</f>
        <v/>
      </c>
      <c r="AI274" s="15">
        <f>MAX(0,AH273*(1-INDEX($B$11:$B$63,23))*(1-E273))</f>
        <v/>
      </c>
      <c r="AJ274" s="15">
        <f>MAX(0,AI273*(1-INDEX($B$11:$B$63,24))*(1-E273))</f>
        <v/>
      </c>
      <c r="AK274" s="15">
        <f>MAX(0,AJ273*(1-INDEX($B$11:$B$63,25))*(1-E273))</f>
        <v/>
      </c>
      <c r="AL274" s="15">
        <f>MAX(0,AK273*(1-INDEX($B$11:$B$63,26))*(1-E273))</f>
        <v/>
      </c>
      <c r="AM274" s="15">
        <f>MAX(0,AL273*(1-INDEX($B$11:$B$63,27))*(1-E273))</f>
        <v/>
      </c>
      <c r="AN274" s="15">
        <f>MAX(0,AM273*(1-INDEX($B$11:$B$63,28))*(1-E273))</f>
        <v/>
      </c>
      <c r="AO274" s="15">
        <f>MAX(0,AN273*(1-INDEX($B$11:$B$63,29))*(1-E273))</f>
        <v/>
      </c>
      <c r="AP274" s="15">
        <f>MAX(0,AO273*(1-INDEX($B$11:$B$63,30))*(1-E273))</f>
        <v/>
      </c>
      <c r="AQ274" s="15">
        <f>MAX(0,AP273*(1-INDEX($B$11:$B$63,31))*(1-E273))</f>
        <v/>
      </c>
      <c r="AR274" s="15">
        <f>MAX(0,AQ273*(1-INDEX($B$11:$B$63,32))*(1-E273))</f>
        <v/>
      </c>
      <c r="AS274" s="15">
        <f>MAX(0,AR273*(1-INDEX($B$11:$B$63,33))*(1-E273))</f>
        <v/>
      </c>
      <c r="AT274" s="15">
        <f>MAX(0,AS273*(1-INDEX($B$11:$B$63,34))*(1-E273))</f>
        <v/>
      </c>
      <c r="AU274" s="15">
        <f>MAX(0,AT273*(1-INDEX($B$11:$B$63,35))*(1-E273))</f>
        <v/>
      </c>
      <c r="AV274" s="15">
        <f>MAX(0,AU273*(1-INDEX($B$11:$B$63,36))*(1-E273))</f>
        <v/>
      </c>
      <c r="AW274" s="15">
        <f>MAX(0,AV273*(1-INDEX($B$11:$B$63,37))*(1-E273))</f>
        <v/>
      </c>
      <c r="AX274" s="15">
        <f>MAX(0,AW273*(1-INDEX($B$11:$B$63,38))*(1-E273))</f>
        <v/>
      </c>
      <c r="AY274" s="15">
        <f>MAX(0,AX273*(1-INDEX($B$11:$B$63,39))*(1-E273))</f>
        <v/>
      </c>
      <c r="AZ274" s="15">
        <f>MAX(0,AY273*(1-INDEX($B$11:$B$63,40))*(1-E273))</f>
        <v/>
      </c>
      <c r="BA274" s="15">
        <f>MAX(0,AZ273*(1-INDEX($B$11:$B$63,41))*(1-E273))</f>
        <v/>
      </c>
      <c r="BB274" s="15">
        <f>MAX(0,BA273*(1-INDEX($B$11:$B$63,42))*(1-E273))</f>
        <v/>
      </c>
      <c r="BC274" s="15">
        <f>MAX(0,BB273*(1-INDEX($B$11:$B$63,43))*(1-E273))</f>
        <v/>
      </c>
      <c r="BD274" s="15">
        <f>MAX(0,BC273*(1-INDEX($B$11:$B$63,44))*(1-E273))</f>
        <v/>
      </c>
      <c r="BE274" s="15">
        <f>MAX(0,BD273*(1-INDEX($B$11:$B$63,45))*(1-E273))</f>
        <v/>
      </c>
      <c r="BF274" s="15">
        <f>MAX(0,BE273*(1-INDEX($B$11:$B$63,46))*(1-E273))</f>
        <v/>
      </c>
      <c r="BG274" s="15">
        <f>MAX(0,BF273*(1-INDEX($B$11:$B$63,47))*(1-E273))</f>
        <v/>
      </c>
      <c r="BH274" s="15">
        <f>MAX(0,BG273*(1-INDEX($B$11:$B$63,48))*(1-E273))</f>
        <v/>
      </c>
      <c r="BI274" s="15">
        <f>MAX(0,BH273*(1-INDEX($B$11:$B$63,49))*(1-E273))</f>
        <v/>
      </c>
      <c r="BJ274" s="15">
        <f>MAX(0,BI273*(1-INDEX($B$11:$B$63,50))*(1-E273))</f>
        <v/>
      </c>
      <c r="BK274" s="15">
        <f>MAX(0,BJ273*(1-INDEX($B$11:$B$63,51))*(1-E273))</f>
        <v/>
      </c>
      <c r="BL274" s="15">
        <f>MAX(0,(BL273+BK273)*(1-INDEX($B$11:$B$63,53))*(1-E273))</f>
        <v/>
      </c>
    </row>
    <row r="275">
      <c r="A275" s="55" t="n">
        <v>209</v>
      </c>
      <c r="B275" s="15">
        <f>IF(A275&gt;Inputs!$C$62,"",SUM(M275:BK275))</f>
        <v/>
      </c>
      <c r="C275" s="15">
        <f>IF(A275&gt;Inputs!$C$62,"",INDEX(Trajectory!$C$23:$C$2000,A275))</f>
        <v/>
      </c>
      <c r="D275" s="15">
        <f>IF(A275&gt;Inputs!$C$62,"",SUM(L275:BK275))</f>
        <v/>
      </c>
      <c r="E275" s="12">
        <f>IF(A275&gt;Inputs!$C$62,"",INDEX(Trajectory!$AG$23:$AG$2000,A275))</f>
        <v/>
      </c>
      <c r="F275" s="12">
        <f>IF(D275=0,0,SUMPRODUCT(L275:BK275,$B$11:$B$63)/D275)</f>
        <v/>
      </c>
      <c r="G275" s="12">
        <f>IF(D275=0,0,MIN(0.95,1-(1-F275)*(1-E275)))</f>
        <v/>
      </c>
      <c r="H275" s="15">
        <f>IF(D275=0,0,D275*G275)</f>
        <v/>
      </c>
      <c r="I275" s="15">
        <f>IF(D275=0,0,D275-H275)</f>
        <v/>
      </c>
      <c r="L275" s="15">
        <f>C275</f>
        <v/>
      </c>
      <c r="M275" s="15">
        <f>MAX(0,L274*(1-INDEX($B$11:$B$63,1))*(1-E274))</f>
        <v/>
      </c>
      <c r="N275" s="15">
        <f>MAX(0,M274*(1-INDEX($B$11:$B$63,2))*(1-E274))</f>
        <v/>
      </c>
      <c r="O275" s="15">
        <f>MAX(0,N274*(1-INDEX($B$11:$B$63,3))*(1-E274))</f>
        <v/>
      </c>
      <c r="P275" s="15">
        <f>MAX(0,O274*(1-INDEX($B$11:$B$63,4))*(1-E274))</f>
        <v/>
      </c>
      <c r="Q275" s="15">
        <f>MAX(0,P274*(1-INDEX($B$11:$B$63,5))*(1-E274))</f>
        <v/>
      </c>
      <c r="R275" s="15">
        <f>MAX(0,Q274*(1-INDEX($B$11:$B$63,6))*(1-E274))</f>
        <v/>
      </c>
      <c r="S275" s="15">
        <f>MAX(0,R274*(1-INDEX($B$11:$B$63,7))*(1-E274))</f>
        <v/>
      </c>
      <c r="T275" s="15">
        <f>MAX(0,S274*(1-INDEX($B$11:$B$63,8))*(1-E274))</f>
        <v/>
      </c>
      <c r="U275" s="15">
        <f>MAX(0,T274*(1-INDEX($B$11:$B$63,9))*(1-E274))</f>
        <v/>
      </c>
      <c r="V275" s="15">
        <f>MAX(0,U274*(1-INDEX($B$11:$B$63,10))*(1-E274))</f>
        <v/>
      </c>
      <c r="W275" s="15">
        <f>MAX(0,V274*(1-INDEX($B$11:$B$63,11))*(1-E274))</f>
        <v/>
      </c>
      <c r="X275" s="15">
        <f>MAX(0,W274*(1-INDEX($B$11:$B$63,12))*(1-E274))</f>
        <v/>
      </c>
      <c r="Y275" s="15">
        <f>MAX(0,X274*(1-INDEX($B$11:$B$63,13))*(1-E274))</f>
        <v/>
      </c>
      <c r="Z275" s="15">
        <f>MAX(0,Y274*(1-INDEX($B$11:$B$63,14))*(1-E274))</f>
        <v/>
      </c>
      <c r="AA275" s="15">
        <f>MAX(0,Z274*(1-INDEX($B$11:$B$63,15))*(1-E274))</f>
        <v/>
      </c>
      <c r="AB275" s="15">
        <f>MAX(0,AA274*(1-INDEX($B$11:$B$63,16))*(1-E274))</f>
        <v/>
      </c>
      <c r="AC275" s="15">
        <f>MAX(0,AB274*(1-INDEX($B$11:$B$63,17))*(1-E274))</f>
        <v/>
      </c>
      <c r="AD275" s="15">
        <f>MAX(0,AC274*(1-INDEX($B$11:$B$63,18))*(1-E274))</f>
        <v/>
      </c>
      <c r="AE275" s="15">
        <f>MAX(0,AD274*(1-INDEX($B$11:$B$63,19))*(1-E274))</f>
        <v/>
      </c>
      <c r="AF275" s="15">
        <f>MAX(0,AE274*(1-INDEX($B$11:$B$63,20))*(1-E274))</f>
        <v/>
      </c>
      <c r="AG275" s="15">
        <f>MAX(0,AF274*(1-INDEX($B$11:$B$63,21))*(1-E274))</f>
        <v/>
      </c>
      <c r="AH275" s="15">
        <f>MAX(0,AG274*(1-INDEX($B$11:$B$63,22))*(1-E274))</f>
        <v/>
      </c>
      <c r="AI275" s="15">
        <f>MAX(0,AH274*(1-INDEX($B$11:$B$63,23))*(1-E274))</f>
        <v/>
      </c>
      <c r="AJ275" s="15">
        <f>MAX(0,AI274*(1-INDEX($B$11:$B$63,24))*(1-E274))</f>
        <v/>
      </c>
      <c r="AK275" s="15">
        <f>MAX(0,AJ274*(1-INDEX($B$11:$B$63,25))*(1-E274))</f>
        <v/>
      </c>
      <c r="AL275" s="15">
        <f>MAX(0,AK274*(1-INDEX($B$11:$B$63,26))*(1-E274))</f>
        <v/>
      </c>
      <c r="AM275" s="15">
        <f>MAX(0,AL274*(1-INDEX($B$11:$B$63,27))*(1-E274))</f>
        <v/>
      </c>
      <c r="AN275" s="15">
        <f>MAX(0,AM274*(1-INDEX($B$11:$B$63,28))*(1-E274))</f>
        <v/>
      </c>
      <c r="AO275" s="15">
        <f>MAX(0,AN274*(1-INDEX($B$11:$B$63,29))*(1-E274))</f>
        <v/>
      </c>
      <c r="AP275" s="15">
        <f>MAX(0,AO274*(1-INDEX($B$11:$B$63,30))*(1-E274))</f>
        <v/>
      </c>
      <c r="AQ275" s="15">
        <f>MAX(0,AP274*(1-INDEX($B$11:$B$63,31))*(1-E274))</f>
        <v/>
      </c>
      <c r="AR275" s="15">
        <f>MAX(0,AQ274*(1-INDEX($B$11:$B$63,32))*(1-E274))</f>
        <v/>
      </c>
      <c r="AS275" s="15">
        <f>MAX(0,AR274*(1-INDEX($B$11:$B$63,33))*(1-E274))</f>
        <v/>
      </c>
      <c r="AT275" s="15">
        <f>MAX(0,AS274*(1-INDEX($B$11:$B$63,34))*(1-E274))</f>
        <v/>
      </c>
      <c r="AU275" s="15">
        <f>MAX(0,AT274*(1-INDEX($B$11:$B$63,35))*(1-E274))</f>
        <v/>
      </c>
      <c r="AV275" s="15">
        <f>MAX(0,AU274*(1-INDEX($B$11:$B$63,36))*(1-E274))</f>
        <v/>
      </c>
      <c r="AW275" s="15">
        <f>MAX(0,AV274*(1-INDEX($B$11:$B$63,37))*(1-E274))</f>
        <v/>
      </c>
      <c r="AX275" s="15">
        <f>MAX(0,AW274*(1-INDEX($B$11:$B$63,38))*(1-E274))</f>
        <v/>
      </c>
      <c r="AY275" s="15">
        <f>MAX(0,AX274*(1-INDEX($B$11:$B$63,39))*(1-E274))</f>
        <v/>
      </c>
      <c r="AZ275" s="15">
        <f>MAX(0,AY274*(1-INDEX($B$11:$B$63,40))*(1-E274))</f>
        <v/>
      </c>
      <c r="BA275" s="15">
        <f>MAX(0,AZ274*(1-INDEX($B$11:$B$63,41))*(1-E274))</f>
        <v/>
      </c>
      <c r="BB275" s="15">
        <f>MAX(0,BA274*(1-INDEX($B$11:$B$63,42))*(1-E274))</f>
        <v/>
      </c>
      <c r="BC275" s="15">
        <f>MAX(0,BB274*(1-INDEX($B$11:$B$63,43))*(1-E274))</f>
        <v/>
      </c>
      <c r="BD275" s="15">
        <f>MAX(0,BC274*(1-INDEX($B$11:$B$63,44))*(1-E274))</f>
        <v/>
      </c>
      <c r="BE275" s="15">
        <f>MAX(0,BD274*(1-INDEX($B$11:$B$63,45))*(1-E274))</f>
        <v/>
      </c>
      <c r="BF275" s="15">
        <f>MAX(0,BE274*(1-INDEX($B$11:$B$63,46))*(1-E274))</f>
        <v/>
      </c>
      <c r="BG275" s="15">
        <f>MAX(0,BF274*(1-INDEX($B$11:$B$63,47))*(1-E274))</f>
        <v/>
      </c>
      <c r="BH275" s="15">
        <f>MAX(0,BG274*(1-INDEX($B$11:$B$63,48))*(1-E274))</f>
        <v/>
      </c>
      <c r="BI275" s="15">
        <f>MAX(0,BH274*(1-INDEX($B$11:$B$63,49))*(1-E274))</f>
        <v/>
      </c>
      <c r="BJ275" s="15">
        <f>MAX(0,BI274*(1-INDEX($B$11:$B$63,50))*(1-E274))</f>
        <v/>
      </c>
      <c r="BK275" s="15">
        <f>MAX(0,BJ274*(1-INDEX($B$11:$B$63,51))*(1-E274))</f>
        <v/>
      </c>
      <c r="BL275" s="15">
        <f>MAX(0,(BL274+BK274)*(1-INDEX($B$11:$B$63,53))*(1-E274))</f>
        <v/>
      </c>
    </row>
    <row r="276">
      <c r="A276" s="55" t="n">
        <v>210</v>
      </c>
      <c r="B276" s="15">
        <f>IF(A276&gt;Inputs!$C$62,"",SUM(M276:BK276))</f>
        <v/>
      </c>
      <c r="C276" s="15">
        <f>IF(A276&gt;Inputs!$C$62,"",INDEX(Trajectory!$C$23:$C$2000,A276))</f>
        <v/>
      </c>
      <c r="D276" s="15">
        <f>IF(A276&gt;Inputs!$C$62,"",SUM(L276:BK276))</f>
        <v/>
      </c>
      <c r="E276" s="12">
        <f>IF(A276&gt;Inputs!$C$62,"",INDEX(Trajectory!$AG$23:$AG$2000,A276))</f>
        <v/>
      </c>
      <c r="F276" s="12">
        <f>IF(D276=0,0,SUMPRODUCT(L276:BK276,$B$11:$B$63)/D276)</f>
        <v/>
      </c>
      <c r="G276" s="12">
        <f>IF(D276=0,0,MIN(0.95,1-(1-F276)*(1-E276)))</f>
        <v/>
      </c>
      <c r="H276" s="15">
        <f>IF(D276=0,0,D276*G276)</f>
        <v/>
      </c>
      <c r="I276" s="15">
        <f>IF(D276=0,0,D276-H276)</f>
        <v/>
      </c>
      <c r="L276" s="15">
        <f>C276</f>
        <v/>
      </c>
      <c r="M276" s="15">
        <f>MAX(0,L275*(1-INDEX($B$11:$B$63,1))*(1-E275))</f>
        <v/>
      </c>
      <c r="N276" s="15">
        <f>MAX(0,M275*(1-INDEX($B$11:$B$63,2))*(1-E275))</f>
        <v/>
      </c>
      <c r="O276" s="15">
        <f>MAX(0,N275*(1-INDEX($B$11:$B$63,3))*(1-E275))</f>
        <v/>
      </c>
      <c r="P276" s="15">
        <f>MAX(0,O275*(1-INDEX($B$11:$B$63,4))*(1-E275))</f>
        <v/>
      </c>
      <c r="Q276" s="15">
        <f>MAX(0,P275*(1-INDEX($B$11:$B$63,5))*(1-E275))</f>
        <v/>
      </c>
      <c r="R276" s="15">
        <f>MAX(0,Q275*(1-INDEX($B$11:$B$63,6))*(1-E275))</f>
        <v/>
      </c>
      <c r="S276" s="15">
        <f>MAX(0,R275*(1-INDEX($B$11:$B$63,7))*(1-E275))</f>
        <v/>
      </c>
      <c r="T276" s="15">
        <f>MAX(0,S275*(1-INDEX($B$11:$B$63,8))*(1-E275))</f>
        <v/>
      </c>
      <c r="U276" s="15">
        <f>MAX(0,T275*(1-INDEX($B$11:$B$63,9))*(1-E275))</f>
        <v/>
      </c>
      <c r="V276" s="15">
        <f>MAX(0,U275*(1-INDEX($B$11:$B$63,10))*(1-E275))</f>
        <v/>
      </c>
      <c r="W276" s="15">
        <f>MAX(0,V275*(1-INDEX($B$11:$B$63,11))*(1-E275))</f>
        <v/>
      </c>
      <c r="X276" s="15">
        <f>MAX(0,W275*(1-INDEX($B$11:$B$63,12))*(1-E275))</f>
        <v/>
      </c>
      <c r="Y276" s="15">
        <f>MAX(0,X275*(1-INDEX($B$11:$B$63,13))*(1-E275))</f>
        <v/>
      </c>
      <c r="Z276" s="15">
        <f>MAX(0,Y275*(1-INDEX($B$11:$B$63,14))*(1-E275))</f>
        <v/>
      </c>
      <c r="AA276" s="15">
        <f>MAX(0,Z275*(1-INDEX($B$11:$B$63,15))*(1-E275))</f>
        <v/>
      </c>
      <c r="AB276" s="15">
        <f>MAX(0,AA275*(1-INDEX($B$11:$B$63,16))*(1-E275))</f>
        <v/>
      </c>
      <c r="AC276" s="15">
        <f>MAX(0,AB275*(1-INDEX($B$11:$B$63,17))*(1-E275))</f>
        <v/>
      </c>
      <c r="AD276" s="15">
        <f>MAX(0,AC275*(1-INDEX($B$11:$B$63,18))*(1-E275))</f>
        <v/>
      </c>
      <c r="AE276" s="15">
        <f>MAX(0,AD275*(1-INDEX($B$11:$B$63,19))*(1-E275))</f>
        <v/>
      </c>
      <c r="AF276" s="15">
        <f>MAX(0,AE275*(1-INDEX($B$11:$B$63,20))*(1-E275))</f>
        <v/>
      </c>
      <c r="AG276" s="15">
        <f>MAX(0,AF275*(1-INDEX($B$11:$B$63,21))*(1-E275))</f>
        <v/>
      </c>
      <c r="AH276" s="15">
        <f>MAX(0,AG275*(1-INDEX($B$11:$B$63,22))*(1-E275))</f>
        <v/>
      </c>
      <c r="AI276" s="15">
        <f>MAX(0,AH275*(1-INDEX($B$11:$B$63,23))*(1-E275))</f>
        <v/>
      </c>
      <c r="AJ276" s="15">
        <f>MAX(0,AI275*(1-INDEX($B$11:$B$63,24))*(1-E275))</f>
        <v/>
      </c>
      <c r="AK276" s="15">
        <f>MAX(0,AJ275*(1-INDEX($B$11:$B$63,25))*(1-E275))</f>
        <v/>
      </c>
      <c r="AL276" s="15">
        <f>MAX(0,AK275*(1-INDEX($B$11:$B$63,26))*(1-E275))</f>
        <v/>
      </c>
      <c r="AM276" s="15">
        <f>MAX(0,AL275*(1-INDEX($B$11:$B$63,27))*(1-E275))</f>
        <v/>
      </c>
      <c r="AN276" s="15">
        <f>MAX(0,AM275*(1-INDEX($B$11:$B$63,28))*(1-E275))</f>
        <v/>
      </c>
      <c r="AO276" s="15">
        <f>MAX(0,AN275*(1-INDEX($B$11:$B$63,29))*(1-E275))</f>
        <v/>
      </c>
      <c r="AP276" s="15">
        <f>MAX(0,AO275*(1-INDEX($B$11:$B$63,30))*(1-E275))</f>
        <v/>
      </c>
      <c r="AQ276" s="15">
        <f>MAX(0,AP275*(1-INDEX($B$11:$B$63,31))*(1-E275))</f>
        <v/>
      </c>
      <c r="AR276" s="15">
        <f>MAX(0,AQ275*(1-INDEX($B$11:$B$63,32))*(1-E275))</f>
        <v/>
      </c>
      <c r="AS276" s="15">
        <f>MAX(0,AR275*(1-INDEX($B$11:$B$63,33))*(1-E275))</f>
        <v/>
      </c>
      <c r="AT276" s="15">
        <f>MAX(0,AS275*(1-INDEX($B$11:$B$63,34))*(1-E275))</f>
        <v/>
      </c>
      <c r="AU276" s="15">
        <f>MAX(0,AT275*(1-INDEX($B$11:$B$63,35))*(1-E275))</f>
        <v/>
      </c>
      <c r="AV276" s="15">
        <f>MAX(0,AU275*(1-INDEX($B$11:$B$63,36))*(1-E275))</f>
        <v/>
      </c>
      <c r="AW276" s="15">
        <f>MAX(0,AV275*(1-INDEX($B$11:$B$63,37))*(1-E275))</f>
        <v/>
      </c>
      <c r="AX276" s="15">
        <f>MAX(0,AW275*(1-INDEX($B$11:$B$63,38))*(1-E275))</f>
        <v/>
      </c>
      <c r="AY276" s="15">
        <f>MAX(0,AX275*(1-INDEX($B$11:$B$63,39))*(1-E275))</f>
        <v/>
      </c>
      <c r="AZ276" s="15">
        <f>MAX(0,AY275*(1-INDEX($B$11:$B$63,40))*(1-E275))</f>
        <v/>
      </c>
      <c r="BA276" s="15">
        <f>MAX(0,AZ275*(1-INDEX($B$11:$B$63,41))*(1-E275))</f>
        <v/>
      </c>
      <c r="BB276" s="15">
        <f>MAX(0,BA275*(1-INDEX($B$11:$B$63,42))*(1-E275))</f>
        <v/>
      </c>
      <c r="BC276" s="15">
        <f>MAX(0,BB275*(1-INDEX($B$11:$B$63,43))*(1-E275))</f>
        <v/>
      </c>
      <c r="BD276" s="15">
        <f>MAX(0,BC275*(1-INDEX($B$11:$B$63,44))*(1-E275))</f>
        <v/>
      </c>
      <c r="BE276" s="15">
        <f>MAX(0,BD275*(1-INDEX($B$11:$B$63,45))*(1-E275))</f>
        <v/>
      </c>
      <c r="BF276" s="15">
        <f>MAX(0,BE275*(1-INDEX($B$11:$B$63,46))*(1-E275))</f>
        <v/>
      </c>
      <c r="BG276" s="15">
        <f>MAX(0,BF275*(1-INDEX($B$11:$B$63,47))*(1-E275))</f>
        <v/>
      </c>
      <c r="BH276" s="15">
        <f>MAX(0,BG275*(1-INDEX($B$11:$B$63,48))*(1-E275))</f>
        <v/>
      </c>
      <c r="BI276" s="15">
        <f>MAX(0,BH275*(1-INDEX($B$11:$B$63,49))*(1-E275))</f>
        <v/>
      </c>
      <c r="BJ276" s="15">
        <f>MAX(0,BI275*(1-INDEX($B$11:$B$63,50))*(1-E275))</f>
        <v/>
      </c>
      <c r="BK276" s="15">
        <f>MAX(0,BJ275*(1-INDEX($B$11:$B$63,51))*(1-E275))</f>
        <v/>
      </c>
      <c r="BL276" s="15">
        <f>MAX(0,(BL275+BK275)*(1-INDEX($B$11:$B$63,53))*(1-E275))</f>
        <v/>
      </c>
    </row>
    <row r="277">
      <c r="A277" s="55" t="n">
        <v>211</v>
      </c>
      <c r="B277" s="15">
        <f>IF(A277&gt;Inputs!$C$62,"",SUM(M277:BK277))</f>
        <v/>
      </c>
      <c r="C277" s="15">
        <f>IF(A277&gt;Inputs!$C$62,"",INDEX(Trajectory!$C$23:$C$2000,A277))</f>
        <v/>
      </c>
      <c r="D277" s="15">
        <f>IF(A277&gt;Inputs!$C$62,"",SUM(L277:BK277))</f>
        <v/>
      </c>
      <c r="E277" s="12">
        <f>IF(A277&gt;Inputs!$C$62,"",INDEX(Trajectory!$AG$23:$AG$2000,A277))</f>
        <v/>
      </c>
      <c r="F277" s="12">
        <f>IF(D277=0,0,SUMPRODUCT(L277:BK277,$B$11:$B$63)/D277)</f>
        <v/>
      </c>
      <c r="G277" s="12">
        <f>IF(D277=0,0,MIN(0.95,1-(1-F277)*(1-E277)))</f>
        <v/>
      </c>
      <c r="H277" s="15">
        <f>IF(D277=0,0,D277*G277)</f>
        <v/>
      </c>
      <c r="I277" s="15">
        <f>IF(D277=0,0,D277-H277)</f>
        <v/>
      </c>
      <c r="L277" s="15">
        <f>C277</f>
        <v/>
      </c>
      <c r="M277" s="15">
        <f>MAX(0,L276*(1-INDEX($B$11:$B$63,1))*(1-E276))</f>
        <v/>
      </c>
      <c r="N277" s="15">
        <f>MAX(0,M276*(1-INDEX($B$11:$B$63,2))*(1-E276))</f>
        <v/>
      </c>
      <c r="O277" s="15">
        <f>MAX(0,N276*(1-INDEX($B$11:$B$63,3))*(1-E276))</f>
        <v/>
      </c>
      <c r="P277" s="15">
        <f>MAX(0,O276*(1-INDEX($B$11:$B$63,4))*(1-E276))</f>
        <v/>
      </c>
      <c r="Q277" s="15">
        <f>MAX(0,P276*(1-INDEX($B$11:$B$63,5))*(1-E276))</f>
        <v/>
      </c>
      <c r="R277" s="15">
        <f>MAX(0,Q276*(1-INDEX($B$11:$B$63,6))*(1-E276))</f>
        <v/>
      </c>
      <c r="S277" s="15">
        <f>MAX(0,R276*(1-INDEX($B$11:$B$63,7))*(1-E276))</f>
        <v/>
      </c>
      <c r="T277" s="15">
        <f>MAX(0,S276*(1-INDEX($B$11:$B$63,8))*(1-E276))</f>
        <v/>
      </c>
      <c r="U277" s="15">
        <f>MAX(0,T276*(1-INDEX($B$11:$B$63,9))*(1-E276))</f>
        <v/>
      </c>
      <c r="V277" s="15">
        <f>MAX(0,U276*(1-INDEX($B$11:$B$63,10))*(1-E276))</f>
        <v/>
      </c>
      <c r="W277" s="15">
        <f>MAX(0,V276*(1-INDEX($B$11:$B$63,11))*(1-E276))</f>
        <v/>
      </c>
      <c r="X277" s="15">
        <f>MAX(0,W276*(1-INDEX($B$11:$B$63,12))*(1-E276))</f>
        <v/>
      </c>
      <c r="Y277" s="15">
        <f>MAX(0,X276*(1-INDEX($B$11:$B$63,13))*(1-E276))</f>
        <v/>
      </c>
      <c r="Z277" s="15">
        <f>MAX(0,Y276*(1-INDEX($B$11:$B$63,14))*(1-E276))</f>
        <v/>
      </c>
      <c r="AA277" s="15">
        <f>MAX(0,Z276*(1-INDEX($B$11:$B$63,15))*(1-E276))</f>
        <v/>
      </c>
      <c r="AB277" s="15">
        <f>MAX(0,AA276*(1-INDEX($B$11:$B$63,16))*(1-E276))</f>
        <v/>
      </c>
      <c r="AC277" s="15">
        <f>MAX(0,AB276*(1-INDEX($B$11:$B$63,17))*(1-E276))</f>
        <v/>
      </c>
      <c r="AD277" s="15">
        <f>MAX(0,AC276*(1-INDEX($B$11:$B$63,18))*(1-E276))</f>
        <v/>
      </c>
      <c r="AE277" s="15">
        <f>MAX(0,AD276*(1-INDEX($B$11:$B$63,19))*(1-E276))</f>
        <v/>
      </c>
      <c r="AF277" s="15">
        <f>MAX(0,AE276*(1-INDEX($B$11:$B$63,20))*(1-E276))</f>
        <v/>
      </c>
      <c r="AG277" s="15">
        <f>MAX(0,AF276*(1-INDEX($B$11:$B$63,21))*(1-E276))</f>
        <v/>
      </c>
      <c r="AH277" s="15">
        <f>MAX(0,AG276*(1-INDEX($B$11:$B$63,22))*(1-E276))</f>
        <v/>
      </c>
      <c r="AI277" s="15">
        <f>MAX(0,AH276*(1-INDEX($B$11:$B$63,23))*(1-E276))</f>
        <v/>
      </c>
      <c r="AJ277" s="15">
        <f>MAX(0,AI276*(1-INDEX($B$11:$B$63,24))*(1-E276))</f>
        <v/>
      </c>
      <c r="AK277" s="15">
        <f>MAX(0,AJ276*(1-INDEX($B$11:$B$63,25))*(1-E276))</f>
        <v/>
      </c>
      <c r="AL277" s="15">
        <f>MAX(0,AK276*(1-INDEX($B$11:$B$63,26))*(1-E276))</f>
        <v/>
      </c>
      <c r="AM277" s="15">
        <f>MAX(0,AL276*(1-INDEX($B$11:$B$63,27))*(1-E276))</f>
        <v/>
      </c>
      <c r="AN277" s="15">
        <f>MAX(0,AM276*(1-INDEX($B$11:$B$63,28))*(1-E276))</f>
        <v/>
      </c>
      <c r="AO277" s="15">
        <f>MAX(0,AN276*(1-INDEX($B$11:$B$63,29))*(1-E276))</f>
        <v/>
      </c>
      <c r="AP277" s="15">
        <f>MAX(0,AO276*(1-INDEX($B$11:$B$63,30))*(1-E276))</f>
        <v/>
      </c>
      <c r="AQ277" s="15">
        <f>MAX(0,AP276*(1-INDEX($B$11:$B$63,31))*(1-E276))</f>
        <v/>
      </c>
      <c r="AR277" s="15">
        <f>MAX(0,AQ276*(1-INDEX($B$11:$B$63,32))*(1-E276))</f>
        <v/>
      </c>
      <c r="AS277" s="15">
        <f>MAX(0,AR276*(1-INDEX($B$11:$B$63,33))*(1-E276))</f>
        <v/>
      </c>
      <c r="AT277" s="15">
        <f>MAX(0,AS276*(1-INDEX($B$11:$B$63,34))*(1-E276))</f>
        <v/>
      </c>
      <c r="AU277" s="15">
        <f>MAX(0,AT276*(1-INDEX($B$11:$B$63,35))*(1-E276))</f>
        <v/>
      </c>
      <c r="AV277" s="15">
        <f>MAX(0,AU276*(1-INDEX($B$11:$B$63,36))*(1-E276))</f>
        <v/>
      </c>
      <c r="AW277" s="15">
        <f>MAX(0,AV276*(1-INDEX($B$11:$B$63,37))*(1-E276))</f>
        <v/>
      </c>
      <c r="AX277" s="15">
        <f>MAX(0,AW276*(1-INDEX($B$11:$B$63,38))*(1-E276))</f>
        <v/>
      </c>
      <c r="AY277" s="15">
        <f>MAX(0,AX276*(1-INDEX($B$11:$B$63,39))*(1-E276))</f>
        <v/>
      </c>
      <c r="AZ277" s="15">
        <f>MAX(0,AY276*(1-INDEX($B$11:$B$63,40))*(1-E276))</f>
        <v/>
      </c>
      <c r="BA277" s="15">
        <f>MAX(0,AZ276*(1-INDEX($B$11:$B$63,41))*(1-E276))</f>
        <v/>
      </c>
      <c r="BB277" s="15">
        <f>MAX(0,BA276*(1-INDEX($B$11:$B$63,42))*(1-E276))</f>
        <v/>
      </c>
      <c r="BC277" s="15">
        <f>MAX(0,BB276*(1-INDEX($B$11:$B$63,43))*(1-E276))</f>
        <v/>
      </c>
      <c r="BD277" s="15">
        <f>MAX(0,BC276*(1-INDEX($B$11:$B$63,44))*(1-E276))</f>
        <v/>
      </c>
      <c r="BE277" s="15">
        <f>MAX(0,BD276*(1-INDEX($B$11:$B$63,45))*(1-E276))</f>
        <v/>
      </c>
      <c r="BF277" s="15">
        <f>MAX(0,BE276*(1-INDEX($B$11:$B$63,46))*(1-E276))</f>
        <v/>
      </c>
      <c r="BG277" s="15">
        <f>MAX(0,BF276*(1-INDEX($B$11:$B$63,47))*(1-E276))</f>
        <v/>
      </c>
      <c r="BH277" s="15">
        <f>MAX(0,BG276*(1-INDEX($B$11:$B$63,48))*(1-E276))</f>
        <v/>
      </c>
      <c r="BI277" s="15">
        <f>MAX(0,BH276*(1-INDEX($B$11:$B$63,49))*(1-E276))</f>
        <v/>
      </c>
      <c r="BJ277" s="15">
        <f>MAX(0,BI276*(1-INDEX($B$11:$B$63,50))*(1-E276))</f>
        <v/>
      </c>
      <c r="BK277" s="15">
        <f>MAX(0,BJ276*(1-INDEX($B$11:$B$63,51))*(1-E276))</f>
        <v/>
      </c>
      <c r="BL277" s="15">
        <f>MAX(0,(BL276+BK276)*(1-INDEX($B$11:$B$63,53))*(1-E276))</f>
        <v/>
      </c>
    </row>
    <row r="278">
      <c r="A278" s="55" t="n">
        <v>212</v>
      </c>
      <c r="B278" s="15">
        <f>IF(A278&gt;Inputs!$C$62,"",SUM(M278:BK278))</f>
        <v/>
      </c>
      <c r="C278" s="15">
        <f>IF(A278&gt;Inputs!$C$62,"",INDEX(Trajectory!$C$23:$C$2000,A278))</f>
        <v/>
      </c>
      <c r="D278" s="15">
        <f>IF(A278&gt;Inputs!$C$62,"",SUM(L278:BK278))</f>
        <v/>
      </c>
      <c r="E278" s="12">
        <f>IF(A278&gt;Inputs!$C$62,"",INDEX(Trajectory!$AG$23:$AG$2000,A278))</f>
        <v/>
      </c>
      <c r="F278" s="12">
        <f>IF(D278=0,0,SUMPRODUCT(L278:BK278,$B$11:$B$63)/D278)</f>
        <v/>
      </c>
      <c r="G278" s="12">
        <f>IF(D278=0,0,MIN(0.95,1-(1-F278)*(1-E278)))</f>
        <v/>
      </c>
      <c r="H278" s="15">
        <f>IF(D278=0,0,D278*G278)</f>
        <v/>
      </c>
      <c r="I278" s="15">
        <f>IF(D278=0,0,D278-H278)</f>
        <v/>
      </c>
      <c r="L278" s="15">
        <f>C278</f>
        <v/>
      </c>
      <c r="M278" s="15">
        <f>MAX(0,L277*(1-INDEX($B$11:$B$63,1))*(1-E277))</f>
        <v/>
      </c>
      <c r="N278" s="15">
        <f>MAX(0,M277*(1-INDEX($B$11:$B$63,2))*(1-E277))</f>
        <v/>
      </c>
      <c r="O278" s="15">
        <f>MAX(0,N277*(1-INDEX($B$11:$B$63,3))*(1-E277))</f>
        <v/>
      </c>
      <c r="P278" s="15">
        <f>MAX(0,O277*(1-INDEX($B$11:$B$63,4))*(1-E277))</f>
        <v/>
      </c>
      <c r="Q278" s="15">
        <f>MAX(0,P277*(1-INDEX($B$11:$B$63,5))*(1-E277))</f>
        <v/>
      </c>
      <c r="R278" s="15">
        <f>MAX(0,Q277*(1-INDEX($B$11:$B$63,6))*(1-E277))</f>
        <v/>
      </c>
      <c r="S278" s="15">
        <f>MAX(0,R277*(1-INDEX($B$11:$B$63,7))*(1-E277))</f>
        <v/>
      </c>
      <c r="T278" s="15">
        <f>MAX(0,S277*(1-INDEX($B$11:$B$63,8))*(1-E277))</f>
        <v/>
      </c>
      <c r="U278" s="15">
        <f>MAX(0,T277*(1-INDEX($B$11:$B$63,9))*(1-E277))</f>
        <v/>
      </c>
      <c r="V278" s="15">
        <f>MAX(0,U277*(1-INDEX($B$11:$B$63,10))*(1-E277))</f>
        <v/>
      </c>
      <c r="W278" s="15">
        <f>MAX(0,V277*(1-INDEX($B$11:$B$63,11))*(1-E277))</f>
        <v/>
      </c>
      <c r="X278" s="15">
        <f>MAX(0,W277*(1-INDEX($B$11:$B$63,12))*(1-E277))</f>
        <v/>
      </c>
      <c r="Y278" s="15">
        <f>MAX(0,X277*(1-INDEX($B$11:$B$63,13))*(1-E277))</f>
        <v/>
      </c>
      <c r="Z278" s="15">
        <f>MAX(0,Y277*(1-INDEX($B$11:$B$63,14))*(1-E277))</f>
        <v/>
      </c>
      <c r="AA278" s="15">
        <f>MAX(0,Z277*(1-INDEX($B$11:$B$63,15))*(1-E277))</f>
        <v/>
      </c>
      <c r="AB278" s="15">
        <f>MAX(0,AA277*(1-INDEX($B$11:$B$63,16))*(1-E277))</f>
        <v/>
      </c>
      <c r="AC278" s="15">
        <f>MAX(0,AB277*(1-INDEX($B$11:$B$63,17))*(1-E277))</f>
        <v/>
      </c>
      <c r="AD278" s="15">
        <f>MAX(0,AC277*(1-INDEX($B$11:$B$63,18))*(1-E277))</f>
        <v/>
      </c>
      <c r="AE278" s="15">
        <f>MAX(0,AD277*(1-INDEX($B$11:$B$63,19))*(1-E277))</f>
        <v/>
      </c>
      <c r="AF278" s="15">
        <f>MAX(0,AE277*(1-INDEX($B$11:$B$63,20))*(1-E277))</f>
        <v/>
      </c>
      <c r="AG278" s="15">
        <f>MAX(0,AF277*(1-INDEX($B$11:$B$63,21))*(1-E277))</f>
        <v/>
      </c>
      <c r="AH278" s="15">
        <f>MAX(0,AG277*(1-INDEX($B$11:$B$63,22))*(1-E277))</f>
        <v/>
      </c>
      <c r="AI278" s="15">
        <f>MAX(0,AH277*(1-INDEX($B$11:$B$63,23))*(1-E277))</f>
        <v/>
      </c>
      <c r="AJ278" s="15">
        <f>MAX(0,AI277*(1-INDEX($B$11:$B$63,24))*(1-E277))</f>
        <v/>
      </c>
      <c r="AK278" s="15">
        <f>MAX(0,AJ277*(1-INDEX($B$11:$B$63,25))*(1-E277))</f>
        <v/>
      </c>
      <c r="AL278" s="15">
        <f>MAX(0,AK277*(1-INDEX($B$11:$B$63,26))*(1-E277))</f>
        <v/>
      </c>
      <c r="AM278" s="15">
        <f>MAX(0,AL277*(1-INDEX($B$11:$B$63,27))*(1-E277))</f>
        <v/>
      </c>
      <c r="AN278" s="15">
        <f>MAX(0,AM277*(1-INDEX($B$11:$B$63,28))*(1-E277))</f>
        <v/>
      </c>
      <c r="AO278" s="15">
        <f>MAX(0,AN277*(1-INDEX($B$11:$B$63,29))*(1-E277))</f>
        <v/>
      </c>
      <c r="AP278" s="15">
        <f>MAX(0,AO277*(1-INDEX($B$11:$B$63,30))*(1-E277))</f>
        <v/>
      </c>
      <c r="AQ278" s="15">
        <f>MAX(0,AP277*(1-INDEX($B$11:$B$63,31))*(1-E277))</f>
        <v/>
      </c>
      <c r="AR278" s="15">
        <f>MAX(0,AQ277*(1-INDEX($B$11:$B$63,32))*(1-E277))</f>
        <v/>
      </c>
      <c r="AS278" s="15">
        <f>MAX(0,AR277*(1-INDEX($B$11:$B$63,33))*(1-E277))</f>
        <v/>
      </c>
      <c r="AT278" s="15">
        <f>MAX(0,AS277*(1-INDEX($B$11:$B$63,34))*(1-E277))</f>
        <v/>
      </c>
      <c r="AU278" s="15">
        <f>MAX(0,AT277*(1-INDEX($B$11:$B$63,35))*(1-E277))</f>
        <v/>
      </c>
      <c r="AV278" s="15">
        <f>MAX(0,AU277*(1-INDEX($B$11:$B$63,36))*(1-E277))</f>
        <v/>
      </c>
      <c r="AW278" s="15">
        <f>MAX(0,AV277*(1-INDEX($B$11:$B$63,37))*(1-E277))</f>
        <v/>
      </c>
      <c r="AX278" s="15">
        <f>MAX(0,AW277*(1-INDEX($B$11:$B$63,38))*(1-E277))</f>
        <v/>
      </c>
      <c r="AY278" s="15">
        <f>MAX(0,AX277*(1-INDEX($B$11:$B$63,39))*(1-E277))</f>
        <v/>
      </c>
      <c r="AZ278" s="15">
        <f>MAX(0,AY277*(1-INDEX($B$11:$B$63,40))*(1-E277))</f>
        <v/>
      </c>
      <c r="BA278" s="15">
        <f>MAX(0,AZ277*(1-INDEX($B$11:$B$63,41))*(1-E277))</f>
        <v/>
      </c>
      <c r="BB278" s="15">
        <f>MAX(0,BA277*(1-INDEX($B$11:$B$63,42))*(1-E277))</f>
        <v/>
      </c>
      <c r="BC278" s="15">
        <f>MAX(0,BB277*(1-INDEX($B$11:$B$63,43))*(1-E277))</f>
        <v/>
      </c>
      <c r="BD278" s="15">
        <f>MAX(0,BC277*(1-INDEX($B$11:$B$63,44))*(1-E277))</f>
        <v/>
      </c>
      <c r="BE278" s="15">
        <f>MAX(0,BD277*(1-INDEX($B$11:$B$63,45))*(1-E277))</f>
        <v/>
      </c>
      <c r="BF278" s="15">
        <f>MAX(0,BE277*(1-INDEX($B$11:$B$63,46))*(1-E277))</f>
        <v/>
      </c>
      <c r="BG278" s="15">
        <f>MAX(0,BF277*(1-INDEX($B$11:$B$63,47))*(1-E277))</f>
        <v/>
      </c>
      <c r="BH278" s="15">
        <f>MAX(0,BG277*(1-INDEX($B$11:$B$63,48))*(1-E277))</f>
        <v/>
      </c>
      <c r="BI278" s="15">
        <f>MAX(0,BH277*(1-INDEX($B$11:$B$63,49))*(1-E277))</f>
        <v/>
      </c>
      <c r="BJ278" s="15">
        <f>MAX(0,BI277*(1-INDEX($B$11:$B$63,50))*(1-E277))</f>
        <v/>
      </c>
      <c r="BK278" s="15">
        <f>MAX(0,BJ277*(1-INDEX($B$11:$B$63,51))*(1-E277))</f>
        <v/>
      </c>
      <c r="BL278" s="15">
        <f>MAX(0,(BL277+BK277)*(1-INDEX($B$11:$B$63,53))*(1-E277))</f>
        <v/>
      </c>
    </row>
    <row r="279">
      <c r="A279" s="55" t="n">
        <v>213</v>
      </c>
      <c r="B279" s="15">
        <f>IF(A279&gt;Inputs!$C$62,"",SUM(M279:BK279))</f>
        <v/>
      </c>
      <c r="C279" s="15">
        <f>IF(A279&gt;Inputs!$C$62,"",INDEX(Trajectory!$C$23:$C$2000,A279))</f>
        <v/>
      </c>
      <c r="D279" s="15">
        <f>IF(A279&gt;Inputs!$C$62,"",SUM(L279:BK279))</f>
        <v/>
      </c>
      <c r="E279" s="12">
        <f>IF(A279&gt;Inputs!$C$62,"",INDEX(Trajectory!$AG$23:$AG$2000,A279))</f>
        <v/>
      </c>
      <c r="F279" s="12">
        <f>IF(D279=0,0,SUMPRODUCT(L279:BK279,$B$11:$B$63)/D279)</f>
        <v/>
      </c>
      <c r="G279" s="12">
        <f>IF(D279=0,0,MIN(0.95,1-(1-F279)*(1-E279)))</f>
        <v/>
      </c>
      <c r="H279" s="15">
        <f>IF(D279=0,0,D279*G279)</f>
        <v/>
      </c>
      <c r="I279" s="15">
        <f>IF(D279=0,0,D279-H279)</f>
        <v/>
      </c>
      <c r="L279" s="15">
        <f>C279</f>
        <v/>
      </c>
      <c r="M279" s="15">
        <f>MAX(0,L278*(1-INDEX($B$11:$B$63,1))*(1-E278))</f>
        <v/>
      </c>
      <c r="N279" s="15">
        <f>MAX(0,M278*(1-INDEX($B$11:$B$63,2))*(1-E278))</f>
        <v/>
      </c>
      <c r="O279" s="15">
        <f>MAX(0,N278*(1-INDEX($B$11:$B$63,3))*(1-E278))</f>
        <v/>
      </c>
      <c r="P279" s="15">
        <f>MAX(0,O278*(1-INDEX($B$11:$B$63,4))*(1-E278))</f>
        <v/>
      </c>
      <c r="Q279" s="15">
        <f>MAX(0,P278*(1-INDEX($B$11:$B$63,5))*(1-E278))</f>
        <v/>
      </c>
      <c r="R279" s="15">
        <f>MAX(0,Q278*(1-INDEX($B$11:$B$63,6))*(1-E278))</f>
        <v/>
      </c>
      <c r="S279" s="15">
        <f>MAX(0,R278*(1-INDEX($B$11:$B$63,7))*(1-E278))</f>
        <v/>
      </c>
      <c r="T279" s="15">
        <f>MAX(0,S278*(1-INDEX($B$11:$B$63,8))*(1-E278))</f>
        <v/>
      </c>
      <c r="U279" s="15">
        <f>MAX(0,T278*(1-INDEX($B$11:$B$63,9))*(1-E278))</f>
        <v/>
      </c>
      <c r="V279" s="15">
        <f>MAX(0,U278*(1-INDEX($B$11:$B$63,10))*(1-E278))</f>
        <v/>
      </c>
      <c r="W279" s="15">
        <f>MAX(0,V278*(1-INDEX($B$11:$B$63,11))*(1-E278))</f>
        <v/>
      </c>
      <c r="X279" s="15">
        <f>MAX(0,W278*(1-INDEX($B$11:$B$63,12))*(1-E278))</f>
        <v/>
      </c>
      <c r="Y279" s="15">
        <f>MAX(0,X278*(1-INDEX($B$11:$B$63,13))*(1-E278))</f>
        <v/>
      </c>
      <c r="Z279" s="15">
        <f>MAX(0,Y278*(1-INDEX($B$11:$B$63,14))*(1-E278))</f>
        <v/>
      </c>
      <c r="AA279" s="15">
        <f>MAX(0,Z278*(1-INDEX($B$11:$B$63,15))*(1-E278))</f>
        <v/>
      </c>
      <c r="AB279" s="15">
        <f>MAX(0,AA278*(1-INDEX($B$11:$B$63,16))*(1-E278))</f>
        <v/>
      </c>
      <c r="AC279" s="15">
        <f>MAX(0,AB278*(1-INDEX($B$11:$B$63,17))*(1-E278))</f>
        <v/>
      </c>
      <c r="AD279" s="15">
        <f>MAX(0,AC278*(1-INDEX($B$11:$B$63,18))*(1-E278))</f>
        <v/>
      </c>
      <c r="AE279" s="15">
        <f>MAX(0,AD278*(1-INDEX($B$11:$B$63,19))*(1-E278))</f>
        <v/>
      </c>
      <c r="AF279" s="15">
        <f>MAX(0,AE278*(1-INDEX($B$11:$B$63,20))*(1-E278))</f>
        <v/>
      </c>
      <c r="AG279" s="15">
        <f>MAX(0,AF278*(1-INDEX($B$11:$B$63,21))*(1-E278))</f>
        <v/>
      </c>
      <c r="AH279" s="15">
        <f>MAX(0,AG278*(1-INDEX($B$11:$B$63,22))*(1-E278))</f>
        <v/>
      </c>
      <c r="AI279" s="15">
        <f>MAX(0,AH278*(1-INDEX($B$11:$B$63,23))*(1-E278))</f>
        <v/>
      </c>
      <c r="AJ279" s="15">
        <f>MAX(0,AI278*(1-INDEX($B$11:$B$63,24))*(1-E278))</f>
        <v/>
      </c>
      <c r="AK279" s="15">
        <f>MAX(0,AJ278*(1-INDEX($B$11:$B$63,25))*(1-E278))</f>
        <v/>
      </c>
      <c r="AL279" s="15">
        <f>MAX(0,AK278*(1-INDEX($B$11:$B$63,26))*(1-E278))</f>
        <v/>
      </c>
      <c r="AM279" s="15">
        <f>MAX(0,AL278*(1-INDEX($B$11:$B$63,27))*(1-E278))</f>
        <v/>
      </c>
      <c r="AN279" s="15">
        <f>MAX(0,AM278*(1-INDEX($B$11:$B$63,28))*(1-E278))</f>
        <v/>
      </c>
      <c r="AO279" s="15">
        <f>MAX(0,AN278*(1-INDEX($B$11:$B$63,29))*(1-E278))</f>
        <v/>
      </c>
      <c r="AP279" s="15">
        <f>MAX(0,AO278*(1-INDEX($B$11:$B$63,30))*(1-E278))</f>
        <v/>
      </c>
      <c r="AQ279" s="15">
        <f>MAX(0,AP278*(1-INDEX($B$11:$B$63,31))*(1-E278))</f>
        <v/>
      </c>
      <c r="AR279" s="15">
        <f>MAX(0,AQ278*(1-INDEX($B$11:$B$63,32))*(1-E278))</f>
        <v/>
      </c>
      <c r="AS279" s="15">
        <f>MAX(0,AR278*(1-INDEX($B$11:$B$63,33))*(1-E278))</f>
        <v/>
      </c>
      <c r="AT279" s="15">
        <f>MAX(0,AS278*(1-INDEX($B$11:$B$63,34))*(1-E278))</f>
        <v/>
      </c>
      <c r="AU279" s="15">
        <f>MAX(0,AT278*(1-INDEX($B$11:$B$63,35))*(1-E278))</f>
        <v/>
      </c>
      <c r="AV279" s="15">
        <f>MAX(0,AU278*(1-INDEX($B$11:$B$63,36))*(1-E278))</f>
        <v/>
      </c>
      <c r="AW279" s="15">
        <f>MAX(0,AV278*(1-INDEX($B$11:$B$63,37))*(1-E278))</f>
        <v/>
      </c>
      <c r="AX279" s="15">
        <f>MAX(0,AW278*(1-INDEX($B$11:$B$63,38))*(1-E278))</f>
        <v/>
      </c>
      <c r="AY279" s="15">
        <f>MAX(0,AX278*(1-INDEX($B$11:$B$63,39))*(1-E278))</f>
        <v/>
      </c>
      <c r="AZ279" s="15">
        <f>MAX(0,AY278*(1-INDEX($B$11:$B$63,40))*(1-E278))</f>
        <v/>
      </c>
      <c r="BA279" s="15">
        <f>MAX(0,AZ278*(1-INDEX($B$11:$B$63,41))*(1-E278))</f>
        <v/>
      </c>
      <c r="BB279" s="15">
        <f>MAX(0,BA278*(1-INDEX($B$11:$B$63,42))*(1-E278))</f>
        <v/>
      </c>
      <c r="BC279" s="15">
        <f>MAX(0,BB278*(1-INDEX($B$11:$B$63,43))*(1-E278))</f>
        <v/>
      </c>
      <c r="BD279" s="15">
        <f>MAX(0,BC278*(1-INDEX($B$11:$B$63,44))*(1-E278))</f>
        <v/>
      </c>
      <c r="BE279" s="15">
        <f>MAX(0,BD278*(1-INDEX($B$11:$B$63,45))*(1-E278))</f>
        <v/>
      </c>
      <c r="BF279" s="15">
        <f>MAX(0,BE278*(1-INDEX($B$11:$B$63,46))*(1-E278))</f>
        <v/>
      </c>
      <c r="BG279" s="15">
        <f>MAX(0,BF278*(1-INDEX($B$11:$B$63,47))*(1-E278))</f>
        <v/>
      </c>
      <c r="BH279" s="15">
        <f>MAX(0,BG278*(1-INDEX($B$11:$B$63,48))*(1-E278))</f>
        <v/>
      </c>
      <c r="BI279" s="15">
        <f>MAX(0,BH278*(1-INDEX($B$11:$B$63,49))*(1-E278))</f>
        <v/>
      </c>
      <c r="BJ279" s="15">
        <f>MAX(0,BI278*(1-INDEX($B$11:$B$63,50))*(1-E278))</f>
        <v/>
      </c>
      <c r="BK279" s="15">
        <f>MAX(0,BJ278*(1-INDEX($B$11:$B$63,51))*(1-E278))</f>
        <v/>
      </c>
      <c r="BL279" s="15">
        <f>MAX(0,(BL278+BK278)*(1-INDEX($B$11:$B$63,53))*(1-E278))</f>
        <v/>
      </c>
    </row>
    <row r="280">
      <c r="A280" s="55" t="n">
        <v>214</v>
      </c>
      <c r="B280" s="15">
        <f>IF(A280&gt;Inputs!$C$62,"",SUM(M280:BK280))</f>
        <v/>
      </c>
      <c r="C280" s="15">
        <f>IF(A280&gt;Inputs!$C$62,"",INDEX(Trajectory!$C$23:$C$2000,A280))</f>
        <v/>
      </c>
      <c r="D280" s="15">
        <f>IF(A280&gt;Inputs!$C$62,"",SUM(L280:BK280))</f>
        <v/>
      </c>
      <c r="E280" s="12">
        <f>IF(A280&gt;Inputs!$C$62,"",INDEX(Trajectory!$AG$23:$AG$2000,A280))</f>
        <v/>
      </c>
      <c r="F280" s="12">
        <f>IF(D280=0,0,SUMPRODUCT(L280:BK280,$B$11:$B$63)/D280)</f>
        <v/>
      </c>
      <c r="G280" s="12">
        <f>IF(D280=0,0,MIN(0.95,1-(1-F280)*(1-E280)))</f>
        <v/>
      </c>
      <c r="H280" s="15">
        <f>IF(D280=0,0,D280*G280)</f>
        <v/>
      </c>
      <c r="I280" s="15">
        <f>IF(D280=0,0,D280-H280)</f>
        <v/>
      </c>
      <c r="L280" s="15">
        <f>C280</f>
        <v/>
      </c>
      <c r="M280" s="15">
        <f>MAX(0,L279*(1-INDEX($B$11:$B$63,1))*(1-E279))</f>
        <v/>
      </c>
      <c r="N280" s="15">
        <f>MAX(0,M279*(1-INDEX($B$11:$B$63,2))*(1-E279))</f>
        <v/>
      </c>
      <c r="O280" s="15">
        <f>MAX(0,N279*(1-INDEX($B$11:$B$63,3))*(1-E279))</f>
        <v/>
      </c>
      <c r="P280" s="15">
        <f>MAX(0,O279*(1-INDEX($B$11:$B$63,4))*(1-E279))</f>
        <v/>
      </c>
      <c r="Q280" s="15">
        <f>MAX(0,P279*(1-INDEX($B$11:$B$63,5))*(1-E279))</f>
        <v/>
      </c>
      <c r="R280" s="15">
        <f>MAX(0,Q279*(1-INDEX($B$11:$B$63,6))*(1-E279))</f>
        <v/>
      </c>
      <c r="S280" s="15">
        <f>MAX(0,R279*(1-INDEX($B$11:$B$63,7))*(1-E279))</f>
        <v/>
      </c>
      <c r="T280" s="15">
        <f>MAX(0,S279*(1-INDEX($B$11:$B$63,8))*(1-E279))</f>
        <v/>
      </c>
      <c r="U280" s="15">
        <f>MAX(0,T279*(1-INDEX($B$11:$B$63,9))*(1-E279))</f>
        <v/>
      </c>
      <c r="V280" s="15">
        <f>MAX(0,U279*(1-INDEX($B$11:$B$63,10))*(1-E279))</f>
        <v/>
      </c>
      <c r="W280" s="15">
        <f>MAX(0,V279*(1-INDEX($B$11:$B$63,11))*(1-E279))</f>
        <v/>
      </c>
      <c r="X280" s="15">
        <f>MAX(0,W279*(1-INDEX($B$11:$B$63,12))*(1-E279))</f>
        <v/>
      </c>
      <c r="Y280" s="15">
        <f>MAX(0,X279*(1-INDEX($B$11:$B$63,13))*(1-E279))</f>
        <v/>
      </c>
      <c r="Z280" s="15">
        <f>MAX(0,Y279*(1-INDEX($B$11:$B$63,14))*(1-E279))</f>
        <v/>
      </c>
      <c r="AA280" s="15">
        <f>MAX(0,Z279*(1-INDEX($B$11:$B$63,15))*(1-E279))</f>
        <v/>
      </c>
      <c r="AB280" s="15">
        <f>MAX(0,AA279*(1-INDEX($B$11:$B$63,16))*(1-E279))</f>
        <v/>
      </c>
      <c r="AC280" s="15">
        <f>MAX(0,AB279*(1-INDEX($B$11:$B$63,17))*(1-E279))</f>
        <v/>
      </c>
      <c r="AD280" s="15">
        <f>MAX(0,AC279*(1-INDEX($B$11:$B$63,18))*(1-E279))</f>
        <v/>
      </c>
      <c r="AE280" s="15">
        <f>MAX(0,AD279*(1-INDEX($B$11:$B$63,19))*(1-E279))</f>
        <v/>
      </c>
      <c r="AF280" s="15">
        <f>MAX(0,AE279*(1-INDEX($B$11:$B$63,20))*(1-E279))</f>
        <v/>
      </c>
      <c r="AG280" s="15">
        <f>MAX(0,AF279*(1-INDEX($B$11:$B$63,21))*(1-E279))</f>
        <v/>
      </c>
      <c r="AH280" s="15">
        <f>MAX(0,AG279*(1-INDEX($B$11:$B$63,22))*(1-E279))</f>
        <v/>
      </c>
      <c r="AI280" s="15">
        <f>MAX(0,AH279*(1-INDEX($B$11:$B$63,23))*(1-E279))</f>
        <v/>
      </c>
      <c r="AJ280" s="15">
        <f>MAX(0,AI279*(1-INDEX($B$11:$B$63,24))*(1-E279))</f>
        <v/>
      </c>
      <c r="AK280" s="15">
        <f>MAX(0,AJ279*(1-INDEX($B$11:$B$63,25))*(1-E279))</f>
        <v/>
      </c>
      <c r="AL280" s="15">
        <f>MAX(0,AK279*(1-INDEX($B$11:$B$63,26))*(1-E279))</f>
        <v/>
      </c>
      <c r="AM280" s="15">
        <f>MAX(0,AL279*(1-INDEX($B$11:$B$63,27))*(1-E279))</f>
        <v/>
      </c>
      <c r="AN280" s="15">
        <f>MAX(0,AM279*(1-INDEX($B$11:$B$63,28))*(1-E279))</f>
        <v/>
      </c>
      <c r="AO280" s="15">
        <f>MAX(0,AN279*(1-INDEX($B$11:$B$63,29))*(1-E279))</f>
        <v/>
      </c>
      <c r="AP280" s="15">
        <f>MAX(0,AO279*(1-INDEX($B$11:$B$63,30))*(1-E279))</f>
        <v/>
      </c>
      <c r="AQ280" s="15">
        <f>MAX(0,AP279*(1-INDEX($B$11:$B$63,31))*(1-E279))</f>
        <v/>
      </c>
      <c r="AR280" s="15">
        <f>MAX(0,AQ279*(1-INDEX($B$11:$B$63,32))*(1-E279))</f>
        <v/>
      </c>
      <c r="AS280" s="15">
        <f>MAX(0,AR279*(1-INDEX($B$11:$B$63,33))*(1-E279))</f>
        <v/>
      </c>
      <c r="AT280" s="15">
        <f>MAX(0,AS279*(1-INDEX($B$11:$B$63,34))*(1-E279))</f>
        <v/>
      </c>
      <c r="AU280" s="15">
        <f>MAX(0,AT279*(1-INDEX($B$11:$B$63,35))*(1-E279))</f>
        <v/>
      </c>
      <c r="AV280" s="15">
        <f>MAX(0,AU279*(1-INDEX($B$11:$B$63,36))*(1-E279))</f>
        <v/>
      </c>
      <c r="AW280" s="15">
        <f>MAX(0,AV279*(1-INDEX($B$11:$B$63,37))*(1-E279))</f>
        <v/>
      </c>
      <c r="AX280" s="15">
        <f>MAX(0,AW279*(1-INDEX($B$11:$B$63,38))*(1-E279))</f>
        <v/>
      </c>
      <c r="AY280" s="15">
        <f>MAX(0,AX279*(1-INDEX($B$11:$B$63,39))*(1-E279))</f>
        <v/>
      </c>
      <c r="AZ280" s="15">
        <f>MAX(0,AY279*(1-INDEX($B$11:$B$63,40))*(1-E279))</f>
        <v/>
      </c>
      <c r="BA280" s="15">
        <f>MAX(0,AZ279*(1-INDEX($B$11:$B$63,41))*(1-E279))</f>
        <v/>
      </c>
      <c r="BB280" s="15">
        <f>MAX(0,BA279*(1-INDEX($B$11:$B$63,42))*(1-E279))</f>
        <v/>
      </c>
      <c r="BC280" s="15">
        <f>MAX(0,BB279*(1-INDEX($B$11:$B$63,43))*(1-E279))</f>
        <v/>
      </c>
      <c r="BD280" s="15">
        <f>MAX(0,BC279*(1-INDEX($B$11:$B$63,44))*(1-E279))</f>
        <v/>
      </c>
      <c r="BE280" s="15">
        <f>MAX(0,BD279*(1-INDEX($B$11:$B$63,45))*(1-E279))</f>
        <v/>
      </c>
      <c r="BF280" s="15">
        <f>MAX(0,BE279*(1-INDEX($B$11:$B$63,46))*(1-E279))</f>
        <v/>
      </c>
      <c r="BG280" s="15">
        <f>MAX(0,BF279*(1-INDEX($B$11:$B$63,47))*(1-E279))</f>
        <v/>
      </c>
      <c r="BH280" s="15">
        <f>MAX(0,BG279*(1-INDEX($B$11:$B$63,48))*(1-E279))</f>
        <v/>
      </c>
      <c r="BI280" s="15">
        <f>MAX(0,BH279*(1-INDEX($B$11:$B$63,49))*(1-E279))</f>
        <v/>
      </c>
      <c r="BJ280" s="15">
        <f>MAX(0,BI279*(1-INDEX($B$11:$B$63,50))*(1-E279))</f>
        <v/>
      </c>
      <c r="BK280" s="15">
        <f>MAX(0,BJ279*(1-INDEX($B$11:$B$63,51))*(1-E279))</f>
        <v/>
      </c>
      <c r="BL280" s="15">
        <f>MAX(0,(BL279+BK279)*(1-INDEX($B$11:$B$63,53))*(1-E279))</f>
        <v/>
      </c>
    </row>
    <row r="281">
      <c r="A281" s="55" t="n">
        <v>215</v>
      </c>
      <c r="B281" s="15">
        <f>IF(A281&gt;Inputs!$C$62,"",SUM(M281:BK281))</f>
        <v/>
      </c>
      <c r="C281" s="15">
        <f>IF(A281&gt;Inputs!$C$62,"",INDEX(Trajectory!$C$23:$C$2000,A281))</f>
        <v/>
      </c>
      <c r="D281" s="15">
        <f>IF(A281&gt;Inputs!$C$62,"",SUM(L281:BK281))</f>
        <v/>
      </c>
      <c r="E281" s="12">
        <f>IF(A281&gt;Inputs!$C$62,"",INDEX(Trajectory!$AG$23:$AG$2000,A281))</f>
        <v/>
      </c>
      <c r="F281" s="12">
        <f>IF(D281=0,0,SUMPRODUCT(L281:BK281,$B$11:$B$63)/D281)</f>
        <v/>
      </c>
      <c r="G281" s="12">
        <f>IF(D281=0,0,MIN(0.95,1-(1-F281)*(1-E281)))</f>
        <v/>
      </c>
      <c r="H281" s="15">
        <f>IF(D281=0,0,D281*G281)</f>
        <v/>
      </c>
      <c r="I281" s="15">
        <f>IF(D281=0,0,D281-H281)</f>
        <v/>
      </c>
      <c r="L281" s="15">
        <f>C281</f>
        <v/>
      </c>
      <c r="M281" s="15">
        <f>MAX(0,L280*(1-INDEX($B$11:$B$63,1))*(1-E280))</f>
        <v/>
      </c>
      <c r="N281" s="15">
        <f>MAX(0,M280*(1-INDEX($B$11:$B$63,2))*(1-E280))</f>
        <v/>
      </c>
      <c r="O281" s="15">
        <f>MAX(0,N280*(1-INDEX($B$11:$B$63,3))*(1-E280))</f>
        <v/>
      </c>
      <c r="P281" s="15">
        <f>MAX(0,O280*(1-INDEX($B$11:$B$63,4))*(1-E280))</f>
        <v/>
      </c>
      <c r="Q281" s="15">
        <f>MAX(0,P280*(1-INDEX($B$11:$B$63,5))*(1-E280))</f>
        <v/>
      </c>
      <c r="R281" s="15">
        <f>MAX(0,Q280*(1-INDEX($B$11:$B$63,6))*(1-E280))</f>
        <v/>
      </c>
      <c r="S281" s="15">
        <f>MAX(0,R280*(1-INDEX($B$11:$B$63,7))*(1-E280))</f>
        <v/>
      </c>
      <c r="T281" s="15">
        <f>MAX(0,S280*(1-INDEX($B$11:$B$63,8))*(1-E280))</f>
        <v/>
      </c>
      <c r="U281" s="15">
        <f>MAX(0,T280*(1-INDEX($B$11:$B$63,9))*(1-E280))</f>
        <v/>
      </c>
      <c r="V281" s="15">
        <f>MAX(0,U280*(1-INDEX($B$11:$B$63,10))*(1-E280))</f>
        <v/>
      </c>
      <c r="W281" s="15">
        <f>MAX(0,V280*(1-INDEX($B$11:$B$63,11))*(1-E280))</f>
        <v/>
      </c>
      <c r="X281" s="15">
        <f>MAX(0,W280*(1-INDEX($B$11:$B$63,12))*(1-E280))</f>
        <v/>
      </c>
      <c r="Y281" s="15">
        <f>MAX(0,X280*(1-INDEX($B$11:$B$63,13))*(1-E280))</f>
        <v/>
      </c>
      <c r="Z281" s="15">
        <f>MAX(0,Y280*(1-INDEX($B$11:$B$63,14))*(1-E280))</f>
        <v/>
      </c>
      <c r="AA281" s="15">
        <f>MAX(0,Z280*(1-INDEX($B$11:$B$63,15))*(1-E280))</f>
        <v/>
      </c>
      <c r="AB281" s="15">
        <f>MAX(0,AA280*(1-INDEX($B$11:$B$63,16))*(1-E280))</f>
        <v/>
      </c>
      <c r="AC281" s="15">
        <f>MAX(0,AB280*(1-INDEX($B$11:$B$63,17))*(1-E280))</f>
        <v/>
      </c>
      <c r="AD281" s="15">
        <f>MAX(0,AC280*(1-INDEX($B$11:$B$63,18))*(1-E280))</f>
        <v/>
      </c>
      <c r="AE281" s="15">
        <f>MAX(0,AD280*(1-INDEX($B$11:$B$63,19))*(1-E280))</f>
        <v/>
      </c>
      <c r="AF281" s="15">
        <f>MAX(0,AE280*(1-INDEX($B$11:$B$63,20))*(1-E280))</f>
        <v/>
      </c>
      <c r="AG281" s="15">
        <f>MAX(0,AF280*(1-INDEX($B$11:$B$63,21))*(1-E280))</f>
        <v/>
      </c>
      <c r="AH281" s="15">
        <f>MAX(0,AG280*(1-INDEX($B$11:$B$63,22))*(1-E280))</f>
        <v/>
      </c>
      <c r="AI281" s="15">
        <f>MAX(0,AH280*(1-INDEX($B$11:$B$63,23))*(1-E280))</f>
        <v/>
      </c>
      <c r="AJ281" s="15">
        <f>MAX(0,AI280*(1-INDEX($B$11:$B$63,24))*(1-E280))</f>
        <v/>
      </c>
      <c r="AK281" s="15">
        <f>MAX(0,AJ280*(1-INDEX($B$11:$B$63,25))*(1-E280))</f>
        <v/>
      </c>
      <c r="AL281" s="15">
        <f>MAX(0,AK280*(1-INDEX($B$11:$B$63,26))*(1-E280))</f>
        <v/>
      </c>
      <c r="AM281" s="15">
        <f>MAX(0,AL280*(1-INDEX($B$11:$B$63,27))*(1-E280))</f>
        <v/>
      </c>
      <c r="AN281" s="15">
        <f>MAX(0,AM280*(1-INDEX($B$11:$B$63,28))*(1-E280))</f>
        <v/>
      </c>
      <c r="AO281" s="15">
        <f>MAX(0,AN280*(1-INDEX($B$11:$B$63,29))*(1-E280))</f>
        <v/>
      </c>
      <c r="AP281" s="15">
        <f>MAX(0,AO280*(1-INDEX($B$11:$B$63,30))*(1-E280))</f>
        <v/>
      </c>
      <c r="AQ281" s="15">
        <f>MAX(0,AP280*(1-INDEX($B$11:$B$63,31))*(1-E280))</f>
        <v/>
      </c>
      <c r="AR281" s="15">
        <f>MAX(0,AQ280*(1-INDEX($B$11:$B$63,32))*(1-E280))</f>
        <v/>
      </c>
      <c r="AS281" s="15">
        <f>MAX(0,AR280*(1-INDEX($B$11:$B$63,33))*(1-E280))</f>
        <v/>
      </c>
      <c r="AT281" s="15">
        <f>MAX(0,AS280*(1-INDEX($B$11:$B$63,34))*(1-E280))</f>
        <v/>
      </c>
      <c r="AU281" s="15">
        <f>MAX(0,AT280*(1-INDEX($B$11:$B$63,35))*(1-E280))</f>
        <v/>
      </c>
      <c r="AV281" s="15">
        <f>MAX(0,AU280*(1-INDEX($B$11:$B$63,36))*(1-E280))</f>
        <v/>
      </c>
      <c r="AW281" s="15">
        <f>MAX(0,AV280*(1-INDEX($B$11:$B$63,37))*(1-E280))</f>
        <v/>
      </c>
      <c r="AX281" s="15">
        <f>MAX(0,AW280*(1-INDEX($B$11:$B$63,38))*(1-E280))</f>
        <v/>
      </c>
      <c r="AY281" s="15">
        <f>MAX(0,AX280*(1-INDEX($B$11:$B$63,39))*(1-E280))</f>
        <v/>
      </c>
      <c r="AZ281" s="15">
        <f>MAX(0,AY280*(1-INDEX($B$11:$B$63,40))*(1-E280))</f>
        <v/>
      </c>
      <c r="BA281" s="15">
        <f>MAX(0,AZ280*(1-INDEX($B$11:$B$63,41))*(1-E280))</f>
        <v/>
      </c>
      <c r="BB281" s="15">
        <f>MAX(0,BA280*(1-INDEX($B$11:$B$63,42))*(1-E280))</f>
        <v/>
      </c>
      <c r="BC281" s="15">
        <f>MAX(0,BB280*(1-INDEX($B$11:$B$63,43))*(1-E280))</f>
        <v/>
      </c>
      <c r="BD281" s="15">
        <f>MAX(0,BC280*(1-INDEX($B$11:$B$63,44))*(1-E280))</f>
        <v/>
      </c>
      <c r="BE281" s="15">
        <f>MAX(0,BD280*(1-INDEX($B$11:$B$63,45))*(1-E280))</f>
        <v/>
      </c>
      <c r="BF281" s="15">
        <f>MAX(0,BE280*(1-INDEX($B$11:$B$63,46))*(1-E280))</f>
        <v/>
      </c>
      <c r="BG281" s="15">
        <f>MAX(0,BF280*(1-INDEX($B$11:$B$63,47))*(1-E280))</f>
        <v/>
      </c>
      <c r="BH281" s="15">
        <f>MAX(0,BG280*(1-INDEX($B$11:$B$63,48))*(1-E280))</f>
        <v/>
      </c>
      <c r="BI281" s="15">
        <f>MAX(0,BH280*(1-INDEX($B$11:$B$63,49))*(1-E280))</f>
        <v/>
      </c>
      <c r="BJ281" s="15">
        <f>MAX(0,BI280*(1-INDEX($B$11:$B$63,50))*(1-E280))</f>
        <v/>
      </c>
      <c r="BK281" s="15">
        <f>MAX(0,BJ280*(1-INDEX($B$11:$B$63,51))*(1-E280))</f>
        <v/>
      </c>
      <c r="BL281" s="15">
        <f>MAX(0,(BL280+BK280)*(1-INDEX($B$11:$B$63,53))*(1-E280))</f>
        <v/>
      </c>
    </row>
    <row r="282">
      <c r="A282" s="55" t="n">
        <v>216</v>
      </c>
      <c r="B282" s="15">
        <f>IF(A282&gt;Inputs!$C$62,"",SUM(M282:BK282))</f>
        <v/>
      </c>
      <c r="C282" s="15">
        <f>IF(A282&gt;Inputs!$C$62,"",INDEX(Trajectory!$C$23:$C$2000,A282))</f>
        <v/>
      </c>
      <c r="D282" s="15">
        <f>IF(A282&gt;Inputs!$C$62,"",SUM(L282:BK282))</f>
        <v/>
      </c>
      <c r="E282" s="12">
        <f>IF(A282&gt;Inputs!$C$62,"",INDEX(Trajectory!$AG$23:$AG$2000,A282))</f>
        <v/>
      </c>
      <c r="F282" s="12">
        <f>IF(D282=0,0,SUMPRODUCT(L282:BK282,$B$11:$B$63)/D282)</f>
        <v/>
      </c>
      <c r="G282" s="12">
        <f>IF(D282=0,0,MIN(0.95,1-(1-F282)*(1-E282)))</f>
        <v/>
      </c>
      <c r="H282" s="15">
        <f>IF(D282=0,0,D282*G282)</f>
        <v/>
      </c>
      <c r="I282" s="15">
        <f>IF(D282=0,0,D282-H282)</f>
        <v/>
      </c>
      <c r="L282" s="15">
        <f>C282</f>
        <v/>
      </c>
      <c r="M282" s="15">
        <f>MAX(0,L281*(1-INDEX($B$11:$B$63,1))*(1-E281))</f>
        <v/>
      </c>
      <c r="N282" s="15">
        <f>MAX(0,M281*(1-INDEX($B$11:$B$63,2))*(1-E281))</f>
        <v/>
      </c>
      <c r="O282" s="15">
        <f>MAX(0,N281*(1-INDEX($B$11:$B$63,3))*(1-E281))</f>
        <v/>
      </c>
      <c r="P282" s="15">
        <f>MAX(0,O281*(1-INDEX($B$11:$B$63,4))*(1-E281))</f>
        <v/>
      </c>
      <c r="Q282" s="15">
        <f>MAX(0,P281*(1-INDEX($B$11:$B$63,5))*(1-E281))</f>
        <v/>
      </c>
      <c r="R282" s="15">
        <f>MAX(0,Q281*(1-INDEX($B$11:$B$63,6))*(1-E281))</f>
        <v/>
      </c>
      <c r="S282" s="15">
        <f>MAX(0,R281*(1-INDEX($B$11:$B$63,7))*(1-E281))</f>
        <v/>
      </c>
      <c r="T282" s="15">
        <f>MAX(0,S281*(1-INDEX($B$11:$B$63,8))*(1-E281))</f>
        <v/>
      </c>
      <c r="U282" s="15">
        <f>MAX(0,T281*(1-INDEX($B$11:$B$63,9))*(1-E281))</f>
        <v/>
      </c>
      <c r="V282" s="15">
        <f>MAX(0,U281*(1-INDEX($B$11:$B$63,10))*(1-E281))</f>
        <v/>
      </c>
      <c r="W282" s="15">
        <f>MAX(0,V281*(1-INDEX($B$11:$B$63,11))*(1-E281))</f>
        <v/>
      </c>
      <c r="X282" s="15">
        <f>MAX(0,W281*(1-INDEX($B$11:$B$63,12))*(1-E281))</f>
        <v/>
      </c>
      <c r="Y282" s="15">
        <f>MAX(0,X281*(1-INDEX($B$11:$B$63,13))*(1-E281))</f>
        <v/>
      </c>
      <c r="Z282" s="15">
        <f>MAX(0,Y281*(1-INDEX($B$11:$B$63,14))*(1-E281))</f>
        <v/>
      </c>
      <c r="AA282" s="15">
        <f>MAX(0,Z281*(1-INDEX($B$11:$B$63,15))*(1-E281))</f>
        <v/>
      </c>
      <c r="AB282" s="15">
        <f>MAX(0,AA281*(1-INDEX($B$11:$B$63,16))*(1-E281))</f>
        <v/>
      </c>
      <c r="AC282" s="15">
        <f>MAX(0,AB281*(1-INDEX($B$11:$B$63,17))*(1-E281))</f>
        <v/>
      </c>
      <c r="AD282" s="15">
        <f>MAX(0,AC281*(1-INDEX($B$11:$B$63,18))*(1-E281))</f>
        <v/>
      </c>
      <c r="AE282" s="15">
        <f>MAX(0,AD281*(1-INDEX($B$11:$B$63,19))*(1-E281))</f>
        <v/>
      </c>
      <c r="AF282" s="15">
        <f>MAX(0,AE281*(1-INDEX($B$11:$B$63,20))*(1-E281))</f>
        <v/>
      </c>
      <c r="AG282" s="15">
        <f>MAX(0,AF281*(1-INDEX($B$11:$B$63,21))*(1-E281))</f>
        <v/>
      </c>
      <c r="AH282" s="15">
        <f>MAX(0,AG281*(1-INDEX($B$11:$B$63,22))*(1-E281))</f>
        <v/>
      </c>
      <c r="AI282" s="15">
        <f>MAX(0,AH281*(1-INDEX($B$11:$B$63,23))*(1-E281))</f>
        <v/>
      </c>
      <c r="AJ282" s="15">
        <f>MAX(0,AI281*(1-INDEX($B$11:$B$63,24))*(1-E281))</f>
        <v/>
      </c>
      <c r="AK282" s="15">
        <f>MAX(0,AJ281*(1-INDEX($B$11:$B$63,25))*(1-E281))</f>
        <v/>
      </c>
      <c r="AL282" s="15">
        <f>MAX(0,AK281*(1-INDEX($B$11:$B$63,26))*(1-E281))</f>
        <v/>
      </c>
      <c r="AM282" s="15">
        <f>MAX(0,AL281*(1-INDEX($B$11:$B$63,27))*(1-E281))</f>
        <v/>
      </c>
      <c r="AN282" s="15">
        <f>MAX(0,AM281*(1-INDEX($B$11:$B$63,28))*(1-E281))</f>
        <v/>
      </c>
      <c r="AO282" s="15">
        <f>MAX(0,AN281*(1-INDEX($B$11:$B$63,29))*(1-E281))</f>
        <v/>
      </c>
      <c r="AP282" s="15">
        <f>MAX(0,AO281*(1-INDEX($B$11:$B$63,30))*(1-E281))</f>
        <v/>
      </c>
      <c r="AQ282" s="15">
        <f>MAX(0,AP281*(1-INDEX($B$11:$B$63,31))*(1-E281))</f>
        <v/>
      </c>
      <c r="AR282" s="15">
        <f>MAX(0,AQ281*(1-INDEX($B$11:$B$63,32))*(1-E281))</f>
        <v/>
      </c>
      <c r="AS282" s="15">
        <f>MAX(0,AR281*(1-INDEX($B$11:$B$63,33))*(1-E281))</f>
        <v/>
      </c>
      <c r="AT282" s="15">
        <f>MAX(0,AS281*(1-INDEX($B$11:$B$63,34))*(1-E281))</f>
        <v/>
      </c>
      <c r="AU282" s="15">
        <f>MAX(0,AT281*(1-INDEX($B$11:$B$63,35))*(1-E281))</f>
        <v/>
      </c>
      <c r="AV282" s="15">
        <f>MAX(0,AU281*(1-INDEX($B$11:$B$63,36))*(1-E281))</f>
        <v/>
      </c>
      <c r="AW282" s="15">
        <f>MAX(0,AV281*(1-INDEX($B$11:$B$63,37))*(1-E281))</f>
        <v/>
      </c>
      <c r="AX282" s="15">
        <f>MAX(0,AW281*(1-INDEX($B$11:$B$63,38))*(1-E281))</f>
        <v/>
      </c>
      <c r="AY282" s="15">
        <f>MAX(0,AX281*(1-INDEX($B$11:$B$63,39))*(1-E281))</f>
        <v/>
      </c>
      <c r="AZ282" s="15">
        <f>MAX(0,AY281*(1-INDEX($B$11:$B$63,40))*(1-E281))</f>
        <v/>
      </c>
      <c r="BA282" s="15">
        <f>MAX(0,AZ281*(1-INDEX($B$11:$B$63,41))*(1-E281))</f>
        <v/>
      </c>
      <c r="BB282" s="15">
        <f>MAX(0,BA281*(1-INDEX($B$11:$B$63,42))*(1-E281))</f>
        <v/>
      </c>
      <c r="BC282" s="15">
        <f>MAX(0,BB281*(1-INDEX($B$11:$B$63,43))*(1-E281))</f>
        <v/>
      </c>
      <c r="BD282" s="15">
        <f>MAX(0,BC281*(1-INDEX($B$11:$B$63,44))*(1-E281))</f>
        <v/>
      </c>
      <c r="BE282" s="15">
        <f>MAX(0,BD281*(1-INDEX($B$11:$B$63,45))*(1-E281))</f>
        <v/>
      </c>
      <c r="BF282" s="15">
        <f>MAX(0,BE281*(1-INDEX($B$11:$B$63,46))*(1-E281))</f>
        <v/>
      </c>
      <c r="BG282" s="15">
        <f>MAX(0,BF281*(1-INDEX($B$11:$B$63,47))*(1-E281))</f>
        <v/>
      </c>
      <c r="BH282" s="15">
        <f>MAX(0,BG281*(1-INDEX($B$11:$B$63,48))*(1-E281))</f>
        <v/>
      </c>
      <c r="BI282" s="15">
        <f>MAX(0,BH281*(1-INDEX($B$11:$B$63,49))*(1-E281))</f>
        <v/>
      </c>
      <c r="BJ282" s="15">
        <f>MAX(0,BI281*(1-INDEX($B$11:$B$63,50))*(1-E281))</f>
        <v/>
      </c>
      <c r="BK282" s="15">
        <f>MAX(0,BJ281*(1-INDEX($B$11:$B$63,51))*(1-E281))</f>
        <v/>
      </c>
      <c r="BL282" s="15">
        <f>MAX(0,(BL281+BK281)*(1-INDEX($B$11:$B$63,53))*(1-E281))</f>
        <v/>
      </c>
    </row>
    <row r="283">
      <c r="A283" s="55" t="n">
        <v>217</v>
      </c>
      <c r="B283" s="15">
        <f>IF(A283&gt;Inputs!$C$62,"",SUM(M283:BK283))</f>
        <v/>
      </c>
      <c r="C283" s="15">
        <f>IF(A283&gt;Inputs!$C$62,"",INDEX(Trajectory!$C$23:$C$2000,A283))</f>
        <v/>
      </c>
      <c r="D283" s="15">
        <f>IF(A283&gt;Inputs!$C$62,"",SUM(L283:BK283))</f>
        <v/>
      </c>
      <c r="E283" s="12">
        <f>IF(A283&gt;Inputs!$C$62,"",INDEX(Trajectory!$AG$23:$AG$2000,A283))</f>
        <v/>
      </c>
      <c r="F283" s="12">
        <f>IF(D283=0,0,SUMPRODUCT(L283:BK283,$B$11:$B$63)/D283)</f>
        <v/>
      </c>
      <c r="G283" s="12">
        <f>IF(D283=0,0,MIN(0.95,1-(1-F283)*(1-E283)))</f>
        <v/>
      </c>
      <c r="H283" s="15">
        <f>IF(D283=0,0,D283*G283)</f>
        <v/>
      </c>
      <c r="I283" s="15">
        <f>IF(D283=0,0,D283-H283)</f>
        <v/>
      </c>
      <c r="L283" s="15">
        <f>C283</f>
        <v/>
      </c>
      <c r="M283" s="15">
        <f>MAX(0,L282*(1-INDEX($B$11:$B$63,1))*(1-E282))</f>
        <v/>
      </c>
      <c r="N283" s="15">
        <f>MAX(0,M282*(1-INDEX($B$11:$B$63,2))*(1-E282))</f>
        <v/>
      </c>
      <c r="O283" s="15">
        <f>MAX(0,N282*(1-INDEX($B$11:$B$63,3))*(1-E282))</f>
        <v/>
      </c>
      <c r="P283" s="15">
        <f>MAX(0,O282*(1-INDEX($B$11:$B$63,4))*(1-E282))</f>
        <v/>
      </c>
      <c r="Q283" s="15">
        <f>MAX(0,P282*(1-INDEX($B$11:$B$63,5))*(1-E282))</f>
        <v/>
      </c>
      <c r="R283" s="15">
        <f>MAX(0,Q282*(1-INDEX($B$11:$B$63,6))*(1-E282))</f>
        <v/>
      </c>
      <c r="S283" s="15">
        <f>MAX(0,R282*(1-INDEX($B$11:$B$63,7))*(1-E282))</f>
        <v/>
      </c>
      <c r="T283" s="15">
        <f>MAX(0,S282*(1-INDEX($B$11:$B$63,8))*(1-E282))</f>
        <v/>
      </c>
      <c r="U283" s="15">
        <f>MAX(0,T282*(1-INDEX($B$11:$B$63,9))*(1-E282))</f>
        <v/>
      </c>
      <c r="V283" s="15">
        <f>MAX(0,U282*(1-INDEX($B$11:$B$63,10))*(1-E282))</f>
        <v/>
      </c>
      <c r="W283" s="15">
        <f>MAX(0,V282*(1-INDEX($B$11:$B$63,11))*(1-E282))</f>
        <v/>
      </c>
      <c r="X283" s="15">
        <f>MAX(0,W282*(1-INDEX($B$11:$B$63,12))*(1-E282))</f>
        <v/>
      </c>
      <c r="Y283" s="15">
        <f>MAX(0,X282*(1-INDEX($B$11:$B$63,13))*(1-E282))</f>
        <v/>
      </c>
      <c r="Z283" s="15">
        <f>MAX(0,Y282*(1-INDEX($B$11:$B$63,14))*(1-E282))</f>
        <v/>
      </c>
      <c r="AA283" s="15">
        <f>MAX(0,Z282*(1-INDEX($B$11:$B$63,15))*(1-E282))</f>
        <v/>
      </c>
      <c r="AB283" s="15">
        <f>MAX(0,AA282*(1-INDEX($B$11:$B$63,16))*(1-E282))</f>
        <v/>
      </c>
      <c r="AC283" s="15">
        <f>MAX(0,AB282*(1-INDEX($B$11:$B$63,17))*(1-E282))</f>
        <v/>
      </c>
      <c r="AD283" s="15">
        <f>MAX(0,AC282*(1-INDEX($B$11:$B$63,18))*(1-E282))</f>
        <v/>
      </c>
      <c r="AE283" s="15">
        <f>MAX(0,AD282*(1-INDEX($B$11:$B$63,19))*(1-E282))</f>
        <v/>
      </c>
      <c r="AF283" s="15">
        <f>MAX(0,AE282*(1-INDEX($B$11:$B$63,20))*(1-E282))</f>
        <v/>
      </c>
      <c r="AG283" s="15">
        <f>MAX(0,AF282*(1-INDEX($B$11:$B$63,21))*(1-E282))</f>
        <v/>
      </c>
      <c r="AH283" s="15">
        <f>MAX(0,AG282*(1-INDEX($B$11:$B$63,22))*(1-E282))</f>
        <v/>
      </c>
      <c r="AI283" s="15">
        <f>MAX(0,AH282*(1-INDEX($B$11:$B$63,23))*(1-E282))</f>
        <v/>
      </c>
      <c r="AJ283" s="15">
        <f>MAX(0,AI282*(1-INDEX($B$11:$B$63,24))*(1-E282))</f>
        <v/>
      </c>
      <c r="AK283" s="15">
        <f>MAX(0,AJ282*(1-INDEX($B$11:$B$63,25))*(1-E282))</f>
        <v/>
      </c>
      <c r="AL283" s="15">
        <f>MAX(0,AK282*(1-INDEX($B$11:$B$63,26))*(1-E282))</f>
        <v/>
      </c>
      <c r="AM283" s="15">
        <f>MAX(0,AL282*(1-INDEX($B$11:$B$63,27))*(1-E282))</f>
        <v/>
      </c>
      <c r="AN283" s="15">
        <f>MAX(0,AM282*(1-INDEX($B$11:$B$63,28))*(1-E282))</f>
        <v/>
      </c>
      <c r="AO283" s="15">
        <f>MAX(0,AN282*(1-INDEX($B$11:$B$63,29))*(1-E282))</f>
        <v/>
      </c>
      <c r="AP283" s="15">
        <f>MAX(0,AO282*(1-INDEX($B$11:$B$63,30))*(1-E282))</f>
        <v/>
      </c>
      <c r="AQ283" s="15">
        <f>MAX(0,AP282*(1-INDEX($B$11:$B$63,31))*(1-E282))</f>
        <v/>
      </c>
      <c r="AR283" s="15">
        <f>MAX(0,AQ282*(1-INDEX($B$11:$B$63,32))*(1-E282))</f>
        <v/>
      </c>
      <c r="AS283" s="15">
        <f>MAX(0,AR282*(1-INDEX($B$11:$B$63,33))*(1-E282))</f>
        <v/>
      </c>
      <c r="AT283" s="15">
        <f>MAX(0,AS282*(1-INDEX($B$11:$B$63,34))*(1-E282))</f>
        <v/>
      </c>
      <c r="AU283" s="15">
        <f>MAX(0,AT282*(1-INDEX($B$11:$B$63,35))*(1-E282))</f>
        <v/>
      </c>
      <c r="AV283" s="15">
        <f>MAX(0,AU282*(1-INDEX($B$11:$B$63,36))*(1-E282))</f>
        <v/>
      </c>
      <c r="AW283" s="15">
        <f>MAX(0,AV282*(1-INDEX($B$11:$B$63,37))*(1-E282))</f>
        <v/>
      </c>
      <c r="AX283" s="15">
        <f>MAX(0,AW282*(1-INDEX($B$11:$B$63,38))*(1-E282))</f>
        <v/>
      </c>
      <c r="AY283" s="15">
        <f>MAX(0,AX282*(1-INDEX($B$11:$B$63,39))*(1-E282))</f>
        <v/>
      </c>
      <c r="AZ283" s="15">
        <f>MAX(0,AY282*(1-INDEX($B$11:$B$63,40))*(1-E282))</f>
        <v/>
      </c>
      <c r="BA283" s="15">
        <f>MAX(0,AZ282*(1-INDEX($B$11:$B$63,41))*(1-E282))</f>
        <v/>
      </c>
      <c r="BB283" s="15">
        <f>MAX(0,BA282*(1-INDEX($B$11:$B$63,42))*(1-E282))</f>
        <v/>
      </c>
      <c r="BC283" s="15">
        <f>MAX(0,BB282*(1-INDEX($B$11:$B$63,43))*(1-E282))</f>
        <v/>
      </c>
      <c r="BD283" s="15">
        <f>MAX(0,BC282*(1-INDEX($B$11:$B$63,44))*(1-E282))</f>
        <v/>
      </c>
      <c r="BE283" s="15">
        <f>MAX(0,BD282*(1-INDEX($B$11:$B$63,45))*(1-E282))</f>
        <v/>
      </c>
      <c r="BF283" s="15">
        <f>MAX(0,BE282*(1-INDEX($B$11:$B$63,46))*(1-E282))</f>
        <v/>
      </c>
      <c r="BG283" s="15">
        <f>MAX(0,BF282*(1-INDEX($B$11:$B$63,47))*(1-E282))</f>
        <v/>
      </c>
      <c r="BH283" s="15">
        <f>MAX(0,BG282*(1-INDEX($B$11:$B$63,48))*(1-E282))</f>
        <v/>
      </c>
      <c r="BI283" s="15">
        <f>MAX(0,BH282*(1-INDEX($B$11:$B$63,49))*(1-E282))</f>
        <v/>
      </c>
      <c r="BJ283" s="15">
        <f>MAX(0,BI282*(1-INDEX($B$11:$B$63,50))*(1-E282))</f>
        <v/>
      </c>
      <c r="BK283" s="15">
        <f>MAX(0,BJ282*(1-INDEX($B$11:$B$63,51))*(1-E282))</f>
        <v/>
      </c>
      <c r="BL283" s="15">
        <f>MAX(0,(BL282+BK282)*(1-INDEX($B$11:$B$63,53))*(1-E282))</f>
        <v/>
      </c>
    </row>
    <row r="284">
      <c r="A284" s="55" t="n">
        <v>218</v>
      </c>
      <c r="B284" s="15">
        <f>IF(A284&gt;Inputs!$C$62,"",SUM(M284:BK284))</f>
        <v/>
      </c>
      <c r="C284" s="15">
        <f>IF(A284&gt;Inputs!$C$62,"",INDEX(Trajectory!$C$23:$C$2000,A284))</f>
        <v/>
      </c>
      <c r="D284" s="15">
        <f>IF(A284&gt;Inputs!$C$62,"",SUM(L284:BK284))</f>
        <v/>
      </c>
      <c r="E284" s="12">
        <f>IF(A284&gt;Inputs!$C$62,"",INDEX(Trajectory!$AG$23:$AG$2000,A284))</f>
        <v/>
      </c>
      <c r="F284" s="12">
        <f>IF(D284=0,0,SUMPRODUCT(L284:BK284,$B$11:$B$63)/D284)</f>
        <v/>
      </c>
      <c r="G284" s="12">
        <f>IF(D284=0,0,MIN(0.95,1-(1-F284)*(1-E284)))</f>
        <v/>
      </c>
      <c r="H284" s="15">
        <f>IF(D284=0,0,D284*G284)</f>
        <v/>
      </c>
      <c r="I284" s="15">
        <f>IF(D284=0,0,D284-H284)</f>
        <v/>
      </c>
      <c r="L284" s="15">
        <f>C284</f>
        <v/>
      </c>
      <c r="M284" s="15">
        <f>MAX(0,L283*(1-INDEX($B$11:$B$63,1))*(1-E283))</f>
        <v/>
      </c>
      <c r="N284" s="15">
        <f>MAX(0,M283*(1-INDEX($B$11:$B$63,2))*(1-E283))</f>
        <v/>
      </c>
      <c r="O284" s="15">
        <f>MAX(0,N283*(1-INDEX($B$11:$B$63,3))*(1-E283))</f>
        <v/>
      </c>
      <c r="P284" s="15">
        <f>MAX(0,O283*(1-INDEX($B$11:$B$63,4))*(1-E283))</f>
        <v/>
      </c>
      <c r="Q284" s="15">
        <f>MAX(0,P283*(1-INDEX($B$11:$B$63,5))*(1-E283))</f>
        <v/>
      </c>
      <c r="R284" s="15">
        <f>MAX(0,Q283*(1-INDEX($B$11:$B$63,6))*(1-E283))</f>
        <v/>
      </c>
      <c r="S284" s="15">
        <f>MAX(0,R283*(1-INDEX($B$11:$B$63,7))*(1-E283))</f>
        <v/>
      </c>
      <c r="T284" s="15">
        <f>MAX(0,S283*(1-INDEX($B$11:$B$63,8))*(1-E283))</f>
        <v/>
      </c>
      <c r="U284" s="15">
        <f>MAX(0,T283*(1-INDEX($B$11:$B$63,9))*(1-E283))</f>
        <v/>
      </c>
      <c r="V284" s="15">
        <f>MAX(0,U283*(1-INDEX($B$11:$B$63,10))*(1-E283))</f>
        <v/>
      </c>
      <c r="W284" s="15">
        <f>MAX(0,V283*(1-INDEX($B$11:$B$63,11))*(1-E283))</f>
        <v/>
      </c>
      <c r="X284" s="15">
        <f>MAX(0,W283*(1-INDEX($B$11:$B$63,12))*(1-E283))</f>
        <v/>
      </c>
      <c r="Y284" s="15">
        <f>MAX(0,X283*(1-INDEX($B$11:$B$63,13))*(1-E283))</f>
        <v/>
      </c>
      <c r="Z284" s="15">
        <f>MAX(0,Y283*(1-INDEX($B$11:$B$63,14))*(1-E283))</f>
        <v/>
      </c>
      <c r="AA284" s="15">
        <f>MAX(0,Z283*(1-INDEX($B$11:$B$63,15))*(1-E283))</f>
        <v/>
      </c>
      <c r="AB284" s="15">
        <f>MAX(0,AA283*(1-INDEX($B$11:$B$63,16))*(1-E283))</f>
        <v/>
      </c>
      <c r="AC284" s="15">
        <f>MAX(0,AB283*(1-INDEX($B$11:$B$63,17))*(1-E283))</f>
        <v/>
      </c>
      <c r="AD284" s="15">
        <f>MAX(0,AC283*(1-INDEX($B$11:$B$63,18))*(1-E283))</f>
        <v/>
      </c>
      <c r="AE284" s="15">
        <f>MAX(0,AD283*(1-INDEX($B$11:$B$63,19))*(1-E283))</f>
        <v/>
      </c>
      <c r="AF284" s="15">
        <f>MAX(0,AE283*(1-INDEX($B$11:$B$63,20))*(1-E283))</f>
        <v/>
      </c>
      <c r="AG284" s="15">
        <f>MAX(0,AF283*(1-INDEX($B$11:$B$63,21))*(1-E283))</f>
        <v/>
      </c>
      <c r="AH284" s="15">
        <f>MAX(0,AG283*(1-INDEX($B$11:$B$63,22))*(1-E283))</f>
        <v/>
      </c>
      <c r="AI284" s="15">
        <f>MAX(0,AH283*(1-INDEX($B$11:$B$63,23))*(1-E283))</f>
        <v/>
      </c>
      <c r="AJ284" s="15">
        <f>MAX(0,AI283*(1-INDEX($B$11:$B$63,24))*(1-E283))</f>
        <v/>
      </c>
      <c r="AK284" s="15">
        <f>MAX(0,AJ283*(1-INDEX($B$11:$B$63,25))*(1-E283))</f>
        <v/>
      </c>
      <c r="AL284" s="15">
        <f>MAX(0,AK283*(1-INDEX($B$11:$B$63,26))*(1-E283))</f>
        <v/>
      </c>
      <c r="AM284" s="15">
        <f>MAX(0,AL283*(1-INDEX($B$11:$B$63,27))*(1-E283))</f>
        <v/>
      </c>
      <c r="AN284" s="15">
        <f>MAX(0,AM283*(1-INDEX($B$11:$B$63,28))*(1-E283))</f>
        <v/>
      </c>
      <c r="AO284" s="15">
        <f>MAX(0,AN283*(1-INDEX($B$11:$B$63,29))*(1-E283))</f>
        <v/>
      </c>
      <c r="AP284" s="15">
        <f>MAX(0,AO283*(1-INDEX($B$11:$B$63,30))*(1-E283))</f>
        <v/>
      </c>
      <c r="AQ284" s="15">
        <f>MAX(0,AP283*(1-INDEX($B$11:$B$63,31))*(1-E283))</f>
        <v/>
      </c>
      <c r="AR284" s="15">
        <f>MAX(0,AQ283*(1-INDEX($B$11:$B$63,32))*(1-E283))</f>
        <v/>
      </c>
      <c r="AS284" s="15">
        <f>MAX(0,AR283*(1-INDEX($B$11:$B$63,33))*(1-E283))</f>
        <v/>
      </c>
      <c r="AT284" s="15">
        <f>MAX(0,AS283*(1-INDEX($B$11:$B$63,34))*(1-E283))</f>
        <v/>
      </c>
      <c r="AU284" s="15">
        <f>MAX(0,AT283*(1-INDEX($B$11:$B$63,35))*(1-E283))</f>
        <v/>
      </c>
      <c r="AV284" s="15">
        <f>MAX(0,AU283*(1-INDEX($B$11:$B$63,36))*(1-E283))</f>
        <v/>
      </c>
      <c r="AW284" s="15">
        <f>MAX(0,AV283*(1-INDEX($B$11:$B$63,37))*(1-E283))</f>
        <v/>
      </c>
      <c r="AX284" s="15">
        <f>MAX(0,AW283*(1-INDEX($B$11:$B$63,38))*(1-E283))</f>
        <v/>
      </c>
      <c r="AY284" s="15">
        <f>MAX(0,AX283*(1-INDEX($B$11:$B$63,39))*(1-E283))</f>
        <v/>
      </c>
      <c r="AZ284" s="15">
        <f>MAX(0,AY283*(1-INDEX($B$11:$B$63,40))*(1-E283))</f>
        <v/>
      </c>
      <c r="BA284" s="15">
        <f>MAX(0,AZ283*(1-INDEX($B$11:$B$63,41))*(1-E283))</f>
        <v/>
      </c>
      <c r="BB284" s="15">
        <f>MAX(0,BA283*(1-INDEX($B$11:$B$63,42))*(1-E283))</f>
        <v/>
      </c>
      <c r="BC284" s="15">
        <f>MAX(0,BB283*(1-INDEX($B$11:$B$63,43))*(1-E283))</f>
        <v/>
      </c>
      <c r="BD284" s="15">
        <f>MAX(0,BC283*(1-INDEX($B$11:$B$63,44))*(1-E283))</f>
        <v/>
      </c>
      <c r="BE284" s="15">
        <f>MAX(0,BD283*(1-INDEX($B$11:$B$63,45))*(1-E283))</f>
        <v/>
      </c>
      <c r="BF284" s="15">
        <f>MAX(0,BE283*(1-INDEX($B$11:$B$63,46))*(1-E283))</f>
        <v/>
      </c>
      <c r="BG284" s="15">
        <f>MAX(0,BF283*(1-INDEX($B$11:$B$63,47))*(1-E283))</f>
        <v/>
      </c>
      <c r="BH284" s="15">
        <f>MAX(0,BG283*(1-INDEX($B$11:$B$63,48))*(1-E283))</f>
        <v/>
      </c>
      <c r="BI284" s="15">
        <f>MAX(0,BH283*(1-INDEX($B$11:$B$63,49))*(1-E283))</f>
        <v/>
      </c>
      <c r="BJ284" s="15">
        <f>MAX(0,BI283*(1-INDEX($B$11:$B$63,50))*(1-E283))</f>
        <v/>
      </c>
      <c r="BK284" s="15">
        <f>MAX(0,BJ283*(1-INDEX($B$11:$B$63,51))*(1-E283))</f>
        <v/>
      </c>
      <c r="BL284" s="15">
        <f>MAX(0,(BL283+BK283)*(1-INDEX($B$11:$B$63,53))*(1-E283))</f>
        <v/>
      </c>
    </row>
    <row r="285">
      <c r="A285" s="55" t="n">
        <v>219</v>
      </c>
      <c r="B285" s="15">
        <f>IF(A285&gt;Inputs!$C$62,"",SUM(M285:BK285))</f>
        <v/>
      </c>
      <c r="C285" s="15">
        <f>IF(A285&gt;Inputs!$C$62,"",INDEX(Trajectory!$C$23:$C$2000,A285))</f>
        <v/>
      </c>
      <c r="D285" s="15">
        <f>IF(A285&gt;Inputs!$C$62,"",SUM(L285:BK285))</f>
        <v/>
      </c>
      <c r="E285" s="12">
        <f>IF(A285&gt;Inputs!$C$62,"",INDEX(Trajectory!$AG$23:$AG$2000,A285))</f>
        <v/>
      </c>
      <c r="F285" s="12">
        <f>IF(D285=0,0,SUMPRODUCT(L285:BK285,$B$11:$B$63)/D285)</f>
        <v/>
      </c>
      <c r="G285" s="12">
        <f>IF(D285=0,0,MIN(0.95,1-(1-F285)*(1-E285)))</f>
        <v/>
      </c>
      <c r="H285" s="15">
        <f>IF(D285=0,0,D285*G285)</f>
        <v/>
      </c>
      <c r="I285" s="15">
        <f>IF(D285=0,0,D285-H285)</f>
        <v/>
      </c>
      <c r="L285" s="15">
        <f>C285</f>
        <v/>
      </c>
      <c r="M285" s="15">
        <f>MAX(0,L284*(1-INDEX($B$11:$B$63,1))*(1-E284))</f>
        <v/>
      </c>
      <c r="N285" s="15">
        <f>MAX(0,M284*(1-INDEX($B$11:$B$63,2))*(1-E284))</f>
        <v/>
      </c>
      <c r="O285" s="15">
        <f>MAX(0,N284*(1-INDEX($B$11:$B$63,3))*(1-E284))</f>
        <v/>
      </c>
      <c r="P285" s="15">
        <f>MAX(0,O284*(1-INDEX($B$11:$B$63,4))*(1-E284))</f>
        <v/>
      </c>
      <c r="Q285" s="15">
        <f>MAX(0,P284*(1-INDEX($B$11:$B$63,5))*(1-E284))</f>
        <v/>
      </c>
      <c r="R285" s="15">
        <f>MAX(0,Q284*(1-INDEX($B$11:$B$63,6))*(1-E284))</f>
        <v/>
      </c>
      <c r="S285" s="15">
        <f>MAX(0,R284*(1-INDEX($B$11:$B$63,7))*(1-E284))</f>
        <v/>
      </c>
      <c r="T285" s="15">
        <f>MAX(0,S284*(1-INDEX($B$11:$B$63,8))*(1-E284))</f>
        <v/>
      </c>
      <c r="U285" s="15">
        <f>MAX(0,T284*(1-INDEX($B$11:$B$63,9))*(1-E284))</f>
        <v/>
      </c>
      <c r="V285" s="15">
        <f>MAX(0,U284*(1-INDEX($B$11:$B$63,10))*(1-E284))</f>
        <v/>
      </c>
      <c r="W285" s="15">
        <f>MAX(0,V284*(1-INDEX($B$11:$B$63,11))*(1-E284))</f>
        <v/>
      </c>
      <c r="X285" s="15">
        <f>MAX(0,W284*(1-INDEX($B$11:$B$63,12))*(1-E284))</f>
        <v/>
      </c>
      <c r="Y285" s="15">
        <f>MAX(0,X284*(1-INDEX($B$11:$B$63,13))*(1-E284))</f>
        <v/>
      </c>
      <c r="Z285" s="15">
        <f>MAX(0,Y284*(1-INDEX($B$11:$B$63,14))*(1-E284))</f>
        <v/>
      </c>
      <c r="AA285" s="15">
        <f>MAX(0,Z284*(1-INDEX($B$11:$B$63,15))*(1-E284))</f>
        <v/>
      </c>
      <c r="AB285" s="15">
        <f>MAX(0,AA284*(1-INDEX($B$11:$B$63,16))*(1-E284))</f>
        <v/>
      </c>
      <c r="AC285" s="15">
        <f>MAX(0,AB284*(1-INDEX($B$11:$B$63,17))*(1-E284))</f>
        <v/>
      </c>
      <c r="AD285" s="15">
        <f>MAX(0,AC284*(1-INDEX($B$11:$B$63,18))*(1-E284))</f>
        <v/>
      </c>
      <c r="AE285" s="15">
        <f>MAX(0,AD284*(1-INDEX($B$11:$B$63,19))*(1-E284))</f>
        <v/>
      </c>
      <c r="AF285" s="15">
        <f>MAX(0,AE284*(1-INDEX($B$11:$B$63,20))*(1-E284))</f>
        <v/>
      </c>
      <c r="AG285" s="15">
        <f>MAX(0,AF284*(1-INDEX($B$11:$B$63,21))*(1-E284))</f>
        <v/>
      </c>
      <c r="AH285" s="15">
        <f>MAX(0,AG284*(1-INDEX($B$11:$B$63,22))*(1-E284))</f>
        <v/>
      </c>
      <c r="AI285" s="15">
        <f>MAX(0,AH284*(1-INDEX($B$11:$B$63,23))*(1-E284))</f>
        <v/>
      </c>
      <c r="AJ285" s="15">
        <f>MAX(0,AI284*(1-INDEX($B$11:$B$63,24))*(1-E284))</f>
        <v/>
      </c>
      <c r="AK285" s="15">
        <f>MAX(0,AJ284*(1-INDEX($B$11:$B$63,25))*(1-E284))</f>
        <v/>
      </c>
      <c r="AL285" s="15">
        <f>MAX(0,AK284*(1-INDEX($B$11:$B$63,26))*(1-E284))</f>
        <v/>
      </c>
      <c r="AM285" s="15">
        <f>MAX(0,AL284*(1-INDEX($B$11:$B$63,27))*(1-E284))</f>
        <v/>
      </c>
      <c r="AN285" s="15">
        <f>MAX(0,AM284*(1-INDEX($B$11:$B$63,28))*(1-E284))</f>
        <v/>
      </c>
      <c r="AO285" s="15">
        <f>MAX(0,AN284*(1-INDEX($B$11:$B$63,29))*(1-E284))</f>
        <v/>
      </c>
      <c r="AP285" s="15">
        <f>MAX(0,AO284*(1-INDEX($B$11:$B$63,30))*(1-E284))</f>
        <v/>
      </c>
      <c r="AQ285" s="15">
        <f>MAX(0,AP284*(1-INDEX($B$11:$B$63,31))*(1-E284))</f>
        <v/>
      </c>
      <c r="AR285" s="15">
        <f>MAX(0,AQ284*(1-INDEX($B$11:$B$63,32))*(1-E284))</f>
        <v/>
      </c>
      <c r="AS285" s="15">
        <f>MAX(0,AR284*(1-INDEX($B$11:$B$63,33))*(1-E284))</f>
        <v/>
      </c>
      <c r="AT285" s="15">
        <f>MAX(0,AS284*(1-INDEX($B$11:$B$63,34))*(1-E284))</f>
        <v/>
      </c>
      <c r="AU285" s="15">
        <f>MAX(0,AT284*(1-INDEX($B$11:$B$63,35))*(1-E284))</f>
        <v/>
      </c>
      <c r="AV285" s="15">
        <f>MAX(0,AU284*(1-INDEX($B$11:$B$63,36))*(1-E284))</f>
        <v/>
      </c>
      <c r="AW285" s="15">
        <f>MAX(0,AV284*(1-INDEX($B$11:$B$63,37))*(1-E284))</f>
        <v/>
      </c>
      <c r="AX285" s="15">
        <f>MAX(0,AW284*(1-INDEX($B$11:$B$63,38))*(1-E284))</f>
        <v/>
      </c>
      <c r="AY285" s="15">
        <f>MAX(0,AX284*(1-INDEX($B$11:$B$63,39))*(1-E284))</f>
        <v/>
      </c>
      <c r="AZ285" s="15">
        <f>MAX(0,AY284*(1-INDEX($B$11:$B$63,40))*(1-E284))</f>
        <v/>
      </c>
      <c r="BA285" s="15">
        <f>MAX(0,AZ284*(1-INDEX($B$11:$B$63,41))*(1-E284))</f>
        <v/>
      </c>
      <c r="BB285" s="15">
        <f>MAX(0,BA284*(1-INDEX($B$11:$B$63,42))*(1-E284))</f>
        <v/>
      </c>
      <c r="BC285" s="15">
        <f>MAX(0,BB284*(1-INDEX($B$11:$B$63,43))*(1-E284))</f>
        <v/>
      </c>
      <c r="BD285" s="15">
        <f>MAX(0,BC284*(1-INDEX($B$11:$B$63,44))*(1-E284))</f>
        <v/>
      </c>
      <c r="BE285" s="15">
        <f>MAX(0,BD284*(1-INDEX($B$11:$B$63,45))*(1-E284))</f>
        <v/>
      </c>
      <c r="BF285" s="15">
        <f>MAX(0,BE284*(1-INDEX($B$11:$B$63,46))*(1-E284))</f>
        <v/>
      </c>
      <c r="BG285" s="15">
        <f>MAX(0,BF284*(1-INDEX($B$11:$B$63,47))*(1-E284))</f>
        <v/>
      </c>
      <c r="BH285" s="15">
        <f>MAX(0,BG284*(1-INDEX($B$11:$B$63,48))*(1-E284))</f>
        <v/>
      </c>
      <c r="BI285" s="15">
        <f>MAX(0,BH284*(1-INDEX($B$11:$B$63,49))*(1-E284))</f>
        <v/>
      </c>
      <c r="BJ285" s="15">
        <f>MAX(0,BI284*(1-INDEX($B$11:$B$63,50))*(1-E284))</f>
        <v/>
      </c>
      <c r="BK285" s="15">
        <f>MAX(0,BJ284*(1-INDEX($B$11:$B$63,51))*(1-E284))</f>
        <v/>
      </c>
      <c r="BL285" s="15">
        <f>MAX(0,(BL284+BK284)*(1-INDEX($B$11:$B$63,53))*(1-E284))</f>
        <v/>
      </c>
    </row>
    <row r="286">
      <c r="A286" s="55" t="n">
        <v>220</v>
      </c>
      <c r="B286" s="15">
        <f>IF(A286&gt;Inputs!$C$62,"",SUM(M286:BK286))</f>
        <v/>
      </c>
      <c r="C286" s="15">
        <f>IF(A286&gt;Inputs!$C$62,"",INDEX(Trajectory!$C$23:$C$2000,A286))</f>
        <v/>
      </c>
      <c r="D286" s="15">
        <f>IF(A286&gt;Inputs!$C$62,"",SUM(L286:BK286))</f>
        <v/>
      </c>
      <c r="E286" s="12">
        <f>IF(A286&gt;Inputs!$C$62,"",INDEX(Trajectory!$AG$23:$AG$2000,A286))</f>
        <v/>
      </c>
      <c r="F286" s="12">
        <f>IF(D286=0,0,SUMPRODUCT(L286:BK286,$B$11:$B$63)/D286)</f>
        <v/>
      </c>
      <c r="G286" s="12">
        <f>IF(D286=0,0,MIN(0.95,1-(1-F286)*(1-E286)))</f>
        <v/>
      </c>
      <c r="H286" s="15">
        <f>IF(D286=0,0,D286*G286)</f>
        <v/>
      </c>
      <c r="I286" s="15">
        <f>IF(D286=0,0,D286-H286)</f>
        <v/>
      </c>
      <c r="L286" s="15">
        <f>C286</f>
        <v/>
      </c>
      <c r="M286" s="15">
        <f>MAX(0,L285*(1-INDEX($B$11:$B$63,1))*(1-E285))</f>
        <v/>
      </c>
      <c r="N286" s="15">
        <f>MAX(0,M285*(1-INDEX($B$11:$B$63,2))*(1-E285))</f>
        <v/>
      </c>
      <c r="O286" s="15">
        <f>MAX(0,N285*(1-INDEX($B$11:$B$63,3))*(1-E285))</f>
        <v/>
      </c>
      <c r="P286" s="15">
        <f>MAX(0,O285*(1-INDEX($B$11:$B$63,4))*(1-E285))</f>
        <v/>
      </c>
      <c r="Q286" s="15">
        <f>MAX(0,P285*(1-INDEX($B$11:$B$63,5))*(1-E285))</f>
        <v/>
      </c>
      <c r="R286" s="15">
        <f>MAX(0,Q285*(1-INDEX($B$11:$B$63,6))*(1-E285))</f>
        <v/>
      </c>
      <c r="S286" s="15">
        <f>MAX(0,R285*(1-INDEX($B$11:$B$63,7))*(1-E285))</f>
        <v/>
      </c>
      <c r="T286" s="15">
        <f>MAX(0,S285*(1-INDEX($B$11:$B$63,8))*(1-E285))</f>
        <v/>
      </c>
      <c r="U286" s="15">
        <f>MAX(0,T285*(1-INDEX($B$11:$B$63,9))*(1-E285))</f>
        <v/>
      </c>
      <c r="V286" s="15">
        <f>MAX(0,U285*(1-INDEX($B$11:$B$63,10))*(1-E285))</f>
        <v/>
      </c>
      <c r="W286" s="15">
        <f>MAX(0,V285*(1-INDEX($B$11:$B$63,11))*(1-E285))</f>
        <v/>
      </c>
      <c r="X286" s="15">
        <f>MAX(0,W285*(1-INDEX($B$11:$B$63,12))*(1-E285))</f>
        <v/>
      </c>
      <c r="Y286" s="15">
        <f>MAX(0,X285*(1-INDEX($B$11:$B$63,13))*(1-E285))</f>
        <v/>
      </c>
      <c r="Z286" s="15">
        <f>MAX(0,Y285*(1-INDEX($B$11:$B$63,14))*(1-E285))</f>
        <v/>
      </c>
      <c r="AA286" s="15">
        <f>MAX(0,Z285*(1-INDEX($B$11:$B$63,15))*(1-E285))</f>
        <v/>
      </c>
      <c r="AB286" s="15">
        <f>MAX(0,AA285*(1-INDEX($B$11:$B$63,16))*(1-E285))</f>
        <v/>
      </c>
      <c r="AC286" s="15">
        <f>MAX(0,AB285*(1-INDEX($B$11:$B$63,17))*(1-E285))</f>
        <v/>
      </c>
      <c r="AD286" s="15">
        <f>MAX(0,AC285*(1-INDEX($B$11:$B$63,18))*(1-E285))</f>
        <v/>
      </c>
      <c r="AE286" s="15">
        <f>MAX(0,AD285*(1-INDEX($B$11:$B$63,19))*(1-E285))</f>
        <v/>
      </c>
      <c r="AF286" s="15">
        <f>MAX(0,AE285*(1-INDEX($B$11:$B$63,20))*(1-E285))</f>
        <v/>
      </c>
      <c r="AG286" s="15">
        <f>MAX(0,AF285*(1-INDEX($B$11:$B$63,21))*(1-E285))</f>
        <v/>
      </c>
      <c r="AH286" s="15">
        <f>MAX(0,AG285*(1-INDEX($B$11:$B$63,22))*(1-E285))</f>
        <v/>
      </c>
      <c r="AI286" s="15">
        <f>MAX(0,AH285*(1-INDEX($B$11:$B$63,23))*(1-E285))</f>
        <v/>
      </c>
      <c r="AJ286" s="15">
        <f>MAX(0,AI285*(1-INDEX($B$11:$B$63,24))*(1-E285))</f>
        <v/>
      </c>
      <c r="AK286" s="15">
        <f>MAX(0,AJ285*(1-INDEX($B$11:$B$63,25))*(1-E285))</f>
        <v/>
      </c>
      <c r="AL286" s="15">
        <f>MAX(0,AK285*(1-INDEX($B$11:$B$63,26))*(1-E285))</f>
        <v/>
      </c>
      <c r="AM286" s="15">
        <f>MAX(0,AL285*(1-INDEX($B$11:$B$63,27))*(1-E285))</f>
        <v/>
      </c>
      <c r="AN286" s="15">
        <f>MAX(0,AM285*(1-INDEX($B$11:$B$63,28))*(1-E285))</f>
        <v/>
      </c>
      <c r="AO286" s="15">
        <f>MAX(0,AN285*(1-INDEX($B$11:$B$63,29))*(1-E285))</f>
        <v/>
      </c>
      <c r="AP286" s="15">
        <f>MAX(0,AO285*(1-INDEX($B$11:$B$63,30))*(1-E285))</f>
        <v/>
      </c>
      <c r="AQ286" s="15">
        <f>MAX(0,AP285*(1-INDEX($B$11:$B$63,31))*(1-E285))</f>
        <v/>
      </c>
      <c r="AR286" s="15">
        <f>MAX(0,AQ285*(1-INDEX($B$11:$B$63,32))*(1-E285))</f>
        <v/>
      </c>
      <c r="AS286" s="15">
        <f>MAX(0,AR285*(1-INDEX($B$11:$B$63,33))*(1-E285))</f>
        <v/>
      </c>
      <c r="AT286" s="15">
        <f>MAX(0,AS285*(1-INDEX($B$11:$B$63,34))*(1-E285))</f>
        <v/>
      </c>
      <c r="AU286" s="15">
        <f>MAX(0,AT285*(1-INDEX($B$11:$B$63,35))*(1-E285))</f>
        <v/>
      </c>
      <c r="AV286" s="15">
        <f>MAX(0,AU285*(1-INDEX($B$11:$B$63,36))*(1-E285))</f>
        <v/>
      </c>
      <c r="AW286" s="15">
        <f>MAX(0,AV285*(1-INDEX($B$11:$B$63,37))*(1-E285))</f>
        <v/>
      </c>
      <c r="AX286" s="15">
        <f>MAX(0,AW285*(1-INDEX($B$11:$B$63,38))*(1-E285))</f>
        <v/>
      </c>
      <c r="AY286" s="15">
        <f>MAX(0,AX285*(1-INDEX($B$11:$B$63,39))*(1-E285))</f>
        <v/>
      </c>
      <c r="AZ286" s="15">
        <f>MAX(0,AY285*(1-INDEX($B$11:$B$63,40))*(1-E285))</f>
        <v/>
      </c>
      <c r="BA286" s="15">
        <f>MAX(0,AZ285*(1-INDEX($B$11:$B$63,41))*(1-E285))</f>
        <v/>
      </c>
      <c r="BB286" s="15">
        <f>MAX(0,BA285*(1-INDEX($B$11:$B$63,42))*(1-E285))</f>
        <v/>
      </c>
      <c r="BC286" s="15">
        <f>MAX(0,BB285*(1-INDEX($B$11:$B$63,43))*(1-E285))</f>
        <v/>
      </c>
      <c r="BD286" s="15">
        <f>MAX(0,BC285*(1-INDEX($B$11:$B$63,44))*(1-E285))</f>
        <v/>
      </c>
      <c r="BE286" s="15">
        <f>MAX(0,BD285*(1-INDEX($B$11:$B$63,45))*(1-E285))</f>
        <v/>
      </c>
      <c r="BF286" s="15">
        <f>MAX(0,BE285*(1-INDEX($B$11:$B$63,46))*(1-E285))</f>
        <v/>
      </c>
      <c r="BG286" s="15">
        <f>MAX(0,BF285*(1-INDEX($B$11:$B$63,47))*(1-E285))</f>
        <v/>
      </c>
      <c r="BH286" s="15">
        <f>MAX(0,BG285*(1-INDEX($B$11:$B$63,48))*(1-E285))</f>
        <v/>
      </c>
      <c r="BI286" s="15">
        <f>MAX(0,BH285*(1-INDEX($B$11:$B$63,49))*(1-E285))</f>
        <v/>
      </c>
      <c r="BJ286" s="15">
        <f>MAX(0,BI285*(1-INDEX($B$11:$B$63,50))*(1-E285))</f>
        <v/>
      </c>
      <c r="BK286" s="15">
        <f>MAX(0,BJ285*(1-INDEX($B$11:$B$63,51))*(1-E285))</f>
        <v/>
      </c>
      <c r="BL286" s="15">
        <f>MAX(0,(BL285+BK285)*(1-INDEX($B$11:$B$63,53))*(1-E285))</f>
        <v/>
      </c>
    </row>
    <row r="287">
      <c r="A287" s="55" t="n">
        <v>221</v>
      </c>
      <c r="B287" s="15">
        <f>IF(A287&gt;Inputs!$C$62,"",SUM(M287:BK287))</f>
        <v/>
      </c>
      <c r="C287" s="15">
        <f>IF(A287&gt;Inputs!$C$62,"",INDEX(Trajectory!$C$23:$C$2000,A287))</f>
        <v/>
      </c>
      <c r="D287" s="15">
        <f>IF(A287&gt;Inputs!$C$62,"",SUM(L287:BK287))</f>
        <v/>
      </c>
      <c r="E287" s="12">
        <f>IF(A287&gt;Inputs!$C$62,"",INDEX(Trajectory!$AG$23:$AG$2000,A287))</f>
        <v/>
      </c>
      <c r="F287" s="12">
        <f>IF(D287=0,0,SUMPRODUCT(L287:BK287,$B$11:$B$63)/D287)</f>
        <v/>
      </c>
      <c r="G287" s="12">
        <f>IF(D287=0,0,MIN(0.95,1-(1-F287)*(1-E287)))</f>
        <v/>
      </c>
      <c r="H287" s="15">
        <f>IF(D287=0,0,D287*G287)</f>
        <v/>
      </c>
      <c r="I287" s="15">
        <f>IF(D287=0,0,D287-H287)</f>
        <v/>
      </c>
      <c r="L287" s="15">
        <f>C287</f>
        <v/>
      </c>
      <c r="M287" s="15">
        <f>MAX(0,L286*(1-INDEX($B$11:$B$63,1))*(1-E286))</f>
        <v/>
      </c>
      <c r="N287" s="15">
        <f>MAX(0,M286*(1-INDEX($B$11:$B$63,2))*(1-E286))</f>
        <v/>
      </c>
      <c r="O287" s="15">
        <f>MAX(0,N286*(1-INDEX($B$11:$B$63,3))*(1-E286))</f>
        <v/>
      </c>
      <c r="P287" s="15">
        <f>MAX(0,O286*(1-INDEX($B$11:$B$63,4))*(1-E286))</f>
        <v/>
      </c>
      <c r="Q287" s="15">
        <f>MAX(0,P286*(1-INDEX($B$11:$B$63,5))*(1-E286))</f>
        <v/>
      </c>
      <c r="R287" s="15">
        <f>MAX(0,Q286*(1-INDEX($B$11:$B$63,6))*(1-E286))</f>
        <v/>
      </c>
      <c r="S287" s="15">
        <f>MAX(0,R286*(1-INDEX($B$11:$B$63,7))*(1-E286))</f>
        <v/>
      </c>
      <c r="T287" s="15">
        <f>MAX(0,S286*(1-INDEX($B$11:$B$63,8))*(1-E286))</f>
        <v/>
      </c>
      <c r="U287" s="15">
        <f>MAX(0,T286*(1-INDEX($B$11:$B$63,9))*(1-E286))</f>
        <v/>
      </c>
      <c r="V287" s="15">
        <f>MAX(0,U286*(1-INDEX($B$11:$B$63,10))*(1-E286))</f>
        <v/>
      </c>
      <c r="W287" s="15">
        <f>MAX(0,V286*(1-INDEX($B$11:$B$63,11))*(1-E286))</f>
        <v/>
      </c>
      <c r="X287" s="15">
        <f>MAX(0,W286*(1-INDEX($B$11:$B$63,12))*(1-E286))</f>
        <v/>
      </c>
      <c r="Y287" s="15">
        <f>MAX(0,X286*(1-INDEX($B$11:$B$63,13))*(1-E286))</f>
        <v/>
      </c>
      <c r="Z287" s="15">
        <f>MAX(0,Y286*(1-INDEX($B$11:$B$63,14))*(1-E286))</f>
        <v/>
      </c>
      <c r="AA287" s="15">
        <f>MAX(0,Z286*(1-INDEX($B$11:$B$63,15))*(1-E286))</f>
        <v/>
      </c>
      <c r="AB287" s="15">
        <f>MAX(0,AA286*(1-INDEX($B$11:$B$63,16))*(1-E286))</f>
        <v/>
      </c>
      <c r="AC287" s="15">
        <f>MAX(0,AB286*(1-INDEX($B$11:$B$63,17))*(1-E286))</f>
        <v/>
      </c>
      <c r="AD287" s="15">
        <f>MAX(0,AC286*(1-INDEX($B$11:$B$63,18))*(1-E286))</f>
        <v/>
      </c>
      <c r="AE287" s="15">
        <f>MAX(0,AD286*(1-INDEX($B$11:$B$63,19))*(1-E286))</f>
        <v/>
      </c>
      <c r="AF287" s="15">
        <f>MAX(0,AE286*(1-INDEX($B$11:$B$63,20))*(1-E286))</f>
        <v/>
      </c>
      <c r="AG287" s="15">
        <f>MAX(0,AF286*(1-INDEX($B$11:$B$63,21))*(1-E286))</f>
        <v/>
      </c>
      <c r="AH287" s="15">
        <f>MAX(0,AG286*(1-INDEX($B$11:$B$63,22))*(1-E286))</f>
        <v/>
      </c>
      <c r="AI287" s="15">
        <f>MAX(0,AH286*(1-INDEX($B$11:$B$63,23))*(1-E286))</f>
        <v/>
      </c>
      <c r="AJ287" s="15">
        <f>MAX(0,AI286*(1-INDEX($B$11:$B$63,24))*(1-E286))</f>
        <v/>
      </c>
      <c r="AK287" s="15">
        <f>MAX(0,AJ286*(1-INDEX($B$11:$B$63,25))*(1-E286))</f>
        <v/>
      </c>
      <c r="AL287" s="15">
        <f>MAX(0,AK286*(1-INDEX($B$11:$B$63,26))*(1-E286))</f>
        <v/>
      </c>
      <c r="AM287" s="15">
        <f>MAX(0,AL286*(1-INDEX($B$11:$B$63,27))*(1-E286))</f>
        <v/>
      </c>
      <c r="AN287" s="15">
        <f>MAX(0,AM286*(1-INDEX($B$11:$B$63,28))*(1-E286))</f>
        <v/>
      </c>
      <c r="AO287" s="15">
        <f>MAX(0,AN286*(1-INDEX($B$11:$B$63,29))*(1-E286))</f>
        <v/>
      </c>
      <c r="AP287" s="15">
        <f>MAX(0,AO286*(1-INDEX($B$11:$B$63,30))*(1-E286))</f>
        <v/>
      </c>
      <c r="AQ287" s="15">
        <f>MAX(0,AP286*(1-INDEX($B$11:$B$63,31))*(1-E286))</f>
        <v/>
      </c>
      <c r="AR287" s="15">
        <f>MAX(0,AQ286*(1-INDEX($B$11:$B$63,32))*(1-E286))</f>
        <v/>
      </c>
      <c r="AS287" s="15">
        <f>MAX(0,AR286*(1-INDEX($B$11:$B$63,33))*(1-E286))</f>
        <v/>
      </c>
      <c r="AT287" s="15">
        <f>MAX(0,AS286*(1-INDEX($B$11:$B$63,34))*(1-E286))</f>
        <v/>
      </c>
      <c r="AU287" s="15">
        <f>MAX(0,AT286*(1-INDEX($B$11:$B$63,35))*(1-E286))</f>
        <v/>
      </c>
      <c r="AV287" s="15">
        <f>MAX(0,AU286*(1-INDEX($B$11:$B$63,36))*(1-E286))</f>
        <v/>
      </c>
      <c r="AW287" s="15">
        <f>MAX(0,AV286*(1-INDEX($B$11:$B$63,37))*(1-E286))</f>
        <v/>
      </c>
      <c r="AX287" s="15">
        <f>MAX(0,AW286*(1-INDEX($B$11:$B$63,38))*(1-E286))</f>
        <v/>
      </c>
      <c r="AY287" s="15">
        <f>MAX(0,AX286*(1-INDEX($B$11:$B$63,39))*(1-E286))</f>
        <v/>
      </c>
      <c r="AZ287" s="15">
        <f>MAX(0,AY286*(1-INDEX($B$11:$B$63,40))*(1-E286))</f>
        <v/>
      </c>
      <c r="BA287" s="15">
        <f>MAX(0,AZ286*(1-INDEX($B$11:$B$63,41))*(1-E286))</f>
        <v/>
      </c>
      <c r="BB287" s="15">
        <f>MAX(0,BA286*(1-INDEX($B$11:$B$63,42))*(1-E286))</f>
        <v/>
      </c>
      <c r="BC287" s="15">
        <f>MAX(0,BB286*(1-INDEX($B$11:$B$63,43))*(1-E286))</f>
        <v/>
      </c>
      <c r="BD287" s="15">
        <f>MAX(0,BC286*(1-INDEX($B$11:$B$63,44))*(1-E286))</f>
        <v/>
      </c>
      <c r="BE287" s="15">
        <f>MAX(0,BD286*(1-INDEX($B$11:$B$63,45))*(1-E286))</f>
        <v/>
      </c>
      <c r="BF287" s="15">
        <f>MAX(0,BE286*(1-INDEX($B$11:$B$63,46))*(1-E286))</f>
        <v/>
      </c>
      <c r="BG287" s="15">
        <f>MAX(0,BF286*(1-INDEX($B$11:$B$63,47))*(1-E286))</f>
        <v/>
      </c>
      <c r="BH287" s="15">
        <f>MAX(0,BG286*(1-INDEX($B$11:$B$63,48))*(1-E286))</f>
        <v/>
      </c>
      <c r="BI287" s="15">
        <f>MAX(0,BH286*(1-INDEX($B$11:$B$63,49))*(1-E286))</f>
        <v/>
      </c>
      <c r="BJ287" s="15">
        <f>MAX(0,BI286*(1-INDEX($B$11:$B$63,50))*(1-E286))</f>
        <v/>
      </c>
      <c r="BK287" s="15">
        <f>MAX(0,BJ286*(1-INDEX($B$11:$B$63,51))*(1-E286))</f>
        <v/>
      </c>
      <c r="BL287" s="15">
        <f>MAX(0,(BL286+BK286)*(1-INDEX($B$11:$B$63,53))*(1-E286))</f>
        <v/>
      </c>
    </row>
    <row r="288">
      <c r="A288" s="55" t="n">
        <v>222</v>
      </c>
      <c r="B288" s="15">
        <f>IF(A288&gt;Inputs!$C$62,"",SUM(M288:BK288))</f>
        <v/>
      </c>
      <c r="C288" s="15">
        <f>IF(A288&gt;Inputs!$C$62,"",INDEX(Trajectory!$C$23:$C$2000,A288))</f>
        <v/>
      </c>
      <c r="D288" s="15">
        <f>IF(A288&gt;Inputs!$C$62,"",SUM(L288:BK288))</f>
        <v/>
      </c>
      <c r="E288" s="12">
        <f>IF(A288&gt;Inputs!$C$62,"",INDEX(Trajectory!$AG$23:$AG$2000,A288))</f>
        <v/>
      </c>
      <c r="F288" s="12">
        <f>IF(D288=0,0,SUMPRODUCT(L288:BK288,$B$11:$B$63)/D288)</f>
        <v/>
      </c>
      <c r="G288" s="12">
        <f>IF(D288=0,0,MIN(0.95,1-(1-F288)*(1-E288)))</f>
        <v/>
      </c>
      <c r="H288" s="15">
        <f>IF(D288=0,0,D288*G288)</f>
        <v/>
      </c>
      <c r="I288" s="15">
        <f>IF(D288=0,0,D288-H288)</f>
        <v/>
      </c>
      <c r="L288" s="15">
        <f>C288</f>
        <v/>
      </c>
      <c r="M288" s="15">
        <f>MAX(0,L287*(1-INDEX($B$11:$B$63,1))*(1-E287))</f>
        <v/>
      </c>
      <c r="N288" s="15">
        <f>MAX(0,M287*(1-INDEX($B$11:$B$63,2))*(1-E287))</f>
        <v/>
      </c>
      <c r="O288" s="15">
        <f>MAX(0,N287*(1-INDEX($B$11:$B$63,3))*(1-E287))</f>
        <v/>
      </c>
      <c r="P288" s="15">
        <f>MAX(0,O287*(1-INDEX($B$11:$B$63,4))*(1-E287))</f>
        <v/>
      </c>
      <c r="Q288" s="15">
        <f>MAX(0,P287*(1-INDEX($B$11:$B$63,5))*(1-E287))</f>
        <v/>
      </c>
      <c r="R288" s="15">
        <f>MAX(0,Q287*(1-INDEX($B$11:$B$63,6))*(1-E287))</f>
        <v/>
      </c>
      <c r="S288" s="15">
        <f>MAX(0,R287*(1-INDEX($B$11:$B$63,7))*(1-E287))</f>
        <v/>
      </c>
      <c r="T288" s="15">
        <f>MAX(0,S287*(1-INDEX($B$11:$B$63,8))*(1-E287))</f>
        <v/>
      </c>
      <c r="U288" s="15">
        <f>MAX(0,T287*(1-INDEX($B$11:$B$63,9))*(1-E287))</f>
        <v/>
      </c>
      <c r="V288" s="15">
        <f>MAX(0,U287*(1-INDEX($B$11:$B$63,10))*(1-E287))</f>
        <v/>
      </c>
      <c r="W288" s="15">
        <f>MAX(0,V287*(1-INDEX($B$11:$B$63,11))*(1-E287))</f>
        <v/>
      </c>
      <c r="X288" s="15">
        <f>MAX(0,W287*(1-INDEX($B$11:$B$63,12))*(1-E287))</f>
        <v/>
      </c>
      <c r="Y288" s="15">
        <f>MAX(0,X287*(1-INDEX($B$11:$B$63,13))*(1-E287))</f>
        <v/>
      </c>
      <c r="Z288" s="15">
        <f>MAX(0,Y287*(1-INDEX($B$11:$B$63,14))*(1-E287))</f>
        <v/>
      </c>
      <c r="AA288" s="15">
        <f>MAX(0,Z287*(1-INDEX($B$11:$B$63,15))*(1-E287))</f>
        <v/>
      </c>
      <c r="AB288" s="15">
        <f>MAX(0,AA287*(1-INDEX($B$11:$B$63,16))*(1-E287))</f>
        <v/>
      </c>
      <c r="AC288" s="15">
        <f>MAX(0,AB287*(1-INDEX($B$11:$B$63,17))*(1-E287))</f>
        <v/>
      </c>
      <c r="AD288" s="15">
        <f>MAX(0,AC287*(1-INDEX($B$11:$B$63,18))*(1-E287))</f>
        <v/>
      </c>
      <c r="AE288" s="15">
        <f>MAX(0,AD287*(1-INDEX($B$11:$B$63,19))*(1-E287))</f>
        <v/>
      </c>
      <c r="AF288" s="15">
        <f>MAX(0,AE287*(1-INDEX($B$11:$B$63,20))*(1-E287))</f>
        <v/>
      </c>
      <c r="AG288" s="15">
        <f>MAX(0,AF287*(1-INDEX($B$11:$B$63,21))*(1-E287))</f>
        <v/>
      </c>
      <c r="AH288" s="15">
        <f>MAX(0,AG287*(1-INDEX($B$11:$B$63,22))*(1-E287))</f>
        <v/>
      </c>
      <c r="AI288" s="15">
        <f>MAX(0,AH287*(1-INDEX($B$11:$B$63,23))*(1-E287))</f>
        <v/>
      </c>
      <c r="AJ288" s="15">
        <f>MAX(0,AI287*(1-INDEX($B$11:$B$63,24))*(1-E287))</f>
        <v/>
      </c>
      <c r="AK288" s="15">
        <f>MAX(0,AJ287*(1-INDEX($B$11:$B$63,25))*(1-E287))</f>
        <v/>
      </c>
      <c r="AL288" s="15">
        <f>MAX(0,AK287*(1-INDEX($B$11:$B$63,26))*(1-E287))</f>
        <v/>
      </c>
      <c r="AM288" s="15">
        <f>MAX(0,AL287*(1-INDEX($B$11:$B$63,27))*(1-E287))</f>
        <v/>
      </c>
      <c r="AN288" s="15">
        <f>MAX(0,AM287*(1-INDEX($B$11:$B$63,28))*(1-E287))</f>
        <v/>
      </c>
      <c r="AO288" s="15">
        <f>MAX(0,AN287*(1-INDEX($B$11:$B$63,29))*(1-E287))</f>
        <v/>
      </c>
      <c r="AP288" s="15">
        <f>MAX(0,AO287*(1-INDEX($B$11:$B$63,30))*(1-E287))</f>
        <v/>
      </c>
      <c r="AQ288" s="15">
        <f>MAX(0,AP287*(1-INDEX($B$11:$B$63,31))*(1-E287))</f>
        <v/>
      </c>
      <c r="AR288" s="15">
        <f>MAX(0,AQ287*(1-INDEX($B$11:$B$63,32))*(1-E287))</f>
        <v/>
      </c>
      <c r="AS288" s="15">
        <f>MAX(0,AR287*(1-INDEX($B$11:$B$63,33))*(1-E287))</f>
        <v/>
      </c>
      <c r="AT288" s="15">
        <f>MAX(0,AS287*(1-INDEX($B$11:$B$63,34))*(1-E287))</f>
        <v/>
      </c>
      <c r="AU288" s="15">
        <f>MAX(0,AT287*(1-INDEX($B$11:$B$63,35))*(1-E287))</f>
        <v/>
      </c>
      <c r="AV288" s="15">
        <f>MAX(0,AU287*(1-INDEX($B$11:$B$63,36))*(1-E287))</f>
        <v/>
      </c>
      <c r="AW288" s="15">
        <f>MAX(0,AV287*(1-INDEX($B$11:$B$63,37))*(1-E287))</f>
        <v/>
      </c>
      <c r="AX288" s="15">
        <f>MAX(0,AW287*(1-INDEX($B$11:$B$63,38))*(1-E287))</f>
        <v/>
      </c>
      <c r="AY288" s="15">
        <f>MAX(0,AX287*(1-INDEX($B$11:$B$63,39))*(1-E287))</f>
        <v/>
      </c>
      <c r="AZ288" s="15">
        <f>MAX(0,AY287*(1-INDEX($B$11:$B$63,40))*(1-E287))</f>
        <v/>
      </c>
      <c r="BA288" s="15">
        <f>MAX(0,AZ287*(1-INDEX($B$11:$B$63,41))*(1-E287))</f>
        <v/>
      </c>
      <c r="BB288" s="15">
        <f>MAX(0,BA287*(1-INDEX($B$11:$B$63,42))*(1-E287))</f>
        <v/>
      </c>
      <c r="BC288" s="15">
        <f>MAX(0,BB287*(1-INDEX($B$11:$B$63,43))*(1-E287))</f>
        <v/>
      </c>
      <c r="BD288" s="15">
        <f>MAX(0,BC287*(1-INDEX($B$11:$B$63,44))*(1-E287))</f>
        <v/>
      </c>
      <c r="BE288" s="15">
        <f>MAX(0,BD287*(1-INDEX($B$11:$B$63,45))*(1-E287))</f>
        <v/>
      </c>
      <c r="BF288" s="15">
        <f>MAX(0,BE287*(1-INDEX($B$11:$B$63,46))*(1-E287))</f>
        <v/>
      </c>
      <c r="BG288" s="15">
        <f>MAX(0,BF287*(1-INDEX($B$11:$B$63,47))*(1-E287))</f>
        <v/>
      </c>
      <c r="BH288" s="15">
        <f>MAX(0,BG287*(1-INDEX($B$11:$B$63,48))*(1-E287))</f>
        <v/>
      </c>
      <c r="BI288" s="15">
        <f>MAX(0,BH287*(1-INDEX($B$11:$B$63,49))*(1-E287))</f>
        <v/>
      </c>
      <c r="BJ288" s="15">
        <f>MAX(0,BI287*(1-INDEX($B$11:$B$63,50))*(1-E287))</f>
        <v/>
      </c>
      <c r="BK288" s="15">
        <f>MAX(0,BJ287*(1-INDEX($B$11:$B$63,51))*(1-E287))</f>
        <v/>
      </c>
      <c r="BL288" s="15">
        <f>MAX(0,(BL287+BK287)*(1-INDEX($B$11:$B$63,53))*(1-E287))</f>
        <v/>
      </c>
    </row>
    <row r="289">
      <c r="A289" s="55" t="n">
        <v>223</v>
      </c>
      <c r="B289" s="15">
        <f>IF(A289&gt;Inputs!$C$62,"",SUM(M289:BK289))</f>
        <v/>
      </c>
      <c r="C289" s="15">
        <f>IF(A289&gt;Inputs!$C$62,"",INDEX(Trajectory!$C$23:$C$2000,A289))</f>
        <v/>
      </c>
      <c r="D289" s="15">
        <f>IF(A289&gt;Inputs!$C$62,"",SUM(L289:BK289))</f>
        <v/>
      </c>
      <c r="E289" s="12">
        <f>IF(A289&gt;Inputs!$C$62,"",INDEX(Trajectory!$AG$23:$AG$2000,A289))</f>
        <v/>
      </c>
      <c r="F289" s="12">
        <f>IF(D289=0,0,SUMPRODUCT(L289:BK289,$B$11:$B$63)/D289)</f>
        <v/>
      </c>
      <c r="G289" s="12">
        <f>IF(D289=0,0,MIN(0.95,1-(1-F289)*(1-E289)))</f>
        <v/>
      </c>
      <c r="H289" s="15">
        <f>IF(D289=0,0,D289*G289)</f>
        <v/>
      </c>
      <c r="I289" s="15">
        <f>IF(D289=0,0,D289-H289)</f>
        <v/>
      </c>
      <c r="L289" s="15">
        <f>C289</f>
        <v/>
      </c>
      <c r="M289" s="15">
        <f>MAX(0,L288*(1-INDEX($B$11:$B$63,1))*(1-E288))</f>
        <v/>
      </c>
      <c r="N289" s="15">
        <f>MAX(0,M288*(1-INDEX($B$11:$B$63,2))*(1-E288))</f>
        <v/>
      </c>
      <c r="O289" s="15">
        <f>MAX(0,N288*(1-INDEX($B$11:$B$63,3))*(1-E288))</f>
        <v/>
      </c>
      <c r="P289" s="15">
        <f>MAX(0,O288*(1-INDEX($B$11:$B$63,4))*(1-E288))</f>
        <v/>
      </c>
      <c r="Q289" s="15">
        <f>MAX(0,P288*(1-INDEX($B$11:$B$63,5))*(1-E288))</f>
        <v/>
      </c>
      <c r="R289" s="15">
        <f>MAX(0,Q288*(1-INDEX($B$11:$B$63,6))*(1-E288))</f>
        <v/>
      </c>
      <c r="S289" s="15">
        <f>MAX(0,R288*(1-INDEX($B$11:$B$63,7))*(1-E288))</f>
        <v/>
      </c>
      <c r="T289" s="15">
        <f>MAX(0,S288*(1-INDEX($B$11:$B$63,8))*(1-E288))</f>
        <v/>
      </c>
      <c r="U289" s="15">
        <f>MAX(0,T288*(1-INDEX($B$11:$B$63,9))*(1-E288))</f>
        <v/>
      </c>
      <c r="V289" s="15">
        <f>MAX(0,U288*(1-INDEX($B$11:$B$63,10))*(1-E288))</f>
        <v/>
      </c>
      <c r="W289" s="15">
        <f>MAX(0,V288*(1-INDEX($B$11:$B$63,11))*(1-E288))</f>
        <v/>
      </c>
      <c r="X289" s="15">
        <f>MAX(0,W288*(1-INDEX($B$11:$B$63,12))*(1-E288))</f>
        <v/>
      </c>
      <c r="Y289" s="15">
        <f>MAX(0,X288*(1-INDEX($B$11:$B$63,13))*(1-E288))</f>
        <v/>
      </c>
      <c r="Z289" s="15">
        <f>MAX(0,Y288*(1-INDEX($B$11:$B$63,14))*(1-E288))</f>
        <v/>
      </c>
      <c r="AA289" s="15">
        <f>MAX(0,Z288*(1-INDEX($B$11:$B$63,15))*(1-E288))</f>
        <v/>
      </c>
      <c r="AB289" s="15">
        <f>MAX(0,AA288*(1-INDEX($B$11:$B$63,16))*(1-E288))</f>
        <v/>
      </c>
      <c r="AC289" s="15">
        <f>MAX(0,AB288*(1-INDEX($B$11:$B$63,17))*(1-E288))</f>
        <v/>
      </c>
      <c r="AD289" s="15">
        <f>MAX(0,AC288*(1-INDEX($B$11:$B$63,18))*(1-E288))</f>
        <v/>
      </c>
      <c r="AE289" s="15">
        <f>MAX(0,AD288*(1-INDEX($B$11:$B$63,19))*(1-E288))</f>
        <v/>
      </c>
      <c r="AF289" s="15">
        <f>MAX(0,AE288*(1-INDEX($B$11:$B$63,20))*(1-E288))</f>
        <v/>
      </c>
      <c r="AG289" s="15">
        <f>MAX(0,AF288*(1-INDEX($B$11:$B$63,21))*(1-E288))</f>
        <v/>
      </c>
      <c r="AH289" s="15">
        <f>MAX(0,AG288*(1-INDEX($B$11:$B$63,22))*(1-E288))</f>
        <v/>
      </c>
      <c r="AI289" s="15">
        <f>MAX(0,AH288*(1-INDEX($B$11:$B$63,23))*(1-E288))</f>
        <v/>
      </c>
      <c r="AJ289" s="15">
        <f>MAX(0,AI288*(1-INDEX($B$11:$B$63,24))*(1-E288))</f>
        <v/>
      </c>
      <c r="AK289" s="15">
        <f>MAX(0,AJ288*(1-INDEX($B$11:$B$63,25))*(1-E288))</f>
        <v/>
      </c>
      <c r="AL289" s="15">
        <f>MAX(0,AK288*(1-INDEX($B$11:$B$63,26))*(1-E288))</f>
        <v/>
      </c>
      <c r="AM289" s="15">
        <f>MAX(0,AL288*(1-INDEX($B$11:$B$63,27))*(1-E288))</f>
        <v/>
      </c>
      <c r="AN289" s="15">
        <f>MAX(0,AM288*(1-INDEX($B$11:$B$63,28))*(1-E288))</f>
        <v/>
      </c>
      <c r="AO289" s="15">
        <f>MAX(0,AN288*(1-INDEX($B$11:$B$63,29))*(1-E288))</f>
        <v/>
      </c>
      <c r="AP289" s="15">
        <f>MAX(0,AO288*(1-INDEX($B$11:$B$63,30))*(1-E288))</f>
        <v/>
      </c>
      <c r="AQ289" s="15">
        <f>MAX(0,AP288*(1-INDEX($B$11:$B$63,31))*(1-E288))</f>
        <v/>
      </c>
      <c r="AR289" s="15">
        <f>MAX(0,AQ288*(1-INDEX($B$11:$B$63,32))*(1-E288))</f>
        <v/>
      </c>
      <c r="AS289" s="15">
        <f>MAX(0,AR288*(1-INDEX($B$11:$B$63,33))*(1-E288))</f>
        <v/>
      </c>
      <c r="AT289" s="15">
        <f>MAX(0,AS288*(1-INDEX($B$11:$B$63,34))*(1-E288))</f>
        <v/>
      </c>
      <c r="AU289" s="15">
        <f>MAX(0,AT288*(1-INDEX($B$11:$B$63,35))*(1-E288))</f>
        <v/>
      </c>
      <c r="AV289" s="15">
        <f>MAX(0,AU288*(1-INDEX($B$11:$B$63,36))*(1-E288))</f>
        <v/>
      </c>
      <c r="AW289" s="15">
        <f>MAX(0,AV288*(1-INDEX($B$11:$B$63,37))*(1-E288))</f>
        <v/>
      </c>
      <c r="AX289" s="15">
        <f>MAX(0,AW288*(1-INDEX($B$11:$B$63,38))*(1-E288))</f>
        <v/>
      </c>
      <c r="AY289" s="15">
        <f>MAX(0,AX288*(1-INDEX($B$11:$B$63,39))*(1-E288))</f>
        <v/>
      </c>
      <c r="AZ289" s="15">
        <f>MAX(0,AY288*(1-INDEX($B$11:$B$63,40))*(1-E288))</f>
        <v/>
      </c>
      <c r="BA289" s="15">
        <f>MAX(0,AZ288*(1-INDEX($B$11:$B$63,41))*(1-E288))</f>
        <v/>
      </c>
      <c r="BB289" s="15">
        <f>MAX(0,BA288*(1-INDEX($B$11:$B$63,42))*(1-E288))</f>
        <v/>
      </c>
      <c r="BC289" s="15">
        <f>MAX(0,BB288*(1-INDEX($B$11:$B$63,43))*(1-E288))</f>
        <v/>
      </c>
      <c r="BD289" s="15">
        <f>MAX(0,BC288*(1-INDEX($B$11:$B$63,44))*(1-E288))</f>
        <v/>
      </c>
      <c r="BE289" s="15">
        <f>MAX(0,BD288*(1-INDEX($B$11:$B$63,45))*(1-E288))</f>
        <v/>
      </c>
      <c r="BF289" s="15">
        <f>MAX(0,BE288*(1-INDEX($B$11:$B$63,46))*(1-E288))</f>
        <v/>
      </c>
      <c r="BG289" s="15">
        <f>MAX(0,BF288*(1-INDEX($B$11:$B$63,47))*(1-E288))</f>
        <v/>
      </c>
      <c r="BH289" s="15">
        <f>MAX(0,BG288*(1-INDEX($B$11:$B$63,48))*(1-E288))</f>
        <v/>
      </c>
      <c r="BI289" s="15">
        <f>MAX(0,BH288*(1-INDEX($B$11:$B$63,49))*(1-E288))</f>
        <v/>
      </c>
      <c r="BJ289" s="15">
        <f>MAX(0,BI288*(1-INDEX($B$11:$B$63,50))*(1-E288))</f>
        <v/>
      </c>
      <c r="BK289" s="15">
        <f>MAX(0,BJ288*(1-INDEX($B$11:$B$63,51))*(1-E288))</f>
        <v/>
      </c>
      <c r="BL289" s="15">
        <f>MAX(0,(BL288+BK288)*(1-INDEX($B$11:$B$63,53))*(1-E288))</f>
        <v/>
      </c>
    </row>
    <row r="290">
      <c r="A290" s="55" t="n">
        <v>224</v>
      </c>
      <c r="B290" s="15">
        <f>IF(A290&gt;Inputs!$C$62,"",SUM(M290:BK290))</f>
        <v/>
      </c>
      <c r="C290" s="15">
        <f>IF(A290&gt;Inputs!$C$62,"",INDEX(Trajectory!$C$23:$C$2000,A290))</f>
        <v/>
      </c>
      <c r="D290" s="15">
        <f>IF(A290&gt;Inputs!$C$62,"",SUM(L290:BK290))</f>
        <v/>
      </c>
      <c r="E290" s="12">
        <f>IF(A290&gt;Inputs!$C$62,"",INDEX(Trajectory!$AG$23:$AG$2000,A290))</f>
        <v/>
      </c>
      <c r="F290" s="12">
        <f>IF(D290=0,0,SUMPRODUCT(L290:BK290,$B$11:$B$63)/D290)</f>
        <v/>
      </c>
      <c r="G290" s="12">
        <f>IF(D290=0,0,MIN(0.95,1-(1-F290)*(1-E290)))</f>
        <v/>
      </c>
      <c r="H290" s="15">
        <f>IF(D290=0,0,D290*G290)</f>
        <v/>
      </c>
      <c r="I290" s="15">
        <f>IF(D290=0,0,D290-H290)</f>
        <v/>
      </c>
      <c r="L290" s="15">
        <f>C290</f>
        <v/>
      </c>
      <c r="M290" s="15">
        <f>MAX(0,L289*(1-INDEX($B$11:$B$63,1))*(1-E289))</f>
        <v/>
      </c>
      <c r="N290" s="15">
        <f>MAX(0,M289*(1-INDEX($B$11:$B$63,2))*(1-E289))</f>
        <v/>
      </c>
      <c r="O290" s="15">
        <f>MAX(0,N289*(1-INDEX($B$11:$B$63,3))*(1-E289))</f>
        <v/>
      </c>
      <c r="P290" s="15">
        <f>MAX(0,O289*(1-INDEX($B$11:$B$63,4))*(1-E289))</f>
        <v/>
      </c>
      <c r="Q290" s="15">
        <f>MAX(0,P289*(1-INDEX($B$11:$B$63,5))*(1-E289))</f>
        <v/>
      </c>
      <c r="R290" s="15">
        <f>MAX(0,Q289*(1-INDEX($B$11:$B$63,6))*(1-E289))</f>
        <v/>
      </c>
      <c r="S290" s="15">
        <f>MAX(0,R289*(1-INDEX($B$11:$B$63,7))*(1-E289))</f>
        <v/>
      </c>
      <c r="T290" s="15">
        <f>MAX(0,S289*(1-INDEX($B$11:$B$63,8))*(1-E289))</f>
        <v/>
      </c>
      <c r="U290" s="15">
        <f>MAX(0,T289*(1-INDEX($B$11:$B$63,9))*(1-E289))</f>
        <v/>
      </c>
      <c r="V290" s="15">
        <f>MAX(0,U289*(1-INDEX($B$11:$B$63,10))*(1-E289))</f>
        <v/>
      </c>
      <c r="W290" s="15">
        <f>MAX(0,V289*(1-INDEX($B$11:$B$63,11))*(1-E289))</f>
        <v/>
      </c>
      <c r="X290" s="15">
        <f>MAX(0,W289*(1-INDEX($B$11:$B$63,12))*(1-E289))</f>
        <v/>
      </c>
      <c r="Y290" s="15">
        <f>MAX(0,X289*(1-INDEX($B$11:$B$63,13))*(1-E289))</f>
        <v/>
      </c>
      <c r="Z290" s="15">
        <f>MAX(0,Y289*(1-INDEX($B$11:$B$63,14))*(1-E289))</f>
        <v/>
      </c>
      <c r="AA290" s="15">
        <f>MAX(0,Z289*(1-INDEX($B$11:$B$63,15))*(1-E289))</f>
        <v/>
      </c>
      <c r="AB290" s="15">
        <f>MAX(0,AA289*(1-INDEX($B$11:$B$63,16))*(1-E289))</f>
        <v/>
      </c>
      <c r="AC290" s="15">
        <f>MAX(0,AB289*(1-INDEX($B$11:$B$63,17))*(1-E289))</f>
        <v/>
      </c>
      <c r="AD290" s="15">
        <f>MAX(0,AC289*(1-INDEX($B$11:$B$63,18))*(1-E289))</f>
        <v/>
      </c>
      <c r="AE290" s="15">
        <f>MAX(0,AD289*(1-INDEX($B$11:$B$63,19))*(1-E289))</f>
        <v/>
      </c>
      <c r="AF290" s="15">
        <f>MAX(0,AE289*(1-INDEX($B$11:$B$63,20))*(1-E289))</f>
        <v/>
      </c>
      <c r="AG290" s="15">
        <f>MAX(0,AF289*(1-INDEX($B$11:$B$63,21))*(1-E289))</f>
        <v/>
      </c>
      <c r="AH290" s="15">
        <f>MAX(0,AG289*(1-INDEX($B$11:$B$63,22))*(1-E289))</f>
        <v/>
      </c>
      <c r="AI290" s="15">
        <f>MAX(0,AH289*(1-INDEX($B$11:$B$63,23))*(1-E289))</f>
        <v/>
      </c>
      <c r="AJ290" s="15">
        <f>MAX(0,AI289*(1-INDEX($B$11:$B$63,24))*(1-E289))</f>
        <v/>
      </c>
      <c r="AK290" s="15">
        <f>MAX(0,AJ289*(1-INDEX($B$11:$B$63,25))*(1-E289))</f>
        <v/>
      </c>
      <c r="AL290" s="15">
        <f>MAX(0,AK289*(1-INDEX($B$11:$B$63,26))*(1-E289))</f>
        <v/>
      </c>
      <c r="AM290" s="15">
        <f>MAX(0,AL289*(1-INDEX($B$11:$B$63,27))*(1-E289))</f>
        <v/>
      </c>
      <c r="AN290" s="15">
        <f>MAX(0,AM289*(1-INDEX($B$11:$B$63,28))*(1-E289))</f>
        <v/>
      </c>
      <c r="AO290" s="15">
        <f>MAX(0,AN289*(1-INDEX($B$11:$B$63,29))*(1-E289))</f>
        <v/>
      </c>
      <c r="AP290" s="15">
        <f>MAX(0,AO289*(1-INDEX($B$11:$B$63,30))*(1-E289))</f>
        <v/>
      </c>
      <c r="AQ290" s="15">
        <f>MAX(0,AP289*(1-INDEX($B$11:$B$63,31))*(1-E289))</f>
        <v/>
      </c>
      <c r="AR290" s="15">
        <f>MAX(0,AQ289*(1-INDEX($B$11:$B$63,32))*(1-E289))</f>
        <v/>
      </c>
      <c r="AS290" s="15">
        <f>MAX(0,AR289*(1-INDEX($B$11:$B$63,33))*(1-E289))</f>
        <v/>
      </c>
      <c r="AT290" s="15">
        <f>MAX(0,AS289*(1-INDEX($B$11:$B$63,34))*(1-E289))</f>
        <v/>
      </c>
      <c r="AU290" s="15">
        <f>MAX(0,AT289*(1-INDEX($B$11:$B$63,35))*(1-E289))</f>
        <v/>
      </c>
      <c r="AV290" s="15">
        <f>MAX(0,AU289*(1-INDEX($B$11:$B$63,36))*(1-E289))</f>
        <v/>
      </c>
      <c r="AW290" s="15">
        <f>MAX(0,AV289*(1-INDEX($B$11:$B$63,37))*(1-E289))</f>
        <v/>
      </c>
      <c r="AX290" s="15">
        <f>MAX(0,AW289*(1-INDEX($B$11:$B$63,38))*(1-E289))</f>
        <v/>
      </c>
      <c r="AY290" s="15">
        <f>MAX(0,AX289*(1-INDEX($B$11:$B$63,39))*(1-E289))</f>
        <v/>
      </c>
      <c r="AZ290" s="15">
        <f>MAX(0,AY289*(1-INDEX($B$11:$B$63,40))*(1-E289))</f>
        <v/>
      </c>
      <c r="BA290" s="15">
        <f>MAX(0,AZ289*(1-INDEX($B$11:$B$63,41))*(1-E289))</f>
        <v/>
      </c>
      <c r="BB290" s="15">
        <f>MAX(0,BA289*(1-INDEX($B$11:$B$63,42))*(1-E289))</f>
        <v/>
      </c>
      <c r="BC290" s="15">
        <f>MAX(0,BB289*(1-INDEX($B$11:$B$63,43))*(1-E289))</f>
        <v/>
      </c>
      <c r="BD290" s="15">
        <f>MAX(0,BC289*(1-INDEX($B$11:$B$63,44))*(1-E289))</f>
        <v/>
      </c>
      <c r="BE290" s="15">
        <f>MAX(0,BD289*(1-INDEX($B$11:$B$63,45))*(1-E289))</f>
        <v/>
      </c>
      <c r="BF290" s="15">
        <f>MAX(0,BE289*(1-INDEX($B$11:$B$63,46))*(1-E289))</f>
        <v/>
      </c>
      <c r="BG290" s="15">
        <f>MAX(0,BF289*(1-INDEX($B$11:$B$63,47))*(1-E289))</f>
        <v/>
      </c>
      <c r="BH290" s="15">
        <f>MAX(0,BG289*(1-INDEX($B$11:$B$63,48))*(1-E289))</f>
        <v/>
      </c>
      <c r="BI290" s="15">
        <f>MAX(0,BH289*(1-INDEX($B$11:$B$63,49))*(1-E289))</f>
        <v/>
      </c>
      <c r="BJ290" s="15">
        <f>MAX(0,BI289*(1-INDEX($B$11:$B$63,50))*(1-E289))</f>
        <v/>
      </c>
      <c r="BK290" s="15">
        <f>MAX(0,BJ289*(1-INDEX($B$11:$B$63,51))*(1-E289))</f>
        <v/>
      </c>
      <c r="BL290" s="15">
        <f>MAX(0,(BL289+BK289)*(1-INDEX($B$11:$B$63,53))*(1-E289))</f>
        <v/>
      </c>
    </row>
    <row r="291">
      <c r="A291" s="55" t="n">
        <v>225</v>
      </c>
      <c r="B291" s="15">
        <f>IF(A291&gt;Inputs!$C$62,"",SUM(M291:BK291))</f>
        <v/>
      </c>
      <c r="C291" s="15">
        <f>IF(A291&gt;Inputs!$C$62,"",INDEX(Trajectory!$C$23:$C$2000,A291))</f>
        <v/>
      </c>
      <c r="D291" s="15">
        <f>IF(A291&gt;Inputs!$C$62,"",SUM(L291:BK291))</f>
        <v/>
      </c>
      <c r="E291" s="12">
        <f>IF(A291&gt;Inputs!$C$62,"",INDEX(Trajectory!$AG$23:$AG$2000,A291))</f>
        <v/>
      </c>
      <c r="F291" s="12">
        <f>IF(D291=0,0,SUMPRODUCT(L291:BK291,$B$11:$B$63)/D291)</f>
        <v/>
      </c>
      <c r="G291" s="12">
        <f>IF(D291=0,0,MIN(0.95,1-(1-F291)*(1-E291)))</f>
        <v/>
      </c>
      <c r="H291" s="15">
        <f>IF(D291=0,0,D291*G291)</f>
        <v/>
      </c>
      <c r="I291" s="15">
        <f>IF(D291=0,0,D291-H291)</f>
        <v/>
      </c>
      <c r="L291" s="15">
        <f>C291</f>
        <v/>
      </c>
      <c r="M291" s="15">
        <f>MAX(0,L290*(1-INDEX($B$11:$B$63,1))*(1-E290))</f>
        <v/>
      </c>
      <c r="N291" s="15">
        <f>MAX(0,M290*(1-INDEX($B$11:$B$63,2))*(1-E290))</f>
        <v/>
      </c>
      <c r="O291" s="15">
        <f>MAX(0,N290*(1-INDEX($B$11:$B$63,3))*(1-E290))</f>
        <v/>
      </c>
      <c r="P291" s="15">
        <f>MAX(0,O290*(1-INDEX($B$11:$B$63,4))*(1-E290))</f>
        <v/>
      </c>
      <c r="Q291" s="15">
        <f>MAX(0,P290*(1-INDEX($B$11:$B$63,5))*(1-E290))</f>
        <v/>
      </c>
      <c r="R291" s="15">
        <f>MAX(0,Q290*(1-INDEX($B$11:$B$63,6))*(1-E290))</f>
        <v/>
      </c>
      <c r="S291" s="15">
        <f>MAX(0,R290*(1-INDEX($B$11:$B$63,7))*(1-E290))</f>
        <v/>
      </c>
      <c r="T291" s="15">
        <f>MAX(0,S290*(1-INDEX($B$11:$B$63,8))*(1-E290))</f>
        <v/>
      </c>
      <c r="U291" s="15">
        <f>MAX(0,T290*(1-INDEX($B$11:$B$63,9))*(1-E290))</f>
        <v/>
      </c>
      <c r="V291" s="15">
        <f>MAX(0,U290*(1-INDEX($B$11:$B$63,10))*(1-E290))</f>
        <v/>
      </c>
      <c r="W291" s="15">
        <f>MAX(0,V290*(1-INDEX($B$11:$B$63,11))*(1-E290))</f>
        <v/>
      </c>
      <c r="X291" s="15">
        <f>MAX(0,W290*(1-INDEX($B$11:$B$63,12))*(1-E290))</f>
        <v/>
      </c>
      <c r="Y291" s="15">
        <f>MAX(0,X290*(1-INDEX($B$11:$B$63,13))*(1-E290))</f>
        <v/>
      </c>
      <c r="Z291" s="15">
        <f>MAX(0,Y290*(1-INDEX($B$11:$B$63,14))*(1-E290))</f>
        <v/>
      </c>
      <c r="AA291" s="15">
        <f>MAX(0,Z290*(1-INDEX($B$11:$B$63,15))*(1-E290))</f>
        <v/>
      </c>
      <c r="AB291" s="15">
        <f>MAX(0,AA290*(1-INDEX($B$11:$B$63,16))*(1-E290))</f>
        <v/>
      </c>
      <c r="AC291" s="15">
        <f>MAX(0,AB290*(1-INDEX($B$11:$B$63,17))*(1-E290))</f>
        <v/>
      </c>
      <c r="AD291" s="15">
        <f>MAX(0,AC290*(1-INDEX($B$11:$B$63,18))*(1-E290))</f>
        <v/>
      </c>
      <c r="AE291" s="15">
        <f>MAX(0,AD290*(1-INDEX($B$11:$B$63,19))*(1-E290))</f>
        <v/>
      </c>
      <c r="AF291" s="15">
        <f>MAX(0,AE290*(1-INDEX($B$11:$B$63,20))*(1-E290))</f>
        <v/>
      </c>
      <c r="AG291" s="15">
        <f>MAX(0,AF290*(1-INDEX($B$11:$B$63,21))*(1-E290))</f>
        <v/>
      </c>
      <c r="AH291" s="15">
        <f>MAX(0,AG290*(1-INDEX($B$11:$B$63,22))*(1-E290))</f>
        <v/>
      </c>
      <c r="AI291" s="15">
        <f>MAX(0,AH290*(1-INDEX($B$11:$B$63,23))*(1-E290))</f>
        <v/>
      </c>
      <c r="AJ291" s="15">
        <f>MAX(0,AI290*(1-INDEX($B$11:$B$63,24))*(1-E290))</f>
        <v/>
      </c>
      <c r="AK291" s="15">
        <f>MAX(0,AJ290*(1-INDEX($B$11:$B$63,25))*(1-E290))</f>
        <v/>
      </c>
      <c r="AL291" s="15">
        <f>MAX(0,AK290*(1-INDEX($B$11:$B$63,26))*(1-E290))</f>
        <v/>
      </c>
      <c r="AM291" s="15">
        <f>MAX(0,AL290*(1-INDEX($B$11:$B$63,27))*(1-E290))</f>
        <v/>
      </c>
      <c r="AN291" s="15">
        <f>MAX(0,AM290*(1-INDEX($B$11:$B$63,28))*(1-E290))</f>
        <v/>
      </c>
      <c r="AO291" s="15">
        <f>MAX(0,AN290*(1-INDEX($B$11:$B$63,29))*(1-E290))</f>
        <v/>
      </c>
      <c r="AP291" s="15">
        <f>MAX(0,AO290*(1-INDEX($B$11:$B$63,30))*(1-E290))</f>
        <v/>
      </c>
      <c r="AQ291" s="15">
        <f>MAX(0,AP290*(1-INDEX($B$11:$B$63,31))*(1-E290))</f>
        <v/>
      </c>
      <c r="AR291" s="15">
        <f>MAX(0,AQ290*(1-INDEX($B$11:$B$63,32))*(1-E290))</f>
        <v/>
      </c>
      <c r="AS291" s="15">
        <f>MAX(0,AR290*(1-INDEX($B$11:$B$63,33))*(1-E290))</f>
        <v/>
      </c>
      <c r="AT291" s="15">
        <f>MAX(0,AS290*(1-INDEX($B$11:$B$63,34))*(1-E290))</f>
        <v/>
      </c>
      <c r="AU291" s="15">
        <f>MAX(0,AT290*(1-INDEX($B$11:$B$63,35))*(1-E290))</f>
        <v/>
      </c>
      <c r="AV291" s="15">
        <f>MAX(0,AU290*(1-INDEX($B$11:$B$63,36))*(1-E290))</f>
        <v/>
      </c>
      <c r="AW291" s="15">
        <f>MAX(0,AV290*(1-INDEX($B$11:$B$63,37))*(1-E290))</f>
        <v/>
      </c>
      <c r="AX291" s="15">
        <f>MAX(0,AW290*(1-INDEX($B$11:$B$63,38))*(1-E290))</f>
        <v/>
      </c>
      <c r="AY291" s="15">
        <f>MAX(0,AX290*(1-INDEX($B$11:$B$63,39))*(1-E290))</f>
        <v/>
      </c>
      <c r="AZ291" s="15">
        <f>MAX(0,AY290*(1-INDEX($B$11:$B$63,40))*(1-E290))</f>
        <v/>
      </c>
      <c r="BA291" s="15">
        <f>MAX(0,AZ290*(1-INDEX($B$11:$B$63,41))*(1-E290))</f>
        <v/>
      </c>
      <c r="BB291" s="15">
        <f>MAX(0,BA290*(1-INDEX($B$11:$B$63,42))*(1-E290))</f>
        <v/>
      </c>
      <c r="BC291" s="15">
        <f>MAX(0,BB290*(1-INDEX($B$11:$B$63,43))*(1-E290))</f>
        <v/>
      </c>
      <c r="BD291" s="15">
        <f>MAX(0,BC290*(1-INDEX($B$11:$B$63,44))*(1-E290))</f>
        <v/>
      </c>
      <c r="BE291" s="15">
        <f>MAX(0,BD290*(1-INDEX($B$11:$B$63,45))*(1-E290))</f>
        <v/>
      </c>
      <c r="BF291" s="15">
        <f>MAX(0,BE290*(1-INDEX($B$11:$B$63,46))*(1-E290))</f>
        <v/>
      </c>
      <c r="BG291" s="15">
        <f>MAX(0,BF290*(1-INDEX($B$11:$B$63,47))*(1-E290))</f>
        <v/>
      </c>
      <c r="BH291" s="15">
        <f>MAX(0,BG290*(1-INDEX($B$11:$B$63,48))*(1-E290))</f>
        <v/>
      </c>
      <c r="BI291" s="15">
        <f>MAX(0,BH290*(1-INDEX($B$11:$B$63,49))*(1-E290))</f>
        <v/>
      </c>
      <c r="BJ291" s="15">
        <f>MAX(0,BI290*(1-INDEX($B$11:$B$63,50))*(1-E290))</f>
        <v/>
      </c>
      <c r="BK291" s="15">
        <f>MAX(0,BJ290*(1-INDEX($B$11:$B$63,51))*(1-E290))</f>
        <v/>
      </c>
      <c r="BL291" s="15">
        <f>MAX(0,(BL290+BK290)*(1-INDEX($B$11:$B$63,53))*(1-E290))</f>
        <v/>
      </c>
    </row>
    <row r="292">
      <c r="A292" s="55" t="n">
        <v>226</v>
      </c>
      <c r="B292" s="15">
        <f>IF(A292&gt;Inputs!$C$62,"",SUM(M292:BK292))</f>
        <v/>
      </c>
      <c r="C292" s="15">
        <f>IF(A292&gt;Inputs!$C$62,"",INDEX(Trajectory!$C$23:$C$2000,A292))</f>
        <v/>
      </c>
      <c r="D292" s="15">
        <f>IF(A292&gt;Inputs!$C$62,"",SUM(L292:BK292))</f>
        <v/>
      </c>
      <c r="E292" s="12">
        <f>IF(A292&gt;Inputs!$C$62,"",INDEX(Trajectory!$AG$23:$AG$2000,A292))</f>
        <v/>
      </c>
      <c r="F292" s="12">
        <f>IF(D292=0,0,SUMPRODUCT(L292:BK292,$B$11:$B$63)/D292)</f>
        <v/>
      </c>
      <c r="G292" s="12">
        <f>IF(D292=0,0,MIN(0.95,1-(1-F292)*(1-E292)))</f>
        <v/>
      </c>
      <c r="H292" s="15">
        <f>IF(D292=0,0,D292*G292)</f>
        <v/>
      </c>
      <c r="I292" s="15">
        <f>IF(D292=0,0,D292-H292)</f>
        <v/>
      </c>
      <c r="L292" s="15">
        <f>C292</f>
        <v/>
      </c>
      <c r="M292" s="15">
        <f>MAX(0,L291*(1-INDEX($B$11:$B$63,1))*(1-E291))</f>
        <v/>
      </c>
      <c r="N292" s="15">
        <f>MAX(0,M291*(1-INDEX($B$11:$B$63,2))*(1-E291))</f>
        <v/>
      </c>
      <c r="O292" s="15">
        <f>MAX(0,N291*(1-INDEX($B$11:$B$63,3))*(1-E291))</f>
        <v/>
      </c>
      <c r="P292" s="15">
        <f>MAX(0,O291*(1-INDEX($B$11:$B$63,4))*(1-E291))</f>
        <v/>
      </c>
      <c r="Q292" s="15">
        <f>MAX(0,P291*(1-INDEX($B$11:$B$63,5))*(1-E291))</f>
        <v/>
      </c>
      <c r="R292" s="15">
        <f>MAX(0,Q291*(1-INDEX($B$11:$B$63,6))*(1-E291))</f>
        <v/>
      </c>
      <c r="S292" s="15">
        <f>MAX(0,R291*(1-INDEX($B$11:$B$63,7))*(1-E291))</f>
        <v/>
      </c>
      <c r="T292" s="15">
        <f>MAX(0,S291*(1-INDEX($B$11:$B$63,8))*(1-E291))</f>
        <v/>
      </c>
      <c r="U292" s="15">
        <f>MAX(0,T291*(1-INDEX($B$11:$B$63,9))*(1-E291))</f>
        <v/>
      </c>
      <c r="V292" s="15">
        <f>MAX(0,U291*(1-INDEX($B$11:$B$63,10))*(1-E291))</f>
        <v/>
      </c>
      <c r="W292" s="15">
        <f>MAX(0,V291*(1-INDEX($B$11:$B$63,11))*(1-E291))</f>
        <v/>
      </c>
      <c r="X292" s="15">
        <f>MAX(0,W291*(1-INDEX($B$11:$B$63,12))*(1-E291))</f>
        <v/>
      </c>
      <c r="Y292" s="15">
        <f>MAX(0,X291*(1-INDEX($B$11:$B$63,13))*(1-E291))</f>
        <v/>
      </c>
      <c r="Z292" s="15">
        <f>MAX(0,Y291*(1-INDEX($B$11:$B$63,14))*(1-E291))</f>
        <v/>
      </c>
      <c r="AA292" s="15">
        <f>MAX(0,Z291*(1-INDEX($B$11:$B$63,15))*(1-E291))</f>
        <v/>
      </c>
      <c r="AB292" s="15">
        <f>MAX(0,AA291*(1-INDEX($B$11:$B$63,16))*(1-E291))</f>
        <v/>
      </c>
      <c r="AC292" s="15">
        <f>MAX(0,AB291*(1-INDEX($B$11:$B$63,17))*(1-E291))</f>
        <v/>
      </c>
      <c r="AD292" s="15">
        <f>MAX(0,AC291*(1-INDEX($B$11:$B$63,18))*(1-E291))</f>
        <v/>
      </c>
      <c r="AE292" s="15">
        <f>MAX(0,AD291*(1-INDEX($B$11:$B$63,19))*(1-E291))</f>
        <v/>
      </c>
      <c r="AF292" s="15">
        <f>MAX(0,AE291*(1-INDEX($B$11:$B$63,20))*(1-E291))</f>
        <v/>
      </c>
      <c r="AG292" s="15">
        <f>MAX(0,AF291*(1-INDEX($B$11:$B$63,21))*(1-E291))</f>
        <v/>
      </c>
      <c r="AH292" s="15">
        <f>MAX(0,AG291*(1-INDEX($B$11:$B$63,22))*(1-E291))</f>
        <v/>
      </c>
      <c r="AI292" s="15">
        <f>MAX(0,AH291*(1-INDEX($B$11:$B$63,23))*(1-E291))</f>
        <v/>
      </c>
      <c r="AJ292" s="15">
        <f>MAX(0,AI291*(1-INDEX($B$11:$B$63,24))*(1-E291))</f>
        <v/>
      </c>
      <c r="AK292" s="15">
        <f>MAX(0,AJ291*(1-INDEX($B$11:$B$63,25))*(1-E291))</f>
        <v/>
      </c>
      <c r="AL292" s="15">
        <f>MAX(0,AK291*(1-INDEX($B$11:$B$63,26))*(1-E291))</f>
        <v/>
      </c>
      <c r="AM292" s="15">
        <f>MAX(0,AL291*(1-INDEX($B$11:$B$63,27))*(1-E291))</f>
        <v/>
      </c>
      <c r="AN292" s="15">
        <f>MAX(0,AM291*(1-INDEX($B$11:$B$63,28))*(1-E291))</f>
        <v/>
      </c>
      <c r="AO292" s="15">
        <f>MAX(0,AN291*(1-INDEX($B$11:$B$63,29))*(1-E291))</f>
        <v/>
      </c>
      <c r="AP292" s="15">
        <f>MAX(0,AO291*(1-INDEX($B$11:$B$63,30))*(1-E291))</f>
        <v/>
      </c>
      <c r="AQ292" s="15">
        <f>MAX(0,AP291*(1-INDEX($B$11:$B$63,31))*(1-E291))</f>
        <v/>
      </c>
      <c r="AR292" s="15">
        <f>MAX(0,AQ291*(1-INDEX($B$11:$B$63,32))*(1-E291))</f>
        <v/>
      </c>
      <c r="AS292" s="15">
        <f>MAX(0,AR291*(1-INDEX($B$11:$B$63,33))*(1-E291))</f>
        <v/>
      </c>
      <c r="AT292" s="15">
        <f>MAX(0,AS291*(1-INDEX($B$11:$B$63,34))*(1-E291))</f>
        <v/>
      </c>
      <c r="AU292" s="15">
        <f>MAX(0,AT291*(1-INDEX($B$11:$B$63,35))*(1-E291))</f>
        <v/>
      </c>
      <c r="AV292" s="15">
        <f>MAX(0,AU291*(1-INDEX($B$11:$B$63,36))*(1-E291))</f>
        <v/>
      </c>
      <c r="AW292" s="15">
        <f>MAX(0,AV291*(1-INDEX($B$11:$B$63,37))*(1-E291))</f>
        <v/>
      </c>
      <c r="AX292" s="15">
        <f>MAX(0,AW291*(1-INDEX($B$11:$B$63,38))*(1-E291))</f>
        <v/>
      </c>
      <c r="AY292" s="15">
        <f>MAX(0,AX291*(1-INDEX($B$11:$B$63,39))*(1-E291))</f>
        <v/>
      </c>
      <c r="AZ292" s="15">
        <f>MAX(0,AY291*(1-INDEX($B$11:$B$63,40))*(1-E291))</f>
        <v/>
      </c>
      <c r="BA292" s="15">
        <f>MAX(0,AZ291*(1-INDEX($B$11:$B$63,41))*(1-E291))</f>
        <v/>
      </c>
      <c r="BB292" s="15">
        <f>MAX(0,BA291*(1-INDEX($B$11:$B$63,42))*(1-E291))</f>
        <v/>
      </c>
      <c r="BC292" s="15">
        <f>MAX(0,BB291*(1-INDEX($B$11:$B$63,43))*(1-E291))</f>
        <v/>
      </c>
      <c r="BD292" s="15">
        <f>MAX(0,BC291*(1-INDEX($B$11:$B$63,44))*(1-E291))</f>
        <v/>
      </c>
      <c r="BE292" s="15">
        <f>MAX(0,BD291*(1-INDEX($B$11:$B$63,45))*(1-E291))</f>
        <v/>
      </c>
      <c r="BF292" s="15">
        <f>MAX(0,BE291*(1-INDEX($B$11:$B$63,46))*(1-E291))</f>
        <v/>
      </c>
      <c r="BG292" s="15">
        <f>MAX(0,BF291*(1-INDEX($B$11:$B$63,47))*(1-E291))</f>
        <v/>
      </c>
      <c r="BH292" s="15">
        <f>MAX(0,BG291*(1-INDEX($B$11:$B$63,48))*(1-E291))</f>
        <v/>
      </c>
      <c r="BI292" s="15">
        <f>MAX(0,BH291*(1-INDEX($B$11:$B$63,49))*(1-E291))</f>
        <v/>
      </c>
      <c r="BJ292" s="15">
        <f>MAX(0,BI291*(1-INDEX($B$11:$B$63,50))*(1-E291))</f>
        <v/>
      </c>
      <c r="BK292" s="15">
        <f>MAX(0,BJ291*(1-INDEX($B$11:$B$63,51))*(1-E291))</f>
        <v/>
      </c>
      <c r="BL292" s="15">
        <f>MAX(0,(BL291+BK291)*(1-INDEX($B$11:$B$63,53))*(1-E291))</f>
        <v/>
      </c>
    </row>
    <row r="293">
      <c r="A293" s="55" t="n">
        <v>227</v>
      </c>
      <c r="B293" s="15">
        <f>IF(A293&gt;Inputs!$C$62,"",SUM(M293:BK293))</f>
        <v/>
      </c>
      <c r="C293" s="15">
        <f>IF(A293&gt;Inputs!$C$62,"",INDEX(Trajectory!$C$23:$C$2000,A293))</f>
        <v/>
      </c>
      <c r="D293" s="15">
        <f>IF(A293&gt;Inputs!$C$62,"",SUM(L293:BK293))</f>
        <v/>
      </c>
      <c r="E293" s="12">
        <f>IF(A293&gt;Inputs!$C$62,"",INDEX(Trajectory!$AG$23:$AG$2000,A293))</f>
        <v/>
      </c>
      <c r="F293" s="12">
        <f>IF(D293=0,0,SUMPRODUCT(L293:BK293,$B$11:$B$63)/D293)</f>
        <v/>
      </c>
      <c r="G293" s="12">
        <f>IF(D293=0,0,MIN(0.95,1-(1-F293)*(1-E293)))</f>
        <v/>
      </c>
      <c r="H293" s="15">
        <f>IF(D293=0,0,D293*G293)</f>
        <v/>
      </c>
      <c r="I293" s="15">
        <f>IF(D293=0,0,D293-H293)</f>
        <v/>
      </c>
      <c r="L293" s="15">
        <f>C293</f>
        <v/>
      </c>
      <c r="M293" s="15">
        <f>MAX(0,L292*(1-INDEX($B$11:$B$63,1))*(1-E292))</f>
        <v/>
      </c>
      <c r="N293" s="15">
        <f>MAX(0,M292*(1-INDEX($B$11:$B$63,2))*(1-E292))</f>
        <v/>
      </c>
      <c r="O293" s="15">
        <f>MAX(0,N292*(1-INDEX($B$11:$B$63,3))*(1-E292))</f>
        <v/>
      </c>
      <c r="P293" s="15">
        <f>MAX(0,O292*(1-INDEX($B$11:$B$63,4))*(1-E292))</f>
        <v/>
      </c>
      <c r="Q293" s="15">
        <f>MAX(0,P292*(1-INDEX($B$11:$B$63,5))*(1-E292))</f>
        <v/>
      </c>
      <c r="R293" s="15">
        <f>MAX(0,Q292*(1-INDEX($B$11:$B$63,6))*(1-E292))</f>
        <v/>
      </c>
      <c r="S293" s="15">
        <f>MAX(0,R292*(1-INDEX($B$11:$B$63,7))*(1-E292))</f>
        <v/>
      </c>
      <c r="T293" s="15">
        <f>MAX(0,S292*(1-INDEX($B$11:$B$63,8))*(1-E292))</f>
        <v/>
      </c>
      <c r="U293" s="15">
        <f>MAX(0,T292*(1-INDEX($B$11:$B$63,9))*(1-E292))</f>
        <v/>
      </c>
      <c r="V293" s="15">
        <f>MAX(0,U292*(1-INDEX($B$11:$B$63,10))*(1-E292))</f>
        <v/>
      </c>
      <c r="W293" s="15">
        <f>MAX(0,V292*(1-INDEX($B$11:$B$63,11))*(1-E292))</f>
        <v/>
      </c>
      <c r="X293" s="15">
        <f>MAX(0,W292*(1-INDEX($B$11:$B$63,12))*(1-E292))</f>
        <v/>
      </c>
      <c r="Y293" s="15">
        <f>MAX(0,X292*(1-INDEX($B$11:$B$63,13))*(1-E292))</f>
        <v/>
      </c>
      <c r="Z293" s="15">
        <f>MAX(0,Y292*(1-INDEX($B$11:$B$63,14))*(1-E292))</f>
        <v/>
      </c>
      <c r="AA293" s="15">
        <f>MAX(0,Z292*(1-INDEX($B$11:$B$63,15))*(1-E292))</f>
        <v/>
      </c>
      <c r="AB293" s="15">
        <f>MAX(0,AA292*(1-INDEX($B$11:$B$63,16))*(1-E292))</f>
        <v/>
      </c>
      <c r="AC293" s="15">
        <f>MAX(0,AB292*(1-INDEX($B$11:$B$63,17))*(1-E292))</f>
        <v/>
      </c>
      <c r="AD293" s="15">
        <f>MAX(0,AC292*(1-INDEX($B$11:$B$63,18))*(1-E292))</f>
        <v/>
      </c>
      <c r="AE293" s="15">
        <f>MAX(0,AD292*(1-INDEX($B$11:$B$63,19))*(1-E292))</f>
        <v/>
      </c>
      <c r="AF293" s="15">
        <f>MAX(0,AE292*(1-INDEX($B$11:$B$63,20))*(1-E292))</f>
        <v/>
      </c>
      <c r="AG293" s="15">
        <f>MAX(0,AF292*(1-INDEX($B$11:$B$63,21))*(1-E292))</f>
        <v/>
      </c>
      <c r="AH293" s="15">
        <f>MAX(0,AG292*(1-INDEX($B$11:$B$63,22))*(1-E292))</f>
        <v/>
      </c>
      <c r="AI293" s="15">
        <f>MAX(0,AH292*(1-INDEX($B$11:$B$63,23))*(1-E292))</f>
        <v/>
      </c>
      <c r="AJ293" s="15">
        <f>MAX(0,AI292*(1-INDEX($B$11:$B$63,24))*(1-E292))</f>
        <v/>
      </c>
      <c r="AK293" s="15">
        <f>MAX(0,AJ292*(1-INDEX($B$11:$B$63,25))*(1-E292))</f>
        <v/>
      </c>
      <c r="AL293" s="15">
        <f>MAX(0,AK292*(1-INDEX($B$11:$B$63,26))*(1-E292))</f>
        <v/>
      </c>
      <c r="AM293" s="15">
        <f>MAX(0,AL292*(1-INDEX($B$11:$B$63,27))*(1-E292))</f>
        <v/>
      </c>
      <c r="AN293" s="15">
        <f>MAX(0,AM292*(1-INDEX($B$11:$B$63,28))*(1-E292))</f>
        <v/>
      </c>
      <c r="AO293" s="15">
        <f>MAX(0,AN292*(1-INDEX($B$11:$B$63,29))*(1-E292))</f>
        <v/>
      </c>
      <c r="AP293" s="15">
        <f>MAX(0,AO292*(1-INDEX($B$11:$B$63,30))*(1-E292))</f>
        <v/>
      </c>
      <c r="AQ293" s="15">
        <f>MAX(0,AP292*(1-INDEX($B$11:$B$63,31))*(1-E292))</f>
        <v/>
      </c>
      <c r="AR293" s="15">
        <f>MAX(0,AQ292*(1-INDEX($B$11:$B$63,32))*(1-E292))</f>
        <v/>
      </c>
      <c r="AS293" s="15">
        <f>MAX(0,AR292*(1-INDEX($B$11:$B$63,33))*(1-E292))</f>
        <v/>
      </c>
      <c r="AT293" s="15">
        <f>MAX(0,AS292*(1-INDEX($B$11:$B$63,34))*(1-E292))</f>
        <v/>
      </c>
      <c r="AU293" s="15">
        <f>MAX(0,AT292*(1-INDEX($B$11:$B$63,35))*(1-E292))</f>
        <v/>
      </c>
      <c r="AV293" s="15">
        <f>MAX(0,AU292*(1-INDEX($B$11:$B$63,36))*(1-E292))</f>
        <v/>
      </c>
      <c r="AW293" s="15">
        <f>MAX(0,AV292*(1-INDEX($B$11:$B$63,37))*(1-E292))</f>
        <v/>
      </c>
      <c r="AX293" s="15">
        <f>MAX(0,AW292*(1-INDEX($B$11:$B$63,38))*(1-E292))</f>
        <v/>
      </c>
      <c r="AY293" s="15">
        <f>MAX(0,AX292*(1-INDEX($B$11:$B$63,39))*(1-E292))</f>
        <v/>
      </c>
      <c r="AZ293" s="15">
        <f>MAX(0,AY292*(1-INDEX($B$11:$B$63,40))*(1-E292))</f>
        <v/>
      </c>
      <c r="BA293" s="15">
        <f>MAX(0,AZ292*(1-INDEX($B$11:$B$63,41))*(1-E292))</f>
        <v/>
      </c>
      <c r="BB293" s="15">
        <f>MAX(0,BA292*(1-INDEX($B$11:$B$63,42))*(1-E292))</f>
        <v/>
      </c>
      <c r="BC293" s="15">
        <f>MAX(0,BB292*(1-INDEX($B$11:$B$63,43))*(1-E292))</f>
        <v/>
      </c>
      <c r="BD293" s="15">
        <f>MAX(0,BC292*(1-INDEX($B$11:$B$63,44))*(1-E292))</f>
        <v/>
      </c>
      <c r="BE293" s="15">
        <f>MAX(0,BD292*(1-INDEX($B$11:$B$63,45))*(1-E292))</f>
        <v/>
      </c>
      <c r="BF293" s="15">
        <f>MAX(0,BE292*(1-INDEX($B$11:$B$63,46))*(1-E292))</f>
        <v/>
      </c>
      <c r="BG293" s="15">
        <f>MAX(0,BF292*(1-INDEX($B$11:$B$63,47))*(1-E292))</f>
        <v/>
      </c>
      <c r="BH293" s="15">
        <f>MAX(0,BG292*(1-INDEX($B$11:$B$63,48))*(1-E292))</f>
        <v/>
      </c>
      <c r="BI293" s="15">
        <f>MAX(0,BH292*(1-INDEX($B$11:$B$63,49))*(1-E292))</f>
        <v/>
      </c>
      <c r="BJ293" s="15">
        <f>MAX(0,BI292*(1-INDEX($B$11:$B$63,50))*(1-E292))</f>
        <v/>
      </c>
      <c r="BK293" s="15">
        <f>MAX(0,BJ292*(1-INDEX($B$11:$B$63,51))*(1-E292))</f>
        <v/>
      </c>
      <c r="BL293" s="15">
        <f>MAX(0,(BL292+BK292)*(1-INDEX($B$11:$B$63,53))*(1-E292))</f>
        <v/>
      </c>
    </row>
    <row r="294">
      <c r="A294" s="55" t="n">
        <v>228</v>
      </c>
      <c r="B294" s="15">
        <f>IF(A294&gt;Inputs!$C$62,"",SUM(M294:BK294))</f>
        <v/>
      </c>
      <c r="C294" s="15">
        <f>IF(A294&gt;Inputs!$C$62,"",INDEX(Trajectory!$C$23:$C$2000,A294))</f>
        <v/>
      </c>
      <c r="D294" s="15">
        <f>IF(A294&gt;Inputs!$C$62,"",SUM(L294:BK294))</f>
        <v/>
      </c>
      <c r="E294" s="12">
        <f>IF(A294&gt;Inputs!$C$62,"",INDEX(Trajectory!$AG$23:$AG$2000,A294))</f>
        <v/>
      </c>
      <c r="F294" s="12">
        <f>IF(D294=0,0,SUMPRODUCT(L294:BK294,$B$11:$B$63)/D294)</f>
        <v/>
      </c>
      <c r="G294" s="12">
        <f>IF(D294=0,0,MIN(0.95,1-(1-F294)*(1-E294)))</f>
        <v/>
      </c>
      <c r="H294" s="15">
        <f>IF(D294=0,0,D294*G294)</f>
        <v/>
      </c>
      <c r="I294" s="15">
        <f>IF(D294=0,0,D294-H294)</f>
        <v/>
      </c>
      <c r="L294" s="15">
        <f>C294</f>
        <v/>
      </c>
      <c r="M294" s="15">
        <f>MAX(0,L293*(1-INDEX($B$11:$B$63,1))*(1-E293))</f>
        <v/>
      </c>
      <c r="N294" s="15">
        <f>MAX(0,M293*(1-INDEX($B$11:$B$63,2))*(1-E293))</f>
        <v/>
      </c>
      <c r="O294" s="15">
        <f>MAX(0,N293*(1-INDEX($B$11:$B$63,3))*(1-E293))</f>
        <v/>
      </c>
      <c r="P294" s="15">
        <f>MAX(0,O293*(1-INDEX($B$11:$B$63,4))*(1-E293))</f>
        <v/>
      </c>
      <c r="Q294" s="15">
        <f>MAX(0,P293*(1-INDEX($B$11:$B$63,5))*(1-E293))</f>
        <v/>
      </c>
      <c r="R294" s="15">
        <f>MAX(0,Q293*(1-INDEX($B$11:$B$63,6))*(1-E293))</f>
        <v/>
      </c>
      <c r="S294" s="15">
        <f>MAX(0,R293*(1-INDEX($B$11:$B$63,7))*(1-E293))</f>
        <v/>
      </c>
      <c r="T294" s="15">
        <f>MAX(0,S293*(1-INDEX($B$11:$B$63,8))*(1-E293))</f>
        <v/>
      </c>
      <c r="U294" s="15">
        <f>MAX(0,T293*(1-INDEX($B$11:$B$63,9))*(1-E293))</f>
        <v/>
      </c>
      <c r="V294" s="15">
        <f>MAX(0,U293*(1-INDEX($B$11:$B$63,10))*(1-E293))</f>
        <v/>
      </c>
      <c r="W294" s="15">
        <f>MAX(0,V293*(1-INDEX($B$11:$B$63,11))*(1-E293))</f>
        <v/>
      </c>
      <c r="X294" s="15">
        <f>MAX(0,W293*(1-INDEX($B$11:$B$63,12))*(1-E293))</f>
        <v/>
      </c>
      <c r="Y294" s="15">
        <f>MAX(0,X293*(1-INDEX($B$11:$B$63,13))*(1-E293))</f>
        <v/>
      </c>
      <c r="Z294" s="15">
        <f>MAX(0,Y293*(1-INDEX($B$11:$B$63,14))*(1-E293))</f>
        <v/>
      </c>
      <c r="AA294" s="15">
        <f>MAX(0,Z293*(1-INDEX($B$11:$B$63,15))*(1-E293))</f>
        <v/>
      </c>
      <c r="AB294" s="15">
        <f>MAX(0,AA293*(1-INDEX($B$11:$B$63,16))*(1-E293))</f>
        <v/>
      </c>
      <c r="AC294" s="15">
        <f>MAX(0,AB293*(1-INDEX($B$11:$B$63,17))*(1-E293))</f>
        <v/>
      </c>
      <c r="AD294" s="15">
        <f>MAX(0,AC293*(1-INDEX($B$11:$B$63,18))*(1-E293))</f>
        <v/>
      </c>
      <c r="AE294" s="15">
        <f>MAX(0,AD293*(1-INDEX($B$11:$B$63,19))*(1-E293))</f>
        <v/>
      </c>
      <c r="AF294" s="15">
        <f>MAX(0,AE293*(1-INDEX($B$11:$B$63,20))*(1-E293))</f>
        <v/>
      </c>
      <c r="AG294" s="15">
        <f>MAX(0,AF293*(1-INDEX($B$11:$B$63,21))*(1-E293))</f>
        <v/>
      </c>
      <c r="AH294" s="15">
        <f>MAX(0,AG293*(1-INDEX($B$11:$B$63,22))*(1-E293))</f>
        <v/>
      </c>
      <c r="AI294" s="15">
        <f>MAX(0,AH293*(1-INDEX($B$11:$B$63,23))*(1-E293))</f>
        <v/>
      </c>
      <c r="AJ294" s="15">
        <f>MAX(0,AI293*(1-INDEX($B$11:$B$63,24))*(1-E293))</f>
        <v/>
      </c>
      <c r="AK294" s="15">
        <f>MAX(0,AJ293*(1-INDEX($B$11:$B$63,25))*(1-E293))</f>
        <v/>
      </c>
      <c r="AL294" s="15">
        <f>MAX(0,AK293*(1-INDEX($B$11:$B$63,26))*(1-E293))</f>
        <v/>
      </c>
      <c r="AM294" s="15">
        <f>MAX(0,AL293*(1-INDEX($B$11:$B$63,27))*(1-E293))</f>
        <v/>
      </c>
      <c r="AN294" s="15">
        <f>MAX(0,AM293*(1-INDEX($B$11:$B$63,28))*(1-E293))</f>
        <v/>
      </c>
      <c r="AO294" s="15">
        <f>MAX(0,AN293*(1-INDEX($B$11:$B$63,29))*(1-E293))</f>
        <v/>
      </c>
      <c r="AP294" s="15">
        <f>MAX(0,AO293*(1-INDEX($B$11:$B$63,30))*(1-E293))</f>
        <v/>
      </c>
      <c r="AQ294" s="15">
        <f>MAX(0,AP293*(1-INDEX($B$11:$B$63,31))*(1-E293))</f>
        <v/>
      </c>
      <c r="AR294" s="15">
        <f>MAX(0,AQ293*(1-INDEX($B$11:$B$63,32))*(1-E293))</f>
        <v/>
      </c>
      <c r="AS294" s="15">
        <f>MAX(0,AR293*(1-INDEX($B$11:$B$63,33))*(1-E293))</f>
        <v/>
      </c>
      <c r="AT294" s="15">
        <f>MAX(0,AS293*(1-INDEX($B$11:$B$63,34))*(1-E293))</f>
        <v/>
      </c>
      <c r="AU294" s="15">
        <f>MAX(0,AT293*(1-INDEX($B$11:$B$63,35))*(1-E293))</f>
        <v/>
      </c>
      <c r="AV294" s="15">
        <f>MAX(0,AU293*(1-INDEX($B$11:$B$63,36))*(1-E293))</f>
        <v/>
      </c>
      <c r="AW294" s="15">
        <f>MAX(0,AV293*(1-INDEX($B$11:$B$63,37))*(1-E293))</f>
        <v/>
      </c>
      <c r="AX294" s="15">
        <f>MAX(0,AW293*(1-INDEX($B$11:$B$63,38))*(1-E293))</f>
        <v/>
      </c>
      <c r="AY294" s="15">
        <f>MAX(0,AX293*(1-INDEX($B$11:$B$63,39))*(1-E293))</f>
        <v/>
      </c>
      <c r="AZ294" s="15">
        <f>MAX(0,AY293*(1-INDEX($B$11:$B$63,40))*(1-E293))</f>
        <v/>
      </c>
      <c r="BA294" s="15">
        <f>MAX(0,AZ293*(1-INDEX($B$11:$B$63,41))*(1-E293))</f>
        <v/>
      </c>
      <c r="BB294" s="15">
        <f>MAX(0,BA293*(1-INDEX($B$11:$B$63,42))*(1-E293))</f>
        <v/>
      </c>
      <c r="BC294" s="15">
        <f>MAX(0,BB293*(1-INDEX($B$11:$B$63,43))*(1-E293))</f>
        <v/>
      </c>
      <c r="BD294" s="15">
        <f>MAX(0,BC293*(1-INDEX($B$11:$B$63,44))*(1-E293))</f>
        <v/>
      </c>
      <c r="BE294" s="15">
        <f>MAX(0,BD293*(1-INDEX($B$11:$B$63,45))*(1-E293))</f>
        <v/>
      </c>
      <c r="BF294" s="15">
        <f>MAX(0,BE293*(1-INDEX($B$11:$B$63,46))*(1-E293))</f>
        <v/>
      </c>
      <c r="BG294" s="15">
        <f>MAX(0,BF293*(1-INDEX($B$11:$B$63,47))*(1-E293))</f>
        <v/>
      </c>
      <c r="BH294" s="15">
        <f>MAX(0,BG293*(1-INDEX($B$11:$B$63,48))*(1-E293))</f>
        <v/>
      </c>
      <c r="BI294" s="15">
        <f>MAX(0,BH293*(1-INDEX($B$11:$B$63,49))*(1-E293))</f>
        <v/>
      </c>
      <c r="BJ294" s="15">
        <f>MAX(0,BI293*(1-INDEX($B$11:$B$63,50))*(1-E293))</f>
        <v/>
      </c>
      <c r="BK294" s="15">
        <f>MAX(0,BJ293*(1-INDEX($B$11:$B$63,51))*(1-E293))</f>
        <v/>
      </c>
      <c r="BL294" s="15">
        <f>MAX(0,(BL293+BK293)*(1-INDEX($B$11:$B$63,53))*(1-E293))</f>
        <v/>
      </c>
    </row>
    <row r="295">
      <c r="A295" s="55" t="n">
        <v>229</v>
      </c>
      <c r="B295" s="15">
        <f>IF(A295&gt;Inputs!$C$62,"",SUM(M295:BK295))</f>
        <v/>
      </c>
      <c r="C295" s="15">
        <f>IF(A295&gt;Inputs!$C$62,"",INDEX(Trajectory!$C$23:$C$2000,A295))</f>
        <v/>
      </c>
      <c r="D295" s="15">
        <f>IF(A295&gt;Inputs!$C$62,"",SUM(L295:BK295))</f>
        <v/>
      </c>
      <c r="E295" s="12">
        <f>IF(A295&gt;Inputs!$C$62,"",INDEX(Trajectory!$AG$23:$AG$2000,A295))</f>
        <v/>
      </c>
      <c r="F295" s="12">
        <f>IF(D295=0,0,SUMPRODUCT(L295:BK295,$B$11:$B$63)/D295)</f>
        <v/>
      </c>
      <c r="G295" s="12">
        <f>IF(D295=0,0,MIN(0.95,1-(1-F295)*(1-E295)))</f>
        <v/>
      </c>
      <c r="H295" s="15">
        <f>IF(D295=0,0,D295*G295)</f>
        <v/>
      </c>
      <c r="I295" s="15">
        <f>IF(D295=0,0,D295-H295)</f>
        <v/>
      </c>
      <c r="L295" s="15">
        <f>C295</f>
        <v/>
      </c>
      <c r="M295" s="15">
        <f>MAX(0,L294*(1-INDEX($B$11:$B$63,1))*(1-E294))</f>
        <v/>
      </c>
      <c r="N295" s="15">
        <f>MAX(0,M294*(1-INDEX($B$11:$B$63,2))*(1-E294))</f>
        <v/>
      </c>
      <c r="O295" s="15">
        <f>MAX(0,N294*(1-INDEX($B$11:$B$63,3))*(1-E294))</f>
        <v/>
      </c>
      <c r="P295" s="15">
        <f>MAX(0,O294*(1-INDEX($B$11:$B$63,4))*(1-E294))</f>
        <v/>
      </c>
      <c r="Q295" s="15">
        <f>MAX(0,P294*(1-INDEX($B$11:$B$63,5))*(1-E294))</f>
        <v/>
      </c>
      <c r="R295" s="15">
        <f>MAX(0,Q294*(1-INDEX($B$11:$B$63,6))*(1-E294))</f>
        <v/>
      </c>
      <c r="S295" s="15">
        <f>MAX(0,R294*(1-INDEX($B$11:$B$63,7))*(1-E294))</f>
        <v/>
      </c>
      <c r="T295" s="15">
        <f>MAX(0,S294*(1-INDEX($B$11:$B$63,8))*(1-E294))</f>
        <v/>
      </c>
      <c r="U295" s="15">
        <f>MAX(0,T294*(1-INDEX($B$11:$B$63,9))*(1-E294))</f>
        <v/>
      </c>
      <c r="V295" s="15">
        <f>MAX(0,U294*(1-INDEX($B$11:$B$63,10))*(1-E294))</f>
        <v/>
      </c>
      <c r="W295" s="15">
        <f>MAX(0,V294*(1-INDEX($B$11:$B$63,11))*(1-E294))</f>
        <v/>
      </c>
      <c r="X295" s="15">
        <f>MAX(0,W294*(1-INDEX($B$11:$B$63,12))*(1-E294))</f>
        <v/>
      </c>
      <c r="Y295" s="15">
        <f>MAX(0,X294*(1-INDEX($B$11:$B$63,13))*(1-E294))</f>
        <v/>
      </c>
      <c r="Z295" s="15">
        <f>MAX(0,Y294*(1-INDEX($B$11:$B$63,14))*(1-E294))</f>
        <v/>
      </c>
      <c r="AA295" s="15">
        <f>MAX(0,Z294*(1-INDEX($B$11:$B$63,15))*(1-E294))</f>
        <v/>
      </c>
      <c r="AB295" s="15">
        <f>MAX(0,AA294*(1-INDEX($B$11:$B$63,16))*(1-E294))</f>
        <v/>
      </c>
      <c r="AC295" s="15">
        <f>MAX(0,AB294*(1-INDEX($B$11:$B$63,17))*(1-E294))</f>
        <v/>
      </c>
      <c r="AD295" s="15">
        <f>MAX(0,AC294*(1-INDEX($B$11:$B$63,18))*(1-E294))</f>
        <v/>
      </c>
      <c r="AE295" s="15">
        <f>MAX(0,AD294*(1-INDEX($B$11:$B$63,19))*(1-E294))</f>
        <v/>
      </c>
      <c r="AF295" s="15">
        <f>MAX(0,AE294*(1-INDEX($B$11:$B$63,20))*(1-E294))</f>
        <v/>
      </c>
      <c r="AG295" s="15">
        <f>MAX(0,AF294*(1-INDEX($B$11:$B$63,21))*(1-E294))</f>
        <v/>
      </c>
      <c r="AH295" s="15">
        <f>MAX(0,AG294*(1-INDEX($B$11:$B$63,22))*(1-E294))</f>
        <v/>
      </c>
      <c r="AI295" s="15">
        <f>MAX(0,AH294*(1-INDEX($B$11:$B$63,23))*(1-E294))</f>
        <v/>
      </c>
      <c r="AJ295" s="15">
        <f>MAX(0,AI294*(1-INDEX($B$11:$B$63,24))*(1-E294))</f>
        <v/>
      </c>
      <c r="AK295" s="15">
        <f>MAX(0,AJ294*(1-INDEX($B$11:$B$63,25))*(1-E294))</f>
        <v/>
      </c>
      <c r="AL295" s="15">
        <f>MAX(0,AK294*(1-INDEX($B$11:$B$63,26))*(1-E294))</f>
        <v/>
      </c>
      <c r="AM295" s="15">
        <f>MAX(0,AL294*(1-INDEX($B$11:$B$63,27))*(1-E294))</f>
        <v/>
      </c>
      <c r="AN295" s="15">
        <f>MAX(0,AM294*(1-INDEX($B$11:$B$63,28))*(1-E294))</f>
        <v/>
      </c>
      <c r="AO295" s="15">
        <f>MAX(0,AN294*(1-INDEX($B$11:$B$63,29))*(1-E294))</f>
        <v/>
      </c>
      <c r="AP295" s="15">
        <f>MAX(0,AO294*(1-INDEX($B$11:$B$63,30))*(1-E294))</f>
        <v/>
      </c>
      <c r="AQ295" s="15">
        <f>MAX(0,AP294*(1-INDEX($B$11:$B$63,31))*(1-E294))</f>
        <v/>
      </c>
      <c r="AR295" s="15">
        <f>MAX(0,AQ294*(1-INDEX($B$11:$B$63,32))*(1-E294))</f>
        <v/>
      </c>
      <c r="AS295" s="15">
        <f>MAX(0,AR294*(1-INDEX($B$11:$B$63,33))*(1-E294))</f>
        <v/>
      </c>
      <c r="AT295" s="15">
        <f>MAX(0,AS294*(1-INDEX($B$11:$B$63,34))*(1-E294))</f>
        <v/>
      </c>
      <c r="AU295" s="15">
        <f>MAX(0,AT294*(1-INDEX($B$11:$B$63,35))*(1-E294))</f>
        <v/>
      </c>
      <c r="AV295" s="15">
        <f>MAX(0,AU294*(1-INDEX($B$11:$B$63,36))*(1-E294))</f>
        <v/>
      </c>
      <c r="AW295" s="15">
        <f>MAX(0,AV294*(1-INDEX($B$11:$B$63,37))*(1-E294))</f>
        <v/>
      </c>
      <c r="AX295" s="15">
        <f>MAX(0,AW294*(1-INDEX($B$11:$B$63,38))*(1-E294))</f>
        <v/>
      </c>
      <c r="AY295" s="15">
        <f>MAX(0,AX294*(1-INDEX($B$11:$B$63,39))*(1-E294))</f>
        <v/>
      </c>
      <c r="AZ295" s="15">
        <f>MAX(0,AY294*(1-INDEX($B$11:$B$63,40))*(1-E294))</f>
        <v/>
      </c>
      <c r="BA295" s="15">
        <f>MAX(0,AZ294*(1-INDEX($B$11:$B$63,41))*(1-E294))</f>
        <v/>
      </c>
      <c r="BB295" s="15">
        <f>MAX(0,BA294*(1-INDEX($B$11:$B$63,42))*(1-E294))</f>
        <v/>
      </c>
      <c r="BC295" s="15">
        <f>MAX(0,BB294*(1-INDEX($B$11:$B$63,43))*(1-E294))</f>
        <v/>
      </c>
      <c r="BD295" s="15">
        <f>MAX(0,BC294*(1-INDEX($B$11:$B$63,44))*(1-E294))</f>
        <v/>
      </c>
      <c r="BE295" s="15">
        <f>MAX(0,BD294*(1-INDEX($B$11:$B$63,45))*(1-E294))</f>
        <v/>
      </c>
      <c r="BF295" s="15">
        <f>MAX(0,BE294*(1-INDEX($B$11:$B$63,46))*(1-E294))</f>
        <v/>
      </c>
      <c r="BG295" s="15">
        <f>MAX(0,BF294*(1-INDEX($B$11:$B$63,47))*(1-E294))</f>
        <v/>
      </c>
      <c r="BH295" s="15">
        <f>MAX(0,BG294*(1-INDEX($B$11:$B$63,48))*(1-E294))</f>
        <v/>
      </c>
      <c r="BI295" s="15">
        <f>MAX(0,BH294*(1-INDEX($B$11:$B$63,49))*(1-E294))</f>
        <v/>
      </c>
      <c r="BJ295" s="15">
        <f>MAX(0,BI294*(1-INDEX($B$11:$B$63,50))*(1-E294))</f>
        <v/>
      </c>
      <c r="BK295" s="15">
        <f>MAX(0,BJ294*(1-INDEX($B$11:$B$63,51))*(1-E294))</f>
        <v/>
      </c>
      <c r="BL295" s="15">
        <f>MAX(0,(BL294+BK294)*(1-INDEX($B$11:$B$63,53))*(1-E294))</f>
        <v/>
      </c>
    </row>
    <row r="296">
      <c r="A296" s="55" t="n">
        <v>230</v>
      </c>
      <c r="B296" s="15">
        <f>IF(A296&gt;Inputs!$C$62,"",SUM(M296:BK296))</f>
        <v/>
      </c>
      <c r="C296" s="15">
        <f>IF(A296&gt;Inputs!$C$62,"",INDEX(Trajectory!$C$23:$C$2000,A296))</f>
        <v/>
      </c>
      <c r="D296" s="15">
        <f>IF(A296&gt;Inputs!$C$62,"",SUM(L296:BK296))</f>
        <v/>
      </c>
      <c r="E296" s="12">
        <f>IF(A296&gt;Inputs!$C$62,"",INDEX(Trajectory!$AG$23:$AG$2000,A296))</f>
        <v/>
      </c>
      <c r="F296" s="12">
        <f>IF(D296=0,0,SUMPRODUCT(L296:BK296,$B$11:$B$63)/D296)</f>
        <v/>
      </c>
      <c r="G296" s="12">
        <f>IF(D296=0,0,MIN(0.95,1-(1-F296)*(1-E296)))</f>
        <v/>
      </c>
      <c r="H296" s="15">
        <f>IF(D296=0,0,D296*G296)</f>
        <v/>
      </c>
      <c r="I296" s="15">
        <f>IF(D296=0,0,D296-H296)</f>
        <v/>
      </c>
      <c r="L296" s="15">
        <f>C296</f>
        <v/>
      </c>
      <c r="M296" s="15">
        <f>MAX(0,L295*(1-INDEX($B$11:$B$63,1))*(1-E295))</f>
        <v/>
      </c>
      <c r="N296" s="15">
        <f>MAX(0,M295*(1-INDEX($B$11:$B$63,2))*(1-E295))</f>
        <v/>
      </c>
      <c r="O296" s="15">
        <f>MAX(0,N295*(1-INDEX($B$11:$B$63,3))*(1-E295))</f>
        <v/>
      </c>
      <c r="P296" s="15">
        <f>MAX(0,O295*(1-INDEX($B$11:$B$63,4))*(1-E295))</f>
        <v/>
      </c>
      <c r="Q296" s="15">
        <f>MAX(0,P295*(1-INDEX($B$11:$B$63,5))*(1-E295))</f>
        <v/>
      </c>
      <c r="R296" s="15">
        <f>MAX(0,Q295*(1-INDEX($B$11:$B$63,6))*(1-E295))</f>
        <v/>
      </c>
      <c r="S296" s="15">
        <f>MAX(0,R295*(1-INDEX($B$11:$B$63,7))*(1-E295))</f>
        <v/>
      </c>
      <c r="T296" s="15">
        <f>MAX(0,S295*(1-INDEX($B$11:$B$63,8))*(1-E295))</f>
        <v/>
      </c>
      <c r="U296" s="15">
        <f>MAX(0,T295*(1-INDEX($B$11:$B$63,9))*(1-E295))</f>
        <v/>
      </c>
      <c r="V296" s="15">
        <f>MAX(0,U295*(1-INDEX($B$11:$B$63,10))*(1-E295))</f>
        <v/>
      </c>
      <c r="W296" s="15">
        <f>MAX(0,V295*(1-INDEX($B$11:$B$63,11))*(1-E295))</f>
        <v/>
      </c>
      <c r="X296" s="15">
        <f>MAX(0,W295*(1-INDEX($B$11:$B$63,12))*(1-E295))</f>
        <v/>
      </c>
      <c r="Y296" s="15">
        <f>MAX(0,X295*(1-INDEX($B$11:$B$63,13))*(1-E295))</f>
        <v/>
      </c>
      <c r="Z296" s="15">
        <f>MAX(0,Y295*(1-INDEX($B$11:$B$63,14))*(1-E295))</f>
        <v/>
      </c>
      <c r="AA296" s="15">
        <f>MAX(0,Z295*(1-INDEX($B$11:$B$63,15))*(1-E295))</f>
        <v/>
      </c>
      <c r="AB296" s="15">
        <f>MAX(0,AA295*(1-INDEX($B$11:$B$63,16))*(1-E295))</f>
        <v/>
      </c>
      <c r="AC296" s="15">
        <f>MAX(0,AB295*(1-INDEX($B$11:$B$63,17))*(1-E295))</f>
        <v/>
      </c>
      <c r="AD296" s="15">
        <f>MAX(0,AC295*(1-INDEX($B$11:$B$63,18))*(1-E295))</f>
        <v/>
      </c>
      <c r="AE296" s="15">
        <f>MAX(0,AD295*(1-INDEX($B$11:$B$63,19))*(1-E295))</f>
        <v/>
      </c>
      <c r="AF296" s="15">
        <f>MAX(0,AE295*(1-INDEX($B$11:$B$63,20))*(1-E295))</f>
        <v/>
      </c>
      <c r="AG296" s="15">
        <f>MAX(0,AF295*(1-INDEX($B$11:$B$63,21))*(1-E295))</f>
        <v/>
      </c>
      <c r="AH296" s="15">
        <f>MAX(0,AG295*(1-INDEX($B$11:$B$63,22))*(1-E295))</f>
        <v/>
      </c>
      <c r="AI296" s="15">
        <f>MAX(0,AH295*(1-INDEX($B$11:$B$63,23))*(1-E295))</f>
        <v/>
      </c>
      <c r="AJ296" s="15">
        <f>MAX(0,AI295*(1-INDEX($B$11:$B$63,24))*(1-E295))</f>
        <v/>
      </c>
      <c r="AK296" s="15">
        <f>MAX(0,AJ295*(1-INDEX($B$11:$B$63,25))*(1-E295))</f>
        <v/>
      </c>
      <c r="AL296" s="15">
        <f>MAX(0,AK295*(1-INDEX($B$11:$B$63,26))*(1-E295))</f>
        <v/>
      </c>
      <c r="AM296" s="15">
        <f>MAX(0,AL295*(1-INDEX($B$11:$B$63,27))*(1-E295))</f>
        <v/>
      </c>
      <c r="AN296" s="15">
        <f>MAX(0,AM295*(1-INDEX($B$11:$B$63,28))*(1-E295))</f>
        <v/>
      </c>
      <c r="AO296" s="15">
        <f>MAX(0,AN295*(1-INDEX($B$11:$B$63,29))*(1-E295))</f>
        <v/>
      </c>
      <c r="AP296" s="15">
        <f>MAX(0,AO295*(1-INDEX($B$11:$B$63,30))*(1-E295))</f>
        <v/>
      </c>
      <c r="AQ296" s="15">
        <f>MAX(0,AP295*(1-INDEX($B$11:$B$63,31))*(1-E295))</f>
        <v/>
      </c>
      <c r="AR296" s="15">
        <f>MAX(0,AQ295*(1-INDEX($B$11:$B$63,32))*(1-E295))</f>
        <v/>
      </c>
      <c r="AS296" s="15">
        <f>MAX(0,AR295*(1-INDEX($B$11:$B$63,33))*(1-E295))</f>
        <v/>
      </c>
      <c r="AT296" s="15">
        <f>MAX(0,AS295*(1-INDEX($B$11:$B$63,34))*(1-E295))</f>
        <v/>
      </c>
      <c r="AU296" s="15">
        <f>MAX(0,AT295*(1-INDEX($B$11:$B$63,35))*(1-E295))</f>
        <v/>
      </c>
      <c r="AV296" s="15">
        <f>MAX(0,AU295*(1-INDEX($B$11:$B$63,36))*(1-E295))</f>
        <v/>
      </c>
      <c r="AW296" s="15">
        <f>MAX(0,AV295*(1-INDEX($B$11:$B$63,37))*(1-E295))</f>
        <v/>
      </c>
      <c r="AX296" s="15">
        <f>MAX(0,AW295*(1-INDEX($B$11:$B$63,38))*(1-E295))</f>
        <v/>
      </c>
      <c r="AY296" s="15">
        <f>MAX(0,AX295*(1-INDEX($B$11:$B$63,39))*(1-E295))</f>
        <v/>
      </c>
      <c r="AZ296" s="15">
        <f>MAX(0,AY295*(1-INDEX($B$11:$B$63,40))*(1-E295))</f>
        <v/>
      </c>
      <c r="BA296" s="15">
        <f>MAX(0,AZ295*(1-INDEX($B$11:$B$63,41))*(1-E295))</f>
        <v/>
      </c>
      <c r="BB296" s="15">
        <f>MAX(0,BA295*(1-INDEX($B$11:$B$63,42))*(1-E295))</f>
        <v/>
      </c>
      <c r="BC296" s="15">
        <f>MAX(0,BB295*(1-INDEX($B$11:$B$63,43))*(1-E295))</f>
        <v/>
      </c>
      <c r="BD296" s="15">
        <f>MAX(0,BC295*(1-INDEX($B$11:$B$63,44))*(1-E295))</f>
        <v/>
      </c>
      <c r="BE296" s="15">
        <f>MAX(0,BD295*(1-INDEX($B$11:$B$63,45))*(1-E295))</f>
        <v/>
      </c>
      <c r="BF296" s="15">
        <f>MAX(0,BE295*(1-INDEX($B$11:$B$63,46))*(1-E295))</f>
        <v/>
      </c>
      <c r="BG296" s="15">
        <f>MAX(0,BF295*(1-INDEX($B$11:$B$63,47))*(1-E295))</f>
        <v/>
      </c>
      <c r="BH296" s="15">
        <f>MAX(0,BG295*(1-INDEX($B$11:$B$63,48))*(1-E295))</f>
        <v/>
      </c>
      <c r="BI296" s="15">
        <f>MAX(0,BH295*(1-INDEX($B$11:$B$63,49))*(1-E295))</f>
        <v/>
      </c>
      <c r="BJ296" s="15">
        <f>MAX(0,BI295*(1-INDEX($B$11:$B$63,50))*(1-E295))</f>
        <v/>
      </c>
      <c r="BK296" s="15">
        <f>MAX(0,BJ295*(1-INDEX($B$11:$B$63,51))*(1-E295))</f>
        <v/>
      </c>
      <c r="BL296" s="15">
        <f>MAX(0,(BL295+BK295)*(1-INDEX($B$11:$B$63,53))*(1-E295))</f>
        <v/>
      </c>
    </row>
    <row r="297">
      <c r="A297" s="55" t="n">
        <v>231</v>
      </c>
      <c r="B297" s="15">
        <f>IF(A297&gt;Inputs!$C$62,"",SUM(M297:BK297))</f>
        <v/>
      </c>
      <c r="C297" s="15">
        <f>IF(A297&gt;Inputs!$C$62,"",INDEX(Trajectory!$C$23:$C$2000,A297))</f>
        <v/>
      </c>
      <c r="D297" s="15">
        <f>IF(A297&gt;Inputs!$C$62,"",SUM(L297:BK297))</f>
        <v/>
      </c>
      <c r="E297" s="12">
        <f>IF(A297&gt;Inputs!$C$62,"",INDEX(Trajectory!$AG$23:$AG$2000,A297))</f>
        <v/>
      </c>
      <c r="F297" s="12">
        <f>IF(D297=0,0,SUMPRODUCT(L297:BK297,$B$11:$B$63)/D297)</f>
        <v/>
      </c>
      <c r="G297" s="12">
        <f>IF(D297=0,0,MIN(0.95,1-(1-F297)*(1-E297)))</f>
        <v/>
      </c>
      <c r="H297" s="15">
        <f>IF(D297=0,0,D297*G297)</f>
        <v/>
      </c>
      <c r="I297" s="15">
        <f>IF(D297=0,0,D297-H297)</f>
        <v/>
      </c>
      <c r="L297" s="15">
        <f>C297</f>
        <v/>
      </c>
      <c r="M297" s="15">
        <f>MAX(0,L296*(1-INDEX($B$11:$B$63,1))*(1-E296))</f>
        <v/>
      </c>
      <c r="N297" s="15">
        <f>MAX(0,M296*(1-INDEX($B$11:$B$63,2))*(1-E296))</f>
        <v/>
      </c>
      <c r="O297" s="15">
        <f>MAX(0,N296*(1-INDEX($B$11:$B$63,3))*(1-E296))</f>
        <v/>
      </c>
      <c r="P297" s="15">
        <f>MAX(0,O296*(1-INDEX($B$11:$B$63,4))*(1-E296))</f>
        <v/>
      </c>
      <c r="Q297" s="15">
        <f>MAX(0,P296*(1-INDEX($B$11:$B$63,5))*(1-E296))</f>
        <v/>
      </c>
      <c r="R297" s="15">
        <f>MAX(0,Q296*(1-INDEX($B$11:$B$63,6))*(1-E296))</f>
        <v/>
      </c>
      <c r="S297" s="15">
        <f>MAX(0,R296*(1-INDEX($B$11:$B$63,7))*(1-E296))</f>
        <v/>
      </c>
      <c r="T297" s="15">
        <f>MAX(0,S296*(1-INDEX($B$11:$B$63,8))*(1-E296))</f>
        <v/>
      </c>
      <c r="U297" s="15">
        <f>MAX(0,T296*(1-INDEX($B$11:$B$63,9))*(1-E296))</f>
        <v/>
      </c>
      <c r="V297" s="15">
        <f>MAX(0,U296*(1-INDEX($B$11:$B$63,10))*(1-E296))</f>
        <v/>
      </c>
      <c r="W297" s="15">
        <f>MAX(0,V296*(1-INDEX($B$11:$B$63,11))*(1-E296))</f>
        <v/>
      </c>
      <c r="X297" s="15">
        <f>MAX(0,W296*(1-INDEX($B$11:$B$63,12))*(1-E296))</f>
        <v/>
      </c>
      <c r="Y297" s="15">
        <f>MAX(0,X296*(1-INDEX($B$11:$B$63,13))*(1-E296))</f>
        <v/>
      </c>
      <c r="Z297" s="15">
        <f>MAX(0,Y296*(1-INDEX($B$11:$B$63,14))*(1-E296))</f>
        <v/>
      </c>
      <c r="AA297" s="15">
        <f>MAX(0,Z296*(1-INDEX($B$11:$B$63,15))*(1-E296))</f>
        <v/>
      </c>
      <c r="AB297" s="15">
        <f>MAX(0,AA296*(1-INDEX($B$11:$B$63,16))*(1-E296))</f>
        <v/>
      </c>
      <c r="AC297" s="15">
        <f>MAX(0,AB296*(1-INDEX($B$11:$B$63,17))*(1-E296))</f>
        <v/>
      </c>
      <c r="AD297" s="15">
        <f>MAX(0,AC296*(1-INDEX($B$11:$B$63,18))*(1-E296))</f>
        <v/>
      </c>
      <c r="AE297" s="15">
        <f>MAX(0,AD296*(1-INDEX($B$11:$B$63,19))*(1-E296))</f>
        <v/>
      </c>
      <c r="AF297" s="15">
        <f>MAX(0,AE296*(1-INDEX($B$11:$B$63,20))*(1-E296))</f>
        <v/>
      </c>
      <c r="AG297" s="15">
        <f>MAX(0,AF296*(1-INDEX($B$11:$B$63,21))*(1-E296))</f>
        <v/>
      </c>
      <c r="AH297" s="15">
        <f>MAX(0,AG296*(1-INDEX($B$11:$B$63,22))*(1-E296))</f>
        <v/>
      </c>
      <c r="AI297" s="15">
        <f>MAX(0,AH296*(1-INDEX($B$11:$B$63,23))*(1-E296))</f>
        <v/>
      </c>
      <c r="AJ297" s="15">
        <f>MAX(0,AI296*(1-INDEX($B$11:$B$63,24))*(1-E296))</f>
        <v/>
      </c>
      <c r="AK297" s="15">
        <f>MAX(0,AJ296*(1-INDEX($B$11:$B$63,25))*(1-E296))</f>
        <v/>
      </c>
      <c r="AL297" s="15">
        <f>MAX(0,AK296*(1-INDEX($B$11:$B$63,26))*(1-E296))</f>
        <v/>
      </c>
      <c r="AM297" s="15">
        <f>MAX(0,AL296*(1-INDEX($B$11:$B$63,27))*(1-E296))</f>
        <v/>
      </c>
      <c r="AN297" s="15">
        <f>MAX(0,AM296*(1-INDEX($B$11:$B$63,28))*(1-E296))</f>
        <v/>
      </c>
      <c r="AO297" s="15">
        <f>MAX(0,AN296*(1-INDEX($B$11:$B$63,29))*(1-E296))</f>
        <v/>
      </c>
      <c r="AP297" s="15">
        <f>MAX(0,AO296*(1-INDEX($B$11:$B$63,30))*(1-E296))</f>
        <v/>
      </c>
      <c r="AQ297" s="15">
        <f>MAX(0,AP296*(1-INDEX($B$11:$B$63,31))*(1-E296))</f>
        <v/>
      </c>
      <c r="AR297" s="15">
        <f>MAX(0,AQ296*(1-INDEX($B$11:$B$63,32))*(1-E296))</f>
        <v/>
      </c>
      <c r="AS297" s="15">
        <f>MAX(0,AR296*(1-INDEX($B$11:$B$63,33))*(1-E296))</f>
        <v/>
      </c>
      <c r="AT297" s="15">
        <f>MAX(0,AS296*(1-INDEX($B$11:$B$63,34))*(1-E296))</f>
        <v/>
      </c>
      <c r="AU297" s="15">
        <f>MAX(0,AT296*(1-INDEX($B$11:$B$63,35))*(1-E296))</f>
        <v/>
      </c>
      <c r="AV297" s="15">
        <f>MAX(0,AU296*(1-INDEX($B$11:$B$63,36))*(1-E296))</f>
        <v/>
      </c>
      <c r="AW297" s="15">
        <f>MAX(0,AV296*(1-INDEX($B$11:$B$63,37))*(1-E296))</f>
        <v/>
      </c>
      <c r="AX297" s="15">
        <f>MAX(0,AW296*(1-INDEX($B$11:$B$63,38))*(1-E296))</f>
        <v/>
      </c>
      <c r="AY297" s="15">
        <f>MAX(0,AX296*(1-INDEX($B$11:$B$63,39))*(1-E296))</f>
        <v/>
      </c>
      <c r="AZ297" s="15">
        <f>MAX(0,AY296*(1-INDEX($B$11:$B$63,40))*(1-E296))</f>
        <v/>
      </c>
      <c r="BA297" s="15">
        <f>MAX(0,AZ296*(1-INDEX($B$11:$B$63,41))*(1-E296))</f>
        <v/>
      </c>
      <c r="BB297" s="15">
        <f>MAX(0,BA296*(1-INDEX($B$11:$B$63,42))*(1-E296))</f>
        <v/>
      </c>
      <c r="BC297" s="15">
        <f>MAX(0,BB296*(1-INDEX($B$11:$B$63,43))*(1-E296))</f>
        <v/>
      </c>
      <c r="BD297" s="15">
        <f>MAX(0,BC296*(1-INDEX($B$11:$B$63,44))*(1-E296))</f>
        <v/>
      </c>
      <c r="BE297" s="15">
        <f>MAX(0,BD296*(1-INDEX($B$11:$B$63,45))*(1-E296))</f>
        <v/>
      </c>
      <c r="BF297" s="15">
        <f>MAX(0,BE296*(1-INDEX($B$11:$B$63,46))*(1-E296))</f>
        <v/>
      </c>
      <c r="BG297" s="15">
        <f>MAX(0,BF296*(1-INDEX($B$11:$B$63,47))*(1-E296))</f>
        <v/>
      </c>
      <c r="BH297" s="15">
        <f>MAX(0,BG296*(1-INDEX($B$11:$B$63,48))*(1-E296))</f>
        <v/>
      </c>
      <c r="BI297" s="15">
        <f>MAX(0,BH296*(1-INDEX($B$11:$B$63,49))*(1-E296))</f>
        <v/>
      </c>
      <c r="BJ297" s="15">
        <f>MAX(0,BI296*(1-INDEX($B$11:$B$63,50))*(1-E296))</f>
        <v/>
      </c>
      <c r="BK297" s="15">
        <f>MAX(0,BJ296*(1-INDEX($B$11:$B$63,51))*(1-E296))</f>
        <v/>
      </c>
      <c r="BL297" s="15">
        <f>MAX(0,(BL296+BK296)*(1-INDEX($B$11:$B$63,53))*(1-E296))</f>
        <v/>
      </c>
    </row>
    <row r="298">
      <c r="A298" s="55" t="n">
        <v>232</v>
      </c>
      <c r="B298" s="15">
        <f>IF(A298&gt;Inputs!$C$62,"",SUM(M298:BK298))</f>
        <v/>
      </c>
      <c r="C298" s="15">
        <f>IF(A298&gt;Inputs!$C$62,"",INDEX(Trajectory!$C$23:$C$2000,A298))</f>
        <v/>
      </c>
      <c r="D298" s="15">
        <f>IF(A298&gt;Inputs!$C$62,"",SUM(L298:BK298))</f>
        <v/>
      </c>
      <c r="E298" s="12">
        <f>IF(A298&gt;Inputs!$C$62,"",INDEX(Trajectory!$AG$23:$AG$2000,A298))</f>
        <v/>
      </c>
      <c r="F298" s="12">
        <f>IF(D298=0,0,SUMPRODUCT(L298:BK298,$B$11:$B$63)/D298)</f>
        <v/>
      </c>
      <c r="G298" s="12">
        <f>IF(D298=0,0,MIN(0.95,1-(1-F298)*(1-E298)))</f>
        <v/>
      </c>
      <c r="H298" s="15">
        <f>IF(D298=0,0,D298*G298)</f>
        <v/>
      </c>
      <c r="I298" s="15">
        <f>IF(D298=0,0,D298-H298)</f>
        <v/>
      </c>
      <c r="L298" s="15">
        <f>C298</f>
        <v/>
      </c>
      <c r="M298" s="15">
        <f>MAX(0,L297*(1-INDEX($B$11:$B$63,1))*(1-E297))</f>
        <v/>
      </c>
      <c r="N298" s="15">
        <f>MAX(0,M297*(1-INDEX($B$11:$B$63,2))*(1-E297))</f>
        <v/>
      </c>
      <c r="O298" s="15">
        <f>MAX(0,N297*(1-INDEX($B$11:$B$63,3))*(1-E297))</f>
        <v/>
      </c>
      <c r="P298" s="15">
        <f>MAX(0,O297*(1-INDEX($B$11:$B$63,4))*(1-E297))</f>
        <v/>
      </c>
      <c r="Q298" s="15">
        <f>MAX(0,P297*(1-INDEX($B$11:$B$63,5))*(1-E297))</f>
        <v/>
      </c>
      <c r="R298" s="15">
        <f>MAX(0,Q297*(1-INDEX($B$11:$B$63,6))*(1-E297))</f>
        <v/>
      </c>
      <c r="S298" s="15">
        <f>MAX(0,R297*(1-INDEX($B$11:$B$63,7))*(1-E297))</f>
        <v/>
      </c>
      <c r="T298" s="15">
        <f>MAX(0,S297*(1-INDEX($B$11:$B$63,8))*(1-E297))</f>
        <v/>
      </c>
      <c r="U298" s="15">
        <f>MAX(0,T297*(1-INDEX($B$11:$B$63,9))*(1-E297))</f>
        <v/>
      </c>
      <c r="V298" s="15">
        <f>MAX(0,U297*(1-INDEX($B$11:$B$63,10))*(1-E297))</f>
        <v/>
      </c>
      <c r="W298" s="15">
        <f>MAX(0,V297*(1-INDEX($B$11:$B$63,11))*(1-E297))</f>
        <v/>
      </c>
      <c r="X298" s="15">
        <f>MAX(0,W297*(1-INDEX($B$11:$B$63,12))*(1-E297))</f>
        <v/>
      </c>
      <c r="Y298" s="15">
        <f>MAX(0,X297*(1-INDEX($B$11:$B$63,13))*(1-E297))</f>
        <v/>
      </c>
      <c r="Z298" s="15">
        <f>MAX(0,Y297*(1-INDEX($B$11:$B$63,14))*(1-E297))</f>
        <v/>
      </c>
      <c r="AA298" s="15">
        <f>MAX(0,Z297*(1-INDEX($B$11:$B$63,15))*(1-E297))</f>
        <v/>
      </c>
      <c r="AB298" s="15">
        <f>MAX(0,AA297*(1-INDEX($B$11:$B$63,16))*(1-E297))</f>
        <v/>
      </c>
      <c r="AC298" s="15">
        <f>MAX(0,AB297*(1-INDEX($B$11:$B$63,17))*(1-E297))</f>
        <v/>
      </c>
      <c r="AD298" s="15">
        <f>MAX(0,AC297*(1-INDEX($B$11:$B$63,18))*(1-E297))</f>
        <v/>
      </c>
      <c r="AE298" s="15">
        <f>MAX(0,AD297*(1-INDEX($B$11:$B$63,19))*(1-E297))</f>
        <v/>
      </c>
      <c r="AF298" s="15">
        <f>MAX(0,AE297*(1-INDEX($B$11:$B$63,20))*(1-E297))</f>
        <v/>
      </c>
      <c r="AG298" s="15">
        <f>MAX(0,AF297*(1-INDEX($B$11:$B$63,21))*(1-E297))</f>
        <v/>
      </c>
      <c r="AH298" s="15">
        <f>MAX(0,AG297*(1-INDEX($B$11:$B$63,22))*(1-E297))</f>
        <v/>
      </c>
      <c r="AI298" s="15">
        <f>MAX(0,AH297*(1-INDEX($B$11:$B$63,23))*(1-E297))</f>
        <v/>
      </c>
      <c r="AJ298" s="15">
        <f>MAX(0,AI297*(1-INDEX($B$11:$B$63,24))*(1-E297))</f>
        <v/>
      </c>
      <c r="AK298" s="15">
        <f>MAX(0,AJ297*(1-INDEX($B$11:$B$63,25))*(1-E297))</f>
        <v/>
      </c>
      <c r="AL298" s="15">
        <f>MAX(0,AK297*(1-INDEX($B$11:$B$63,26))*(1-E297))</f>
        <v/>
      </c>
      <c r="AM298" s="15">
        <f>MAX(0,AL297*(1-INDEX($B$11:$B$63,27))*(1-E297))</f>
        <v/>
      </c>
      <c r="AN298" s="15">
        <f>MAX(0,AM297*(1-INDEX($B$11:$B$63,28))*(1-E297))</f>
        <v/>
      </c>
      <c r="AO298" s="15">
        <f>MAX(0,AN297*(1-INDEX($B$11:$B$63,29))*(1-E297))</f>
        <v/>
      </c>
      <c r="AP298" s="15">
        <f>MAX(0,AO297*(1-INDEX($B$11:$B$63,30))*(1-E297))</f>
        <v/>
      </c>
      <c r="AQ298" s="15">
        <f>MAX(0,AP297*(1-INDEX($B$11:$B$63,31))*(1-E297))</f>
        <v/>
      </c>
      <c r="AR298" s="15">
        <f>MAX(0,AQ297*(1-INDEX($B$11:$B$63,32))*(1-E297))</f>
        <v/>
      </c>
      <c r="AS298" s="15">
        <f>MAX(0,AR297*(1-INDEX($B$11:$B$63,33))*(1-E297))</f>
        <v/>
      </c>
      <c r="AT298" s="15">
        <f>MAX(0,AS297*(1-INDEX($B$11:$B$63,34))*(1-E297))</f>
        <v/>
      </c>
      <c r="AU298" s="15">
        <f>MAX(0,AT297*(1-INDEX($B$11:$B$63,35))*(1-E297))</f>
        <v/>
      </c>
      <c r="AV298" s="15">
        <f>MAX(0,AU297*(1-INDEX($B$11:$B$63,36))*(1-E297))</f>
        <v/>
      </c>
      <c r="AW298" s="15">
        <f>MAX(0,AV297*(1-INDEX($B$11:$B$63,37))*(1-E297))</f>
        <v/>
      </c>
      <c r="AX298" s="15">
        <f>MAX(0,AW297*(1-INDEX($B$11:$B$63,38))*(1-E297))</f>
        <v/>
      </c>
      <c r="AY298" s="15">
        <f>MAX(0,AX297*(1-INDEX($B$11:$B$63,39))*(1-E297))</f>
        <v/>
      </c>
      <c r="AZ298" s="15">
        <f>MAX(0,AY297*(1-INDEX($B$11:$B$63,40))*(1-E297))</f>
        <v/>
      </c>
      <c r="BA298" s="15">
        <f>MAX(0,AZ297*(1-INDEX($B$11:$B$63,41))*(1-E297))</f>
        <v/>
      </c>
      <c r="BB298" s="15">
        <f>MAX(0,BA297*(1-INDEX($B$11:$B$63,42))*(1-E297))</f>
        <v/>
      </c>
      <c r="BC298" s="15">
        <f>MAX(0,BB297*(1-INDEX($B$11:$B$63,43))*(1-E297))</f>
        <v/>
      </c>
      <c r="BD298" s="15">
        <f>MAX(0,BC297*(1-INDEX($B$11:$B$63,44))*(1-E297))</f>
        <v/>
      </c>
      <c r="BE298" s="15">
        <f>MAX(0,BD297*(1-INDEX($B$11:$B$63,45))*(1-E297))</f>
        <v/>
      </c>
      <c r="BF298" s="15">
        <f>MAX(0,BE297*(1-INDEX($B$11:$B$63,46))*(1-E297))</f>
        <v/>
      </c>
      <c r="BG298" s="15">
        <f>MAX(0,BF297*(1-INDEX($B$11:$B$63,47))*(1-E297))</f>
        <v/>
      </c>
      <c r="BH298" s="15">
        <f>MAX(0,BG297*(1-INDEX($B$11:$B$63,48))*(1-E297))</f>
        <v/>
      </c>
      <c r="BI298" s="15">
        <f>MAX(0,BH297*(1-INDEX($B$11:$B$63,49))*(1-E297))</f>
        <v/>
      </c>
      <c r="BJ298" s="15">
        <f>MAX(0,BI297*(1-INDEX($B$11:$B$63,50))*(1-E297))</f>
        <v/>
      </c>
      <c r="BK298" s="15">
        <f>MAX(0,BJ297*(1-INDEX($B$11:$B$63,51))*(1-E297))</f>
        <v/>
      </c>
      <c r="BL298" s="15">
        <f>MAX(0,(BL297+BK297)*(1-INDEX($B$11:$B$63,53))*(1-E297))</f>
        <v/>
      </c>
    </row>
    <row r="299">
      <c r="A299" s="55" t="n">
        <v>233</v>
      </c>
      <c r="B299" s="15">
        <f>IF(A299&gt;Inputs!$C$62,"",SUM(M299:BK299))</f>
        <v/>
      </c>
      <c r="C299" s="15">
        <f>IF(A299&gt;Inputs!$C$62,"",INDEX(Trajectory!$C$23:$C$2000,A299))</f>
        <v/>
      </c>
      <c r="D299" s="15">
        <f>IF(A299&gt;Inputs!$C$62,"",SUM(L299:BK299))</f>
        <v/>
      </c>
      <c r="E299" s="12">
        <f>IF(A299&gt;Inputs!$C$62,"",INDEX(Trajectory!$AG$23:$AG$2000,A299))</f>
        <v/>
      </c>
      <c r="F299" s="12">
        <f>IF(D299=0,0,SUMPRODUCT(L299:BK299,$B$11:$B$63)/D299)</f>
        <v/>
      </c>
      <c r="G299" s="12">
        <f>IF(D299=0,0,MIN(0.95,1-(1-F299)*(1-E299)))</f>
        <v/>
      </c>
      <c r="H299" s="15">
        <f>IF(D299=0,0,D299*G299)</f>
        <v/>
      </c>
      <c r="I299" s="15">
        <f>IF(D299=0,0,D299-H299)</f>
        <v/>
      </c>
      <c r="L299" s="15">
        <f>C299</f>
        <v/>
      </c>
      <c r="M299" s="15">
        <f>MAX(0,L298*(1-INDEX($B$11:$B$63,1))*(1-E298))</f>
        <v/>
      </c>
      <c r="N299" s="15">
        <f>MAX(0,M298*(1-INDEX($B$11:$B$63,2))*(1-E298))</f>
        <v/>
      </c>
      <c r="O299" s="15">
        <f>MAX(0,N298*(1-INDEX($B$11:$B$63,3))*(1-E298))</f>
        <v/>
      </c>
      <c r="P299" s="15">
        <f>MAX(0,O298*(1-INDEX($B$11:$B$63,4))*(1-E298))</f>
        <v/>
      </c>
      <c r="Q299" s="15">
        <f>MAX(0,P298*(1-INDEX($B$11:$B$63,5))*(1-E298))</f>
        <v/>
      </c>
      <c r="R299" s="15">
        <f>MAX(0,Q298*(1-INDEX($B$11:$B$63,6))*(1-E298))</f>
        <v/>
      </c>
      <c r="S299" s="15">
        <f>MAX(0,R298*(1-INDEX($B$11:$B$63,7))*(1-E298))</f>
        <v/>
      </c>
      <c r="T299" s="15">
        <f>MAX(0,S298*(1-INDEX($B$11:$B$63,8))*(1-E298))</f>
        <v/>
      </c>
      <c r="U299" s="15">
        <f>MAX(0,T298*(1-INDEX($B$11:$B$63,9))*(1-E298))</f>
        <v/>
      </c>
      <c r="V299" s="15">
        <f>MAX(0,U298*(1-INDEX($B$11:$B$63,10))*(1-E298))</f>
        <v/>
      </c>
      <c r="W299" s="15">
        <f>MAX(0,V298*(1-INDEX($B$11:$B$63,11))*(1-E298))</f>
        <v/>
      </c>
      <c r="X299" s="15">
        <f>MAX(0,W298*(1-INDEX($B$11:$B$63,12))*(1-E298))</f>
        <v/>
      </c>
      <c r="Y299" s="15">
        <f>MAX(0,X298*(1-INDEX($B$11:$B$63,13))*(1-E298))</f>
        <v/>
      </c>
      <c r="Z299" s="15">
        <f>MAX(0,Y298*(1-INDEX($B$11:$B$63,14))*(1-E298))</f>
        <v/>
      </c>
      <c r="AA299" s="15">
        <f>MAX(0,Z298*(1-INDEX($B$11:$B$63,15))*(1-E298))</f>
        <v/>
      </c>
      <c r="AB299" s="15">
        <f>MAX(0,AA298*(1-INDEX($B$11:$B$63,16))*(1-E298))</f>
        <v/>
      </c>
      <c r="AC299" s="15">
        <f>MAX(0,AB298*(1-INDEX($B$11:$B$63,17))*(1-E298))</f>
        <v/>
      </c>
      <c r="AD299" s="15">
        <f>MAX(0,AC298*(1-INDEX($B$11:$B$63,18))*(1-E298))</f>
        <v/>
      </c>
      <c r="AE299" s="15">
        <f>MAX(0,AD298*(1-INDEX($B$11:$B$63,19))*(1-E298))</f>
        <v/>
      </c>
      <c r="AF299" s="15">
        <f>MAX(0,AE298*(1-INDEX($B$11:$B$63,20))*(1-E298))</f>
        <v/>
      </c>
      <c r="AG299" s="15">
        <f>MAX(0,AF298*(1-INDEX($B$11:$B$63,21))*(1-E298))</f>
        <v/>
      </c>
      <c r="AH299" s="15">
        <f>MAX(0,AG298*(1-INDEX($B$11:$B$63,22))*(1-E298))</f>
        <v/>
      </c>
      <c r="AI299" s="15">
        <f>MAX(0,AH298*(1-INDEX($B$11:$B$63,23))*(1-E298))</f>
        <v/>
      </c>
      <c r="AJ299" s="15">
        <f>MAX(0,AI298*(1-INDEX($B$11:$B$63,24))*(1-E298))</f>
        <v/>
      </c>
      <c r="AK299" s="15">
        <f>MAX(0,AJ298*(1-INDEX($B$11:$B$63,25))*(1-E298))</f>
        <v/>
      </c>
      <c r="AL299" s="15">
        <f>MAX(0,AK298*(1-INDEX($B$11:$B$63,26))*(1-E298))</f>
        <v/>
      </c>
      <c r="AM299" s="15">
        <f>MAX(0,AL298*(1-INDEX($B$11:$B$63,27))*(1-E298))</f>
        <v/>
      </c>
      <c r="AN299" s="15">
        <f>MAX(0,AM298*(1-INDEX($B$11:$B$63,28))*(1-E298))</f>
        <v/>
      </c>
      <c r="AO299" s="15">
        <f>MAX(0,AN298*(1-INDEX($B$11:$B$63,29))*(1-E298))</f>
        <v/>
      </c>
      <c r="AP299" s="15">
        <f>MAX(0,AO298*(1-INDEX($B$11:$B$63,30))*(1-E298))</f>
        <v/>
      </c>
      <c r="AQ299" s="15">
        <f>MAX(0,AP298*(1-INDEX($B$11:$B$63,31))*(1-E298))</f>
        <v/>
      </c>
      <c r="AR299" s="15">
        <f>MAX(0,AQ298*(1-INDEX($B$11:$B$63,32))*(1-E298))</f>
        <v/>
      </c>
      <c r="AS299" s="15">
        <f>MAX(0,AR298*(1-INDEX($B$11:$B$63,33))*(1-E298))</f>
        <v/>
      </c>
      <c r="AT299" s="15">
        <f>MAX(0,AS298*(1-INDEX($B$11:$B$63,34))*(1-E298))</f>
        <v/>
      </c>
      <c r="AU299" s="15">
        <f>MAX(0,AT298*(1-INDEX($B$11:$B$63,35))*(1-E298))</f>
        <v/>
      </c>
      <c r="AV299" s="15">
        <f>MAX(0,AU298*(1-INDEX($B$11:$B$63,36))*(1-E298))</f>
        <v/>
      </c>
      <c r="AW299" s="15">
        <f>MAX(0,AV298*(1-INDEX($B$11:$B$63,37))*(1-E298))</f>
        <v/>
      </c>
      <c r="AX299" s="15">
        <f>MAX(0,AW298*(1-INDEX($B$11:$B$63,38))*(1-E298))</f>
        <v/>
      </c>
      <c r="AY299" s="15">
        <f>MAX(0,AX298*(1-INDEX($B$11:$B$63,39))*(1-E298))</f>
        <v/>
      </c>
      <c r="AZ299" s="15">
        <f>MAX(0,AY298*(1-INDEX($B$11:$B$63,40))*(1-E298))</f>
        <v/>
      </c>
      <c r="BA299" s="15">
        <f>MAX(0,AZ298*(1-INDEX($B$11:$B$63,41))*(1-E298))</f>
        <v/>
      </c>
      <c r="BB299" s="15">
        <f>MAX(0,BA298*(1-INDEX($B$11:$B$63,42))*(1-E298))</f>
        <v/>
      </c>
      <c r="BC299" s="15">
        <f>MAX(0,BB298*(1-INDEX($B$11:$B$63,43))*(1-E298))</f>
        <v/>
      </c>
      <c r="BD299" s="15">
        <f>MAX(0,BC298*(1-INDEX($B$11:$B$63,44))*(1-E298))</f>
        <v/>
      </c>
      <c r="BE299" s="15">
        <f>MAX(0,BD298*(1-INDEX($B$11:$B$63,45))*(1-E298))</f>
        <v/>
      </c>
      <c r="BF299" s="15">
        <f>MAX(0,BE298*(1-INDEX($B$11:$B$63,46))*(1-E298))</f>
        <v/>
      </c>
      <c r="BG299" s="15">
        <f>MAX(0,BF298*(1-INDEX($B$11:$B$63,47))*(1-E298))</f>
        <v/>
      </c>
      <c r="BH299" s="15">
        <f>MAX(0,BG298*(1-INDEX($B$11:$B$63,48))*(1-E298))</f>
        <v/>
      </c>
      <c r="BI299" s="15">
        <f>MAX(0,BH298*(1-INDEX($B$11:$B$63,49))*(1-E298))</f>
        <v/>
      </c>
      <c r="BJ299" s="15">
        <f>MAX(0,BI298*(1-INDEX($B$11:$B$63,50))*(1-E298))</f>
        <v/>
      </c>
      <c r="BK299" s="15">
        <f>MAX(0,BJ298*(1-INDEX($B$11:$B$63,51))*(1-E298))</f>
        <v/>
      </c>
      <c r="BL299" s="15">
        <f>MAX(0,(BL298+BK298)*(1-INDEX($B$11:$B$63,53))*(1-E298))</f>
        <v/>
      </c>
    </row>
    <row r="300">
      <c r="A300" s="55" t="n">
        <v>234</v>
      </c>
      <c r="B300" s="15">
        <f>IF(A300&gt;Inputs!$C$62,"",SUM(M300:BK300))</f>
        <v/>
      </c>
      <c r="C300" s="15">
        <f>IF(A300&gt;Inputs!$C$62,"",INDEX(Trajectory!$C$23:$C$2000,A300))</f>
        <v/>
      </c>
      <c r="D300" s="15">
        <f>IF(A300&gt;Inputs!$C$62,"",SUM(L300:BK300))</f>
        <v/>
      </c>
      <c r="E300" s="12">
        <f>IF(A300&gt;Inputs!$C$62,"",INDEX(Trajectory!$AG$23:$AG$2000,A300))</f>
        <v/>
      </c>
      <c r="F300" s="12">
        <f>IF(D300=0,0,SUMPRODUCT(L300:BK300,$B$11:$B$63)/D300)</f>
        <v/>
      </c>
      <c r="G300" s="12">
        <f>IF(D300=0,0,MIN(0.95,1-(1-F300)*(1-E300)))</f>
        <v/>
      </c>
      <c r="H300" s="15">
        <f>IF(D300=0,0,D300*G300)</f>
        <v/>
      </c>
      <c r="I300" s="15">
        <f>IF(D300=0,0,D300-H300)</f>
        <v/>
      </c>
      <c r="L300" s="15">
        <f>C300</f>
        <v/>
      </c>
      <c r="M300" s="15">
        <f>MAX(0,L299*(1-INDEX($B$11:$B$63,1))*(1-E299))</f>
        <v/>
      </c>
      <c r="N300" s="15">
        <f>MAX(0,M299*(1-INDEX($B$11:$B$63,2))*(1-E299))</f>
        <v/>
      </c>
      <c r="O300" s="15">
        <f>MAX(0,N299*(1-INDEX($B$11:$B$63,3))*(1-E299))</f>
        <v/>
      </c>
      <c r="P300" s="15">
        <f>MAX(0,O299*(1-INDEX($B$11:$B$63,4))*(1-E299))</f>
        <v/>
      </c>
      <c r="Q300" s="15">
        <f>MAX(0,P299*(1-INDEX($B$11:$B$63,5))*(1-E299))</f>
        <v/>
      </c>
      <c r="R300" s="15">
        <f>MAX(0,Q299*(1-INDEX($B$11:$B$63,6))*(1-E299))</f>
        <v/>
      </c>
      <c r="S300" s="15">
        <f>MAX(0,R299*(1-INDEX($B$11:$B$63,7))*(1-E299))</f>
        <v/>
      </c>
      <c r="T300" s="15">
        <f>MAX(0,S299*(1-INDEX($B$11:$B$63,8))*(1-E299))</f>
        <v/>
      </c>
      <c r="U300" s="15">
        <f>MAX(0,T299*(1-INDEX($B$11:$B$63,9))*(1-E299))</f>
        <v/>
      </c>
      <c r="V300" s="15">
        <f>MAX(0,U299*(1-INDEX($B$11:$B$63,10))*(1-E299))</f>
        <v/>
      </c>
      <c r="W300" s="15">
        <f>MAX(0,V299*(1-INDEX($B$11:$B$63,11))*(1-E299))</f>
        <v/>
      </c>
      <c r="X300" s="15">
        <f>MAX(0,W299*(1-INDEX($B$11:$B$63,12))*(1-E299))</f>
        <v/>
      </c>
      <c r="Y300" s="15">
        <f>MAX(0,X299*(1-INDEX($B$11:$B$63,13))*(1-E299))</f>
        <v/>
      </c>
      <c r="Z300" s="15">
        <f>MAX(0,Y299*(1-INDEX($B$11:$B$63,14))*(1-E299))</f>
        <v/>
      </c>
      <c r="AA300" s="15">
        <f>MAX(0,Z299*(1-INDEX($B$11:$B$63,15))*(1-E299))</f>
        <v/>
      </c>
      <c r="AB300" s="15">
        <f>MAX(0,AA299*(1-INDEX($B$11:$B$63,16))*(1-E299))</f>
        <v/>
      </c>
      <c r="AC300" s="15">
        <f>MAX(0,AB299*(1-INDEX($B$11:$B$63,17))*(1-E299))</f>
        <v/>
      </c>
      <c r="AD300" s="15">
        <f>MAX(0,AC299*(1-INDEX($B$11:$B$63,18))*(1-E299))</f>
        <v/>
      </c>
      <c r="AE300" s="15">
        <f>MAX(0,AD299*(1-INDEX($B$11:$B$63,19))*(1-E299))</f>
        <v/>
      </c>
      <c r="AF300" s="15">
        <f>MAX(0,AE299*(1-INDEX($B$11:$B$63,20))*(1-E299))</f>
        <v/>
      </c>
      <c r="AG300" s="15">
        <f>MAX(0,AF299*(1-INDEX($B$11:$B$63,21))*(1-E299))</f>
        <v/>
      </c>
      <c r="AH300" s="15">
        <f>MAX(0,AG299*(1-INDEX($B$11:$B$63,22))*(1-E299))</f>
        <v/>
      </c>
      <c r="AI300" s="15">
        <f>MAX(0,AH299*(1-INDEX($B$11:$B$63,23))*(1-E299))</f>
        <v/>
      </c>
      <c r="AJ300" s="15">
        <f>MAX(0,AI299*(1-INDEX($B$11:$B$63,24))*(1-E299))</f>
        <v/>
      </c>
      <c r="AK300" s="15">
        <f>MAX(0,AJ299*(1-INDEX($B$11:$B$63,25))*(1-E299))</f>
        <v/>
      </c>
      <c r="AL300" s="15">
        <f>MAX(0,AK299*(1-INDEX($B$11:$B$63,26))*(1-E299))</f>
        <v/>
      </c>
      <c r="AM300" s="15">
        <f>MAX(0,AL299*(1-INDEX($B$11:$B$63,27))*(1-E299))</f>
        <v/>
      </c>
      <c r="AN300" s="15">
        <f>MAX(0,AM299*(1-INDEX($B$11:$B$63,28))*(1-E299))</f>
        <v/>
      </c>
      <c r="AO300" s="15">
        <f>MAX(0,AN299*(1-INDEX($B$11:$B$63,29))*(1-E299))</f>
        <v/>
      </c>
      <c r="AP300" s="15">
        <f>MAX(0,AO299*(1-INDEX($B$11:$B$63,30))*(1-E299))</f>
        <v/>
      </c>
      <c r="AQ300" s="15">
        <f>MAX(0,AP299*(1-INDEX($B$11:$B$63,31))*(1-E299))</f>
        <v/>
      </c>
      <c r="AR300" s="15">
        <f>MAX(0,AQ299*(1-INDEX($B$11:$B$63,32))*(1-E299))</f>
        <v/>
      </c>
      <c r="AS300" s="15">
        <f>MAX(0,AR299*(1-INDEX($B$11:$B$63,33))*(1-E299))</f>
        <v/>
      </c>
      <c r="AT300" s="15">
        <f>MAX(0,AS299*(1-INDEX($B$11:$B$63,34))*(1-E299))</f>
        <v/>
      </c>
      <c r="AU300" s="15">
        <f>MAX(0,AT299*(1-INDEX($B$11:$B$63,35))*(1-E299))</f>
        <v/>
      </c>
      <c r="AV300" s="15">
        <f>MAX(0,AU299*(1-INDEX($B$11:$B$63,36))*(1-E299))</f>
        <v/>
      </c>
      <c r="AW300" s="15">
        <f>MAX(0,AV299*(1-INDEX($B$11:$B$63,37))*(1-E299))</f>
        <v/>
      </c>
      <c r="AX300" s="15">
        <f>MAX(0,AW299*(1-INDEX($B$11:$B$63,38))*(1-E299))</f>
        <v/>
      </c>
      <c r="AY300" s="15">
        <f>MAX(0,AX299*(1-INDEX($B$11:$B$63,39))*(1-E299))</f>
        <v/>
      </c>
      <c r="AZ300" s="15">
        <f>MAX(0,AY299*(1-INDEX($B$11:$B$63,40))*(1-E299))</f>
        <v/>
      </c>
      <c r="BA300" s="15">
        <f>MAX(0,AZ299*(1-INDEX($B$11:$B$63,41))*(1-E299))</f>
        <v/>
      </c>
      <c r="BB300" s="15">
        <f>MAX(0,BA299*(1-INDEX($B$11:$B$63,42))*(1-E299))</f>
        <v/>
      </c>
      <c r="BC300" s="15">
        <f>MAX(0,BB299*(1-INDEX($B$11:$B$63,43))*(1-E299))</f>
        <v/>
      </c>
      <c r="BD300" s="15">
        <f>MAX(0,BC299*(1-INDEX($B$11:$B$63,44))*(1-E299))</f>
        <v/>
      </c>
      <c r="BE300" s="15">
        <f>MAX(0,BD299*(1-INDEX($B$11:$B$63,45))*(1-E299))</f>
        <v/>
      </c>
      <c r="BF300" s="15">
        <f>MAX(0,BE299*(1-INDEX($B$11:$B$63,46))*(1-E299))</f>
        <v/>
      </c>
      <c r="BG300" s="15">
        <f>MAX(0,BF299*(1-INDEX($B$11:$B$63,47))*(1-E299))</f>
        <v/>
      </c>
      <c r="BH300" s="15">
        <f>MAX(0,BG299*(1-INDEX($B$11:$B$63,48))*(1-E299))</f>
        <v/>
      </c>
      <c r="BI300" s="15">
        <f>MAX(0,BH299*(1-INDEX($B$11:$B$63,49))*(1-E299))</f>
        <v/>
      </c>
      <c r="BJ300" s="15">
        <f>MAX(0,BI299*(1-INDEX($B$11:$B$63,50))*(1-E299))</f>
        <v/>
      </c>
      <c r="BK300" s="15">
        <f>MAX(0,BJ299*(1-INDEX($B$11:$B$63,51))*(1-E299))</f>
        <v/>
      </c>
      <c r="BL300" s="15">
        <f>MAX(0,(BL299+BK299)*(1-INDEX($B$11:$B$63,53))*(1-E299))</f>
        <v/>
      </c>
    </row>
    <row r="301">
      <c r="A301" s="55" t="n">
        <v>235</v>
      </c>
      <c r="B301" s="15">
        <f>IF(A301&gt;Inputs!$C$62,"",SUM(M301:BK301))</f>
        <v/>
      </c>
      <c r="C301" s="15">
        <f>IF(A301&gt;Inputs!$C$62,"",INDEX(Trajectory!$C$23:$C$2000,A301))</f>
        <v/>
      </c>
      <c r="D301" s="15">
        <f>IF(A301&gt;Inputs!$C$62,"",SUM(L301:BK301))</f>
        <v/>
      </c>
      <c r="E301" s="12">
        <f>IF(A301&gt;Inputs!$C$62,"",INDEX(Trajectory!$AG$23:$AG$2000,A301))</f>
        <v/>
      </c>
      <c r="F301" s="12">
        <f>IF(D301=0,0,SUMPRODUCT(L301:BK301,$B$11:$B$63)/D301)</f>
        <v/>
      </c>
      <c r="G301" s="12">
        <f>IF(D301=0,0,MIN(0.95,1-(1-F301)*(1-E301)))</f>
        <v/>
      </c>
      <c r="H301" s="15">
        <f>IF(D301=0,0,D301*G301)</f>
        <v/>
      </c>
      <c r="I301" s="15">
        <f>IF(D301=0,0,D301-H301)</f>
        <v/>
      </c>
      <c r="L301" s="15">
        <f>C301</f>
        <v/>
      </c>
      <c r="M301" s="15">
        <f>MAX(0,L300*(1-INDEX($B$11:$B$63,1))*(1-E300))</f>
        <v/>
      </c>
      <c r="N301" s="15">
        <f>MAX(0,M300*(1-INDEX($B$11:$B$63,2))*(1-E300))</f>
        <v/>
      </c>
      <c r="O301" s="15">
        <f>MAX(0,N300*(1-INDEX($B$11:$B$63,3))*(1-E300))</f>
        <v/>
      </c>
      <c r="P301" s="15">
        <f>MAX(0,O300*(1-INDEX($B$11:$B$63,4))*(1-E300))</f>
        <v/>
      </c>
      <c r="Q301" s="15">
        <f>MAX(0,P300*(1-INDEX($B$11:$B$63,5))*(1-E300))</f>
        <v/>
      </c>
      <c r="R301" s="15">
        <f>MAX(0,Q300*(1-INDEX($B$11:$B$63,6))*(1-E300))</f>
        <v/>
      </c>
      <c r="S301" s="15">
        <f>MAX(0,R300*(1-INDEX($B$11:$B$63,7))*(1-E300))</f>
        <v/>
      </c>
      <c r="T301" s="15">
        <f>MAX(0,S300*(1-INDEX($B$11:$B$63,8))*(1-E300))</f>
        <v/>
      </c>
      <c r="U301" s="15">
        <f>MAX(0,T300*(1-INDEX($B$11:$B$63,9))*(1-E300))</f>
        <v/>
      </c>
      <c r="V301" s="15">
        <f>MAX(0,U300*(1-INDEX($B$11:$B$63,10))*(1-E300))</f>
        <v/>
      </c>
      <c r="W301" s="15">
        <f>MAX(0,V300*(1-INDEX($B$11:$B$63,11))*(1-E300))</f>
        <v/>
      </c>
      <c r="X301" s="15">
        <f>MAX(0,W300*(1-INDEX($B$11:$B$63,12))*(1-E300))</f>
        <v/>
      </c>
      <c r="Y301" s="15">
        <f>MAX(0,X300*(1-INDEX($B$11:$B$63,13))*(1-E300))</f>
        <v/>
      </c>
      <c r="Z301" s="15">
        <f>MAX(0,Y300*(1-INDEX($B$11:$B$63,14))*(1-E300))</f>
        <v/>
      </c>
      <c r="AA301" s="15">
        <f>MAX(0,Z300*(1-INDEX($B$11:$B$63,15))*(1-E300))</f>
        <v/>
      </c>
      <c r="AB301" s="15">
        <f>MAX(0,AA300*(1-INDEX($B$11:$B$63,16))*(1-E300))</f>
        <v/>
      </c>
      <c r="AC301" s="15">
        <f>MAX(0,AB300*(1-INDEX($B$11:$B$63,17))*(1-E300))</f>
        <v/>
      </c>
      <c r="AD301" s="15">
        <f>MAX(0,AC300*(1-INDEX($B$11:$B$63,18))*(1-E300))</f>
        <v/>
      </c>
      <c r="AE301" s="15">
        <f>MAX(0,AD300*(1-INDEX($B$11:$B$63,19))*(1-E300))</f>
        <v/>
      </c>
      <c r="AF301" s="15">
        <f>MAX(0,AE300*(1-INDEX($B$11:$B$63,20))*(1-E300))</f>
        <v/>
      </c>
      <c r="AG301" s="15">
        <f>MAX(0,AF300*(1-INDEX($B$11:$B$63,21))*(1-E300))</f>
        <v/>
      </c>
      <c r="AH301" s="15">
        <f>MAX(0,AG300*(1-INDEX($B$11:$B$63,22))*(1-E300))</f>
        <v/>
      </c>
      <c r="AI301" s="15">
        <f>MAX(0,AH300*(1-INDEX($B$11:$B$63,23))*(1-E300))</f>
        <v/>
      </c>
      <c r="AJ301" s="15">
        <f>MAX(0,AI300*(1-INDEX($B$11:$B$63,24))*(1-E300))</f>
        <v/>
      </c>
      <c r="AK301" s="15">
        <f>MAX(0,AJ300*(1-INDEX($B$11:$B$63,25))*(1-E300))</f>
        <v/>
      </c>
      <c r="AL301" s="15">
        <f>MAX(0,AK300*(1-INDEX($B$11:$B$63,26))*(1-E300))</f>
        <v/>
      </c>
      <c r="AM301" s="15">
        <f>MAX(0,AL300*(1-INDEX($B$11:$B$63,27))*(1-E300))</f>
        <v/>
      </c>
      <c r="AN301" s="15">
        <f>MAX(0,AM300*(1-INDEX($B$11:$B$63,28))*(1-E300))</f>
        <v/>
      </c>
      <c r="AO301" s="15">
        <f>MAX(0,AN300*(1-INDEX($B$11:$B$63,29))*(1-E300))</f>
        <v/>
      </c>
      <c r="AP301" s="15">
        <f>MAX(0,AO300*(1-INDEX($B$11:$B$63,30))*(1-E300))</f>
        <v/>
      </c>
      <c r="AQ301" s="15">
        <f>MAX(0,AP300*(1-INDEX($B$11:$B$63,31))*(1-E300))</f>
        <v/>
      </c>
      <c r="AR301" s="15">
        <f>MAX(0,AQ300*(1-INDEX($B$11:$B$63,32))*(1-E300))</f>
        <v/>
      </c>
      <c r="AS301" s="15">
        <f>MAX(0,AR300*(1-INDEX($B$11:$B$63,33))*(1-E300))</f>
        <v/>
      </c>
      <c r="AT301" s="15">
        <f>MAX(0,AS300*(1-INDEX($B$11:$B$63,34))*(1-E300))</f>
        <v/>
      </c>
      <c r="AU301" s="15">
        <f>MAX(0,AT300*(1-INDEX($B$11:$B$63,35))*(1-E300))</f>
        <v/>
      </c>
      <c r="AV301" s="15">
        <f>MAX(0,AU300*(1-INDEX($B$11:$B$63,36))*(1-E300))</f>
        <v/>
      </c>
      <c r="AW301" s="15">
        <f>MAX(0,AV300*(1-INDEX($B$11:$B$63,37))*(1-E300))</f>
        <v/>
      </c>
      <c r="AX301" s="15">
        <f>MAX(0,AW300*(1-INDEX($B$11:$B$63,38))*(1-E300))</f>
        <v/>
      </c>
      <c r="AY301" s="15">
        <f>MAX(0,AX300*(1-INDEX($B$11:$B$63,39))*(1-E300))</f>
        <v/>
      </c>
      <c r="AZ301" s="15">
        <f>MAX(0,AY300*(1-INDEX($B$11:$B$63,40))*(1-E300))</f>
        <v/>
      </c>
      <c r="BA301" s="15">
        <f>MAX(0,AZ300*(1-INDEX($B$11:$B$63,41))*(1-E300))</f>
        <v/>
      </c>
      <c r="BB301" s="15">
        <f>MAX(0,BA300*(1-INDEX($B$11:$B$63,42))*(1-E300))</f>
        <v/>
      </c>
      <c r="BC301" s="15">
        <f>MAX(0,BB300*(1-INDEX($B$11:$B$63,43))*(1-E300))</f>
        <v/>
      </c>
      <c r="BD301" s="15">
        <f>MAX(0,BC300*(1-INDEX($B$11:$B$63,44))*(1-E300))</f>
        <v/>
      </c>
      <c r="BE301" s="15">
        <f>MAX(0,BD300*(1-INDEX($B$11:$B$63,45))*(1-E300))</f>
        <v/>
      </c>
      <c r="BF301" s="15">
        <f>MAX(0,BE300*(1-INDEX($B$11:$B$63,46))*(1-E300))</f>
        <v/>
      </c>
      <c r="BG301" s="15">
        <f>MAX(0,BF300*(1-INDEX($B$11:$B$63,47))*(1-E300))</f>
        <v/>
      </c>
      <c r="BH301" s="15">
        <f>MAX(0,BG300*(1-INDEX($B$11:$B$63,48))*(1-E300))</f>
        <v/>
      </c>
      <c r="BI301" s="15">
        <f>MAX(0,BH300*(1-INDEX($B$11:$B$63,49))*(1-E300))</f>
        <v/>
      </c>
      <c r="BJ301" s="15">
        <f>MAX(0,BI300*(1-INDEX($B$11:$B$63,50))*(1-E300))</f>
        <v/>
      </c>
      <c r="BK301" s="15">
        <f>MAX(0,BJ300*(1-INDEX($B$11:$B$63,51))*(1-E300))</f>
        <v/>
      </c>
      <c r="BL301" s="15">
        <f>MAX(0,(BL300+BK300)*(1-INDEX($B$11:$B$63,53))*(1-E300))</f>
        <v/>
      </c>
    </row>
    <row r="302">
      <c r="A302" s="55" t="n">
        <v>236</v>
      </c>
      <c r="B302" s="15">
        <f>IF(A302&gt;Inputs!$C$62,"",SUM(M302:BK302))</f>
        <v/>
      </c>
      <c r="C302" s="15">
        <f>IF(A302&gt;Inputs!$C$62,"",INDEX(Trajectory!$C$23:$C$2000,A302))</f>
        <v/>
      </c>
      <c r="D302" s="15">
        <f>IF(A302&gt;Inputs!$C$62,"",SUM(L302:BK302))</f>
        <v/>
      </c>
      <c r="E302" s="12">
        <f>IF(A302&gt;Inputs!$C$62,"",INDEX(Trajectory!$AG$23:$AG$2000,A302))</f>
        <v/>
      </c>
      <c r="F302" s="12">
        <f>IF(D302=0,0,SUMPRODUCT(L302:BK302,$B$11:$B$63)/D302)</f>
        <v/>
      </c>
      <c r="G302" s="12">
        <f>IF(D302=0,0,MIN(0.95,1-(1-F302)*(1-E302)))</f>
        <v/>
      </c>
      <c r="H302" s="15">
        <f>IF(D302=0,0,D302*G302)</f>
        <v/>
      </c>
      <c r="I302" s="15">
        <f>IF(D302=0,0,D302-H302)</f>
        <v/>
      </c>
      <c r="L302" s="15">
        <f>C302</f>
        <v/>
      </c>
      <c r="M302" s="15">
        <f>MAX(0,L301*(1-INDEX($B$11:$B$63,1))*(1-E301))</f>
        <v/>
      </c>
      <c r="N302" s="15">
        <f>MAX(0,M301*(1-INDEX($B$11:$B$63,2))*(1-E301))</f>
        <v/>
      </c>
      <c r="O302" s="15">
        <f>MAX(0,N301*(1-INDEX($B$11:$B$63,3))*(1-E301))</f>
        <v/>
      </c>
      <c r="P302" s="15">
        <f>MAX(0,O301*(1-INDEX($B$11:$B$63,4))*(1-E301))</f>
        <v/>
      </c>
      <c r="Q302" s="15">
        <f>MAX(0,P301*(1-INDEX($B$11:$B$63,5))*(1-E301))</f>
        <v/>
      </c>
      <c r="R302" s="15">
        <f>MAX(0,Q301*(1-INDEX($B$11:$B$63,6))*(1-E301))</f>
        <v/>
      </c>
      <c r="S302" s="15">
        <f>MAX(0,R301*(1-INDEX($B$11:$B$63,7))*(1-E301))</f>
        <v/>
      </c>
      <c r="T302" s="15">
        <f>MAX(0,S301*(1-INDEX($B$11:$B$63,8))*(1-E301))</f>
        <v/>
      </c>
      <c r="U302" s="15">
        <f>MAX(0,T301*(1-INDEX($B$11:$B$63,9))*(1-E301))</f>
        <v/>
      </c>
      <c r="V302" s="15">
        <f>MAX(0,U301*(1-INDEX($B$11:$B$63,10))*(1-E301))</f>
        <v/>
      </c>
      <c r="W302" s="15">
        <f>MAX(0,V301*(1-INDEX($B$11:$B$63,11))*(1-E301))</f>
        <v/>
      </c>
      <c r="X302" s="15">
        <f>MAX(0,W301*(1-INDEX($B$11:$B$63,12))*(1-E301))</f>
        <v/>
      </c>
      <c r="Y302" s="15">
        <f>MAX(0,X301*(1-INDEX($B$11:$B$63,13))*(1-E301))</f>
        <v/>
      </c>
      <c r="Z302" s="15">
        <f>MAX(0,Y301*(1-INDEX($B$11:$B$63,14))*(1-E301))</f>
        <v/>
      </c>
      <c r="AA302" s="15">
        <f>MAX(0,Z301*(1-INDEX($B$11:$B$63,15))*(1-E301))</f>
        <v/>
      </c>
      <c r="AB302" s="15">
        <f>MAX(0,AA301*(1-INDEX($B$11:$B$63,16))*(1-E301))</f>
        <v/>
      </c>
      <c r="AC302" s="15">
        <f>MAX(0,AB301*(1-INDEX($B$11:$B$63,17))*(1-E301))</f>
        <v/>
      </c>
      <c r="AD302" s="15">
        <f>MAX(0,AC301*(1-INDEX($B$11:$B$63,18))*(1-E301))</f>
        <v/>
      </c>
      <c r="AE302" s="15">
        <f>MAX(0,AD301*(1-INDEX($B$11:$B$63,19))*(1-E301))</f>
        <v/>
      </c>
      <c r="AF302" s="15">
        <f>MAX(0,AE301*(1-INDEX($B$11:$B$63,20))*(1-E301))</f>
        <v/>
      </c>
      <c r="AG302" s="15">
        <f>MAX(0,AF301*(1-INDEX($B$11:$B$63,21))*(1-E301))</f>
        <v/>
      </c>
      <c r="AH302" s="15">
        <f>MAX(0,AG301*(1-INDEX($B$11:$B$63,22))*(1-E301))</f>
        <v/>
      </c>
      <c r="AI302" s="15">
        <f>MAX(0,AH301*(1-INDEX($B$11:$B$63,23))*(1-E301))</f>
        <v/>
      </c>
      <c r="AJ302" s="15">
        <f>MAX(0,AI301*(1-INDEX($B$11:$B$63,24))*(1-E301))</f>
        <v/>
      </c>
      <c r="AK302" s="15">
        <f>MAX(0,AJ301*(1-INDEX($B$11:$B$63,25))*(1-E301))</f>
        <v/>
      </c>
      <c r="AL302" s="15">
        <f>MAX(0,AK301*(1-INDEX($B$11:$B$63,26))*(1-E301))</f>
        <v/>
      </c>
      <c r="AM302" s="15">
        <f>MAX(0,AL301*(1-INDEX($B$11:$B$63,27))*(1-E301))</f>
        <v/>
      </c>
      <c r="AN302" s="15">
        <f>MAX(0,AM301*(1-INDEX($B$11:$B$63,28))*(1-E301))</f>
        <v/>
      </c>
      <c r="AO302" s="15">
        <f>MAX(0,AN301*(1-INDEX($B$11:$B$63,29))*(1-E301))</f>
        <v/>
      </c>
      <c r="AP302" s="15">
        <f>MAX(0,AO301*(1-INDEX($B$11:$B$63,30))*(1-E301))</f>
        <v/>
      </c>
      <c r="AQ302" s="15">
        <f>MAX(0,AP301*(1-INDEX($B$11:$B$63,31))*(1-E301))</f>
        <v/>
      </c>
      <c r="AR302" s="15">
        <f>MAX(0,AQ301*(1-INDEX($B$11:$B$63,32))*(1-E301))</f>
        <v/>
      </c>
      <c r="AS302" s="15">
        <f>MAX(0,AR301*(1-INDEX($B$11:$B$63,33))*(1-E301))</f>
        <v/>
      </c>
      <c r="AT302" s="15">
        <f>MAX(0,AS301*(1-INDEX($B$11:$B$63,34))*(1-E301))</f>
        <v/>
      </c>
      <c r="AU302" s="15">
        <f>MAX(0,AT301*(1-INDEX($B$11:$B$63,35))*(1-E301))</f>
        <v/>
      </c>
      <c r="AV302" s="15">
        <f>MAX(0,AU301*(1-INDEX($B$11:$B$63,36))*(1-E301))</f>
        <v/>
      </c>
      <c r="AW302" s="15">
        <f>MAX(0,AV301*(1-INDEX($B$11:$B$63,37))*(1-E301))</f>
        <v/>
      </c>
      <c r="AX302" s="15">
        <f>MAX(0,AW301*(1-INDEX($B$11:$B$63,38))*(1-E301))</f>
        <v/>
      </c>
      <c r="AY302" s="15">
        <f>MAX(0,AX301*(1-INDEX($B$11:$B$63,39))*(1-E301))</f>
        <v/>
      </c>
      <c r="AZ302" s="15">
        <f>MAX(0,AY301*(1-INDEX($B$11:$B$63,40))*(1-E301))</f>
        <v/>
      </c>
      <c r="BA302" s="15">
        <f>MAX(0,AZ301*(1-INDEX($B$11:$B$63,41))*(1-E301))</f>
        <v/>
      </c>
      <c r="BB302" s="15">
        <f>MAX(0,BA301*(1-INDEX($B$11:$B$63,42))*(1-E301))</f>
        <v/>
      </c>
      <c r="BC302" s="15">
        <f>MAX(0,BB301*(1-INDEX($B$11:$B$63,43))*(1-E301))</f>
        <v/>
      </c>
      <c r="BD302" s="15">
        <f>MAX(0,BC301*(1-INDEX($B$11:$B$63,44))*(1-E301))</f>
        <v/>
      </c>
      <c r="BE302" s="15">
        <f>MAX(0,BD301*(1-INDEX($B$11:$B$63,45))*(1-E301))</f>
        <v/>
      </c>
      <c r="BF302" s="15">
        <f>MAX(0,BE301*(1-INDEX($B$11:$B$63,46))*(1-E301))</f>
        <v/>
      </c>
      <c r="BG302" s="15">
        <f>MAX(0,BF301*(1-INDEX($B$11:$B$63,47))*(1-E301))</f>
        <v/>
      </c>
      <c r="BH302" s="15">
        <f>MAX(0,BG301*(1-INDEX($B$11:$B$63,48))*(1-E301))</f>
        <v/>
      </c>
      <c r="BI302" s="15">
        <f>MAX(0,BH301*(1-INDEX($B$11:$B$63,49))*(1-E301))</f>
        <v/>
      </c>
      <c r="BJ302" s="15">
        <f>MAX(0,BI301*(1-INDEX($B$11:$B$63,50))*(1-E301))</f>
        <v/>
      </c>
      <c r="BK302" s="15">
        <f>MAX(0,BJ301*(1-INDEX($B$11:$B$63,51))*(1-E301))</f>
        <v/>
      </c>
      <c r="BL302" s="15">
        <f>MAX(0,(BL301+BK301)*(1-INDEX($B$11:$B$63,53))*(1-E301))</f>
        <v/>
      </c>
    </row>
    <row r="303">
      <c r="A303" s="55" t="n">
        <v>237</v>
      </c>
      <c r="B303" s="15">
        <f>IF(A303&gt;Inputs!$C$62,"",SUM(M303:BK303))</f>
        <v/>
      </c>
      <c r="C303" s="15">
        <f>IF(A303&gt;Inputs!$C$62,"",INDEX(Trajectory!$C$23:$C$2000,A303))</f>
        <v/>
      </c>
      <c r="D303" s="15">
        <f>IF(A303&gt;Inputs!$C$62,"",SUM(L303:BK303))</f>
        <v/>
      </c>
      <c r="E303" s="12">
        <f>IF(A303&gt;Inputs!$C$62,"",INDEX(Trajectory!$AG$23:$AG$2000,A303))</f>
        <v/>
      </c>
      <c r="F303" s="12">
        <f>IF(D303=0,0,SUMPRODUCT(L303:BK303,$B$11:$B$63)/D303)</f>
        <v/>
      </c>
      <c r="G303" s="12">
        <f>IF(D303=0,0,MIN(0.95,1-(1-F303)*(1-E303)))</f>
        <v/>
      </c>
      <c r="H303" s="15">
        <f>IF(D303=0,0,D303*G303)</f>
        <v/>
      </c>
      <c r="I303" s="15">
        <f>IF(D303=0,0,D303-H303)</f>
        <v/>
      </c>
      <c r="L303" s="15">
        <f>C303</f>
        <v/>
      </c>
      <c r="M303" s="15">
        <f>MAX(0,L302*(1-INDEX($B$11:$B$63,1))*(1-E302))</f>
        <v/>
      </c>
      <c r="N303" s="15">
        <f>MAX(0,M302*(1-INDEX($B$11:$B$63,2))*(1-E302))</f>
        <v/>
      </c>
      <c r="O303" s="15">
        <f>MAX(0,N302*(1-INDEX($B$11:$B$63,3))*(1-E302))</f>
        <v/>
      </c>
      <c r="P303" s="15">
        <f>MAX(0,O302*(1-INDEX($B$11:$B$63,4))*(1-E302))</f>
        <v/>
      </c>
      <c r="Q303" s="15">
        <f>MAX(0,P302*(1-INDEX($B$11:$B$63,5))*(1-E302))</f>
        <v/>
      </c>
      <c r="R303" s="15">
        <f>MAX(0,Q302*(1-INDEX($B$11:$B$63,6))*(1-E302))</f>
        <v/>
      </c>
      <c r="S303" s="15">
        <f>MAX(0,R302*(1-INDEX($B$11:$B$63,7))*(1-E302))</f>
        <v/>
      </c>
      <c r="T303" s="15">
        <f>MAX(0,S302*(1-INDEX($B$11:$B$63,8))*(1-E302))</f>
        <v/>
      </c>
      <c r="U303" s="15">
        <f>MAX(0,T302*(1-INDEX($B$11:$B$63,9))*(1-E302))</f>
        <v/>
      </c>
      <c r="V303" s="15">
        <f>MAX(0,U302*(1-INDEX($B$11:$B$63,10))*(1-E302))</f>
        <v/>
      </c>
      <c r="W303" s="15">
        <f>MAX(0,V302*(1-INDEX($B$11:$B$63,11))*(1-E302))</f>
        <v/>
      </c>
      <c r="X303" s="15">
        <f>MAX(0,W302*(1-INDEX($B$11:$B$63,12))*(1-E302))</f>
        <v/>
      </c>
      <c r="Y303" s="15">
        <f>MAX(0,X302*(1-INDEX($B$11:$B$63,13))*(1-E302))</f>
        <v/>
      </c>
      <c r="Z303" s="15">
        <f>MAX(0,Y302*(1-INDEX($B$11:$B$63,14))*(1-E302))</f>
        <v/>
      </c>
      <c r="AA303" s="15">
        <f>MAX(0,Z302*(1-INDEX($B$11:$B$63,15))*(1-E302))</f>
        <v/>
      </c>
      <c r="AB303" s="15">
        <f>MAX(0,AA302*(1-INDEX($B$11:$B$63,16))*(1-E302))</f>
        <v/>
      </c>
      <c r="AC303" s="15">
        <f>MAX(0,AB302*(1-INDEX($B$11:$B$63,17))*(1-E302))</f>
        <v/>
      </c>
      <c r="AD303" s="15">
        <f>MAX(0,AC302*(1-INDEX($B$11:$B$63,18))*(1-E302))</f>
        <v/>
      </c>
      <c r="AE303" s="15">
        <f>MAX(0,AD302*(1-INDEX($B$11:$B$63,19))*(1-E302))</f>
        <v/>
      </c>
      <c r="AF303" s="15">
        <f>MAX(0,AE302*(1-INDEX($B$11:$B$63,20))*(1-E302))</f>
        <v/>
      </c>
      <c r="AG303" s="15">
        <f>MAX(0,AF302*(1-INDEX($B$11:$B$63,21))*(1-E302))</f>
        <v/>
      </c>
      <c r="AH303" s="15">
        <f>MAX(0,AG302*(1-INDEX($B$11:$B$63,22))*(1-E302))</f>
        <v/>
      </c>
      <c r="AI303" s="15">
        <f>MAX(0,AH302*(1-INDEX($B$11:$B$63,23))*(1-E302))</f>
        <v/>
      </c>
      <c r="AJ303" s="15">
        <f>MAX(0,AI302*(1-INDEX($B$11:$B$63,24))*(1-E302))</f>
        <v/>
      </c>
      <c r="AK303" s="15">
        <f>MAX(0,AJ302*(1-INDEX($B$11:$B$63,25))*(1-E302))</f>
        <v/>
      </c>
      <c r="AL303" s="15">
        <f>MAX(0,AK302*(1-INDEX($B$11:$B$63,26))*(1-E302))</f>
        <v/>
      </c>
      <c r="AM303" s="15">
        <f>MAX(0,AL302*(1-INDEX($B$11:$B$63,27))*(1-E302))</f>
        <v/>
      </c>
      <c r="AN303" s="15">
        <f>MAX(0,AM302*(1-INDEX($B$11:$B$63,28))*(1-E302))</f>
        <v/>
      </c>
      <c r="AO303" s="15">
        <f>MAX(0,AN302*(1-INDEX($B$11:$B$63,29))*(1-E302))</f>
        <v/>
      </c>
      <c r="AP303" s="15">
        <f>MAX(0,AO302*(1-INDEX($B$11:$B$63,30))*(1-E302))</f>
        <v/>
      </c>
      <c r="AQ303" s="15">
        <f>MAX(0,AP302*(1-INDEX($B$11:$B$63,31))*(1-E302))</f>
        <v/>
      </c>
      <c r="AR303" s="15">
        <f>MAX(0,AQ302*(1-INDEX($B$11:$B$63,32))*(1-E302))</f>
        <v/>
      </c>
      <c r="AS303" s="15">
        <f>MAX(0,AR302*(1-INDEX($B$11:$B$63,33))*(1-E302))</f>
        <v/>
      </c>
      <c r="AT303" s="15">
        <f>MAX(0,AS302*(1-INDEX($B$11:$B$63,34))*(1-E302))</f>
        <v/>
      </c>
      <c r="AU303" s="15">
        <f>MAX(0,AT302*(1-INDEX($B$11:$B$63,35))*(1-E302))</f>
        <v/>
      </c>
      <c r="AV303" s="15">
        <f>MAX(0,AU302*(1-INDEX($B$11:$B$63,36))*(1-E302))</f>
        <v/>
      </c>
      <c r="AW303" s="15">
        <f>MAX(0,AV302*(1-INDEX($B$11:$B$63,37))*(1-E302))</f>
        <v/>
      </c>
      <c r="AX303" s="15">
        <f>MAX(0,AW302*(1-INDEX($B$11:$B$63,38))*(1-E302))</f>
        <v/>
      </c>
      <c r="AY303" s="15">
        <f>MAX(0,AX302*(1-INDEX($B$11:$B$63,39))*(1-E302))</f>
        <v/>
      </c>
      <c r="AZ303" s="15">
        <f>MAX(0,AY302*(1-INDEX($B$11:$B$63,40))*(1-E302))</f>
        <v/>
      </c>
      <c r="BA303" s="15">
        <f>MAX(0,AZ302*(1-INDEX($B$11:$B$63,41))*(1-E302))</f>
        <v/>
      </c>
      <c r="BB303" s="15">
        <f>MAX(0,BA302*(1-INDEX($B$11:$B$63,42))*(1-E302))</f>
        <v/>
      </c>
      <c r="BC303" s="15">
        <f>MAX(0,BB302*(1-INDEX($B$11:$B$63,43))*(1-E302))</f>
        <v/>
      </c>
      <c r="BD303" s="15">
        <f>MAX(0,BC302*(1-INDEX($B$11:$B$63,44))*(1-E302))</f>
        <v/>
      </c>
      <c r="BE303" s="15">
        <f>MAX(0,BD302*(1-INDEX($B$11:$B$63,45))*(1-E302))</f>
        <v/>
      </c>
      <c r="BF303" s="15">
        <f>MAX(0,BE302*(1-INDEX($B$11:$B$63,46))*(1-E302))</f>
        <v/>
      </c>
      <c r="BG303" s="15">
        <f>MAX(0,BF302*(1-INDEX($B$11:$B$63,47))*(1-E302))</f>
        <v/>
      </c>
      <c r="BH303" s="15">
        <f>MAX(0,BG302*(1-INDEX($B$11:$B$63,48))*(1-E302))</f>
        <v/>
      </c>
      <c r="BI303" s="15">
        <f>MAX(0,BH302*(1-INDEX($B$11:$B$63,49))*(1-E302))</f>
        <v/>
      </c>
      <c r="BJ303" s="15">
        <f>MAX(0,BI302*(1-INDEX($B$11:$B$63,50))*(1-E302))</f>
        <v/>
      </c>
      <c r="BK303" s="15">
        <f>MAX(0,BJ302*(1-INDEX($B$11:$B$63,51))*(1-E302))</f>
        <v/>
      </c>
      <c r="BL303" s="15">
        <f>MAX(0,(BL302+BK302)*(1-INDEX($B$11:$B$63,53))*(1-E302))</f>
        <v/>
      </c>
    </row>
    <row r="304">
      <c r="A304" s="55" t="n">
        <v>238</v>
      </c>
      <c r="B304" s="15">
        <f>IF(A304&gt;Inputs!$C$62,"",SUM(M304:BK304))</f>
        <v/>
      </c>
      <c r="C304" s="15">
        <f>IF(A304&gt;Inputs!$C$62,"",INDEX(Trajectory!$C$23:$C$2000,A304))</f>
        <v/>
      </c>
      <c r="D304" s="15">
        <f>IF(A304&gt;Inputs!$C$62,"",SUM(L304:BK304))</f>
        <v/>
      </c>
      <c r="E304" s="12">
        <f>IF(A304&gt;Inputs!$C$62,"",INDEX(Trajectory!$AG$23:$AG$2000,A304))</f>
        <v/>
      </c>
      <c r="F304" s="12">
        <f>IF(D304=0,0,SUMPRODUCT(L304:BK304,$B$11:$B$63)/D304)</f>
        <v/>
      </c>
      <c r="G304" s="12">
        <f>IF(D304=0,0,MIN(0.95,1-(1-F304)*(1-E304)))</f>
        <v/>
      </c>
      <c r="H304" s="15">
        <f>IF(D304=0,0,D304*G304)</f>
        <v/>
      </c>
      <c r="I304" s="15">
        <f>IF(D304=0,0,D304-H304)</f>
        <v/>
      </c>
      <c r="L304" s="15">
        <f>C304</f>
        <v/>
      </c>
      <c r="M304" s="15">
        <f>MAX(0,L303*(1-INDEX($B$11:$B$63,1))*(1-E303))</f>
        <v/>
      </c>
      <c r="N304" s="15">
        <f>MAX(0,M303*(1-INDEX($B$11:$B$63,2))*(1-E303))</f>
        <v/>
      </c>
      <c r="O304" s="15">
        <f>MAX(0,N303*(1-INDEX($B$11:$B$63,3))*(1-E303))</f>
        <v/>
      </c>
      <c r="P304" s="15">
        <f>MAX(0,O303*(1-INDEX($B$11:$B$63,4))*(1-E303))</f>
        <v/>
      </c>
      <c r="Q304" s="15">
        <f>MAX(0,P303*(1-INDEX($B$11:$B$63,5))*(1-E303))</f>
        <v/>
      </c>
      <c r="R304" s="15">
        <f>MAX(0,Q303*(1-INDEX($B$11:$B$63,6))*(1-E303))</f>
        <v/>
      </c>
      <c r="S304" s="15">
        <f>MAX(0,R303*(1-INDEX($B$11:$B$63,7))*(1-E303))</f>
        <v/>
      </c>
      <c r="T304" s="15">
        <f>MAX(0,S303*(1-INDEX($B$11:$B$63,8))*(1-E303))</f>
        <v/>
      </c>
      <c r="U304" s="15">
        <f>MAX(0,T303*(1-INDEX($B$11:$B$63,9))*(1-E303))</f>
        <v/>
      </c>
      <c r="V304" s="15">
        <f>MAX(0,U303*(1-INDEX($B$11:$B$63,10))*(1-E303))</f>
        <v/>
      </c>
      <c r="W304" s="15">
        <f>MAX(0,V303*(1-INDEX($B$11:$B$63,11))*(1-E303))</f>
        <v/>
      </c>
      <c r="X304" s="15">
        <f>MAX(0,W303*(1-INDEX($B$11:$B$63,12))*(1-E303))</f>
        <v/>
      </c>
      <c r="Y304" s="15">
        <f>MAX(0,X303*(1-INDEX($B$11:$B$63,13))*(1-E303))</f>
        <v/>
      </c>
      <c r="Z304" s="15">
        <f>MAX(0,Y303*(1-INDEX($B$11:$B$63,14))*(1-E303))</f>
        <v/>
      </c>
      <c r="AA304" s="15">
        <f>MAX(0,Z303*(1-INDEX($B$11:$B$63,15))*(1-E303))</f>
        <v/>
      </c>
      <c r="AB304" s="15">
        <f>MAX(0,AA303*(1-INDEX($B$11:$B$63,16))*(1-E303))</f>
        <v/>
      </c>
      <c r="AC304" s="15">
        <f>MAX(0,AB303*(1-INDEX($B$11:$B$63,17))*(1-E303))</f>
        <v/>
      </c>
      <c r="AD304" s="15">
        <f>MAX(0,AC303*(1-INDEX($B$11:$B$63,18))*(1-E303))</f>
        <v/>
      </c>
      <c r="AE304" s="15">
        <f>MAX(0,AD303*(1-INDEX($B$11:$B$63,19))*(1-E303))</f>
        <v/>
      </c>
      <c r="AF304" s="15">
        <f>MAX(0,AE303*(1-INDEX($B$11:$B$63,20))*(1-E303))</f>
        <v/>
      </c>
      <c r="AG304" s="15">
        <f>MAX(0,AF303*(1-INDEX($B$11:$B$63,21))*(1-E303))</f>
        <v/>
      </c>
      <c r="AH304" s="15">
        <f>MAX(0,AG303*(1-INDEX($B$11:$B$63,22))*(1-E303))</f>
        <v/>
      </c>
      <c r="AI304" s="15">
        <f>MAX(0,AH303*(1-INDEX($B$11:$B$63,23))*(1-E303))</f>
        <v/>
      </c>
      <c r="AJ304" s="15">
        <f>MAX(0,AI303*(1-INDEX($B$11:$B$63,24))*(1-E303))</f>
        <v/>
      </c>
      <c r="AK304" s="15">
        <f>MAX(0,AJ303*(1-INDEX($B$11:$B$63,25))*(1-E303))</f>
        <v/>
      </c>
      <c r="AL304" s="15">
        <f>MAX(0,AK303*(1-INDEX($B$11:$B$63,26))*(1-E303))</f>
        <v/>
      </c>
      <c r="AM304" s="15">
        <f>MAX(0,AL303*(1-INDEX($B$11:$B$63,27))*(1-E303))</f>
        <v/>
      </c>
      <c r="AN304" s="15">
        <f>MAX(0,AM303*(1-INDEX($B$11:$B$63,28))*(1-E303))</f>
        <v/>
      </c>
      <c r="AO304" s="15">
        <f>MAX(0,AN303*(1-INDEX($B$11:$B$63,29))*(1-E303))</f>
        <v/>
      </c>
      <c r="AP304" s="15">
        <f>MAX(0,AO303*(1-INDEX($B$11:$B$63,30))*(1-E303))</f>
        <v/>
      </c>
      <c r="AQ304" s="15">
        <f>MAX(0,AP303*(1-INDEX($B$11:$B$63,31))*(1-E303))</f>
        <v/>
      </c>
      <c r="AR304" s="15">
        <f>MAX(0,AQ303*(1-INDEX($B$11:$B$63,32))*(1-E303))</f>
        <v/>
      </c>
      <c r="AS304" s="15">
        <f>MAX(0,AR303*(1-INDEX($B$11:$B$63,33))*(1-E303))</f>
        <v/>
      </c>
      <c r="AT304" s="15">
        <f>MAX(0,AS303*(1-INDEX($B$11:$B$63,34))*(1-E303))</f>
        <v/>
      </c>
      <c r="AU304" s="15">
        <f>MAX(0,AT303*(1-INDEX($B$11:$B$63,35))*(1-E303))</f>
        <v/>
      </c>
      <c r="AV304" s="15">
        <f>MAX(0,AU303*(1-INDEX($B$11:$B$63,36))*(1-E303))</f>
        <v/>
      </c>
      <c r="AW304" s="15">
        <f>MAX(0,AV303*(1-INDEX($B$11:$B$63,37))*(1-E303))</f>
        <v/>
      </c>
      <c r="AX304" s="15">
        <f>MAX(0,AW303*(1-INDEX($B$11:$B$63,38))*(1-E303))</f>
        <v/>
      </c>
      <c r="AY304" s="15">
        <f>MAX(0,AX303*(1-INDEX($B$11:$B$63,39))*(1-E303))</f>
        <v/>
      </c>
      <c r="AZ304" s="15">
        <f>MAX(0,AY303*(1-INDEX($B$11:$B$63,40))*(1-E303))</f>
        <v/>
      </c>
      <c r="BA304" s="15">
        <f>MAX(0,AZ303*(1-INDEX($B$11:$B$63,41))*(1-E303))</f>
        <v/>
      </c>
      <c r="BB304" s="15">
        <f>MAX(0,BA303*(1-INDEX($B$11:$B$63,42))*(1-E303))</f>
        <v/>
      </c>
      <c r="BC304" s="15">
        <f>MAX(0,BB303*(1-INDEX($B$11:$B$63,43))*(1-E303))</f>
        <v/>
      </c>
      <c r="BD304" s="15">
        <f>MAX(0,BC303*(1-INDEX($B$11:$B$63,44))*(1-E303))</f>
        <v/>
      </c>
      <c r="BE304" s="15">
        <f>MAX(0,BD303*(1-INDEX($B$11:$B$63,45))*(1-E303))</f>
        <v/>
      </c>
      <c r="BF304" s="15">
        <f>MAX(0,BE303*(1-INDEX($B$11:$B$63,46))*(1-E303))</f>
        <v/>
      </c>
      <c r="BG304" s="15">
        <f>MAX(0,BF303*(1-INDEX($B$11:$B$63,47))*(1-E303))</f>
        <v/>
      </c>
      <c r="BH304" s="15">
        <f>MAX(0,BG303*(1-INDEX($B$11:$B$63,48))*(1-E303))</f>
        <v/>
      </c>
      <c r="BI304" s="15">
        <f>MAX(0,BH303*(1-INDEX($B$11:$B$63,49))*(1-E303))</f>
        <v/>
      </c>
      <c r="BJ304" s="15">
        <f>MAX(0,BI303*(1-INDEX($B$11:$B$63,50))*(1-E303))</f>
        <v/>
      </c>
      <c r="BK304" s="15">
        <f>MAX(0,BJ303*(1-INDEX($B$11:$B$63,51))*(1-E303))</f>
        <v/>
      </c>
      <c r="BL304" s="15">
        <f>MAX(0,(BL303+BK303)*(1-INDEX($B$11:$B$63,53))*(1-E303))</f>
        <v/>
      </c>
    </row>
    <row r="305">
      <c r="A305" s="55" t="n">
        <v>239</v>
      </c>
      <c r="B305" s="15">
        <f>IF(A305&gt;Inputs!$C$62,"",SUM(M305:BK305))</f>
        <v/>
      </c>
      <c r="C305" s="15">
        <f>IF(A305&gt;Inputs!$C$62,"",INDEX(Trajectory!$C$23:$C$2000,A305))</f>
        <v/>
      </c>
      <c r="D305" s="15">
        <f>IF(A305&gt;Inputs!$C$62,"",SUM(L305:BK305))</f>
        <v/>
      </c>
      <c r="E305" s="12">
        <f>IF(A305&gt;Inputs!$C$62,"",INDEX(Trajectory!$AG$23:$AG$2000,A305))</f>
        <v/>
      </c>
      <c r="F305" s="12">
        <f>IF(D305=0,0,SUMPRODUCT(L305:BK305,$B$11:$B$63)/D305)</f>
        <v/>
      </c>
      <c r="G305" s="12">
        <f>IF(D305=0,0,MIN(0.95,1-(1-F305)*(1-E305)))</f>
        <v/>
      </c>
      <c r="H305" s="15">
        <f>IF(D305=0,0,D305*G305)</f>
        <v/>
      </c>
      <c r="I305" s="15">
        <f>IF(D305=0,0,D305-H305)</f>
        <v/>
      </c>
      <c r="L305" s="15">
        <f>C305</f>
        <v/>
      </c>
      <c r="M305" s="15">
        <f>MAX(0,L304*(1-INDEX($B$11:$B$63,1))*(1-E304))</f>
        <v/>
      </c>
      <c r="N305" s="15">
        <f>MAX(0,M304*(1-INDEX($B$11:$B$63,2))*(1-E304))</f>
        <v/>
      </c>
      <c r="O305" s="15">
        <f>MAX(0,N304*(1-INDEX($B$11:$B$63,3))*(1-E304))</f>
        <v/>
      </c>
      <c r="P305" s="15">
        <f>MAX(0,O304*(1-INDEX($B$11:$B$63,4))*(1-E304))</f>
        <v/>
      </c>
      <c r="Q305" s="15">
        <f>MAX(0,P304*(1-INDEX($B$11:$B$63,5))*(1-E304))</f>
        <v/>
      </c>
      <c r="R305" s="15">
        <f>MAX(0,Q304*(1-INDEX($B$11:$B$63,6))*(1-E304))</f>
        <v/>
      </c>
      <c r="S305" s="15">
        <f>MAX(0,R304*(1-INDEX($B$11:$B$63,7))*(1-E304))</f>
        <v/>
      </c>
      <c r="T305" s="15">
        <f>MAX(0,S304*(1-INDEX($B$11:$B$63,8))*(1-E304))</f>
        <v/>
      </c>
      <c r="U305" s="15">
        <f>MAX(0,T304*(1-INDEX($B$11:$B$63,9))*(1-E304))</f>
        <v/>
      </c>
      <c r="V305" s="15">
        <f>MAX(0,U304*(1-INDEX($B$11:$B$63,10))*(1-E304))</f>
        <v/>
      </c>
      <c r="W305" s="15">
        <f>MAX(0,V304*(1-INDEX($B$11:$B$63,11))*(1-E304))</f>
        <v/>
      </c>
      <c r="X305" s="15">
        <f>MAX(0,W304*(1-INDEX($B$11:$B$63,12))*(1-E304))</f>
        <v/>
      </c>
      <c r="Y305" s="15">
        <f>MAX(0,X304*(1-INDEX($B$11:$B$63,13))*(1-E304))</f>
        <v/>
      </c>
      <c r="Z305" s="15">
        <f>MAX(0,Y304*(1-INDEX($B$11:$B$63,14))*(1-E304))</f>
        <v/>
      </c>
      <c r="AA305" s="15">
        <f>MAX(0,Z304*(1-INDEX($B$11:$B$63,15))*(1-E304))</f>
        <v/>
      </c>
      <c r="AB305" s="15">
        <f>MAX(0,AA304*(1-INDEX($B$11:$B$63,16))*(1-E304))</f>
        <v/>
      </c>
      <c r="AC305" s="15">
        <f>MAX(0,AB304*(1-INDEX($B$11:$B$63,17))*(1-E304))</f>
        <v/>
      </c>
      <c r="AD305" s="15">
        <f>MAX(0,AC304*(1-INDEX($B$11:$B$63,18))*(1-E304))</f>
        <v/>
      </c>
      <c r="AE305" s="15">
        <f>MAX(0,AD304*(1-INDEX($B$11:$B$63,19))*(1-E304))</f>
        <v/>
      </c>
      <c r="AF305" s="15">
        <f>MAX(0,AE304*(1-INDEX($B$11:$B$63,20))*(1-E304))</f>
        <v/>
      </c>
      <c r="AG305" s="15">
        <f>MAX(0,AF304*(1-INDEX($B$11:$B$63,21))*(1-E304))</f>
        <v/>
      </c>
      <c r="AH305" s="15">
        <f>MAX(0,AG304*(1-INDEX($B$11:$B$63,22))*(1-E304))</f>
        <v/>
      </c>
      <c r="AI305" s="15">
        <f>MAX(0,AH304*(1-INDEX($B$11:$B$63,23))*(1-E304))</f>
        <v/>
      </c>
      <c r="AJ305" s="15">
        <f>MAX(0,AI304*(1-INDEX($B$11:$B$63,24))*(1-E304))</f>
        <v/>
      </c>
      <c r="AK305" s="15">
        <f>MAX(0,AJ304*(1-INDEX($B$11:$B$63,25))*(1-E304))</f>
        <v/>
      </c>
      <c r="AL305" s="15">
        <f>MAX(0,AK304*(1-INDEX($B$11:$B$63,26))*(1-E304))</f>
        <v/>
      </c>
      <c r="AM305" s="15">
        <f>MAX(0,AL304*(1-INDEX($B$11:$B$63,27))*(1-E304))</f>
        <v/>
      </c>
      <c r="AN305" s="15">
        <f>MAX(0,AM304*(1-INDEX($B$11:$B$63,28))*(1-E304))</f>
        <v/>
      </c>
      <c r="AO305" s="15">
        <f>MAX(0,AN304*(1-INDEX($B$11:$B$63,29))*(1-E304))</f>
        <v/>
      </c>
      <c r="AP305" s="15">
        <f>MAX(0,AO304*(1-INDEX($B$11:$B$63,30))*(1-E304))</f>
        <v/>
      </c>
      <c r="AQ305" s="15">
        <f>MAX(0,AP304*(1-INDEX($B$11:$B$63,31))*(1-E304))</f>
        <v/>
      </c>
      <c r="AR305" s="15">
        <f>MAX(0,AQ304*(1-INDEX($B$11:$B$63,32))*(1-E304))</f>
        <v/>
      </c>
      <c r="AS305" s="15">
        <f>MAX(0,AR304*(1-INDEX($B$11:$B$63,33))*(1-E304))</f>
        <v/>
      </c>
      <c r="AT305" s="15">
        <f>MAX(0,AS304*(1-INDEX($B$11:$B$63,34))*(1-E304))</f>
        <v/>
      </c>
      <c r="AU305" s="15">
        <f>MAX(0,AT304*(1-INDEX($B$11:$B$63,35))*(1-E304))</f>
        <v/>
      </c>
      <c r="AV305" s="15">
        <f>MAX(0,AU304*(1-INDEX($B$11:$B$63,36))*(1-E304))</f>
        <v/>
      </c>
      <c r="AW305" s="15">
        <f>MAX(0,AV304*(1-INDEX($B$11:$B$63,37))*(1-E304))</f>
        <v/>
      </c>
      <c r="AX305" s="15">
        <f>MAX(0,AW304*(1-INDEX($B$11:$B$63,38))*(1-E304))</f>
        <v/>
      </c>
      <c r="AY305" s="15">
        <f>MAX(0,AX304*(1-INDEX($B$11:$B$63,39))*(1-E304))</f>
        <v/>
      </c>
      <c r="AZ305" s="15">
        <f>MAX(0,AY304*(1-INDEX($B$11:$B$63,40))*(1-E304))</f>
        <v/>
      </c>
      <c r="BA305" s="15">
        <f>MAX(0,AZ304*(1-INDEX($B$11:$B$63,41))*(1-E304))</f>
        <v/>
      </c>
      <c r="BB305" s="15">
        <f>MAX(0,BA304*(1-INDEX($B$11:$B$63,42))*(1-E304))</f>
        <v/>
      </c>
      <c r="BC305" s="15">
        <f>MAX(0,BB304*(1-INDEX($B$11:$B$63,43))*(1-E304))</f>
        <v/>
      </c>
      <c r="BD305" s="15">
        <f>MAX(0,BC304*(1-INDEX($B$11:$B$63,44))*(1-E304))</f>
        <v/>
      </c>
      <c r="BE305" s="15">
        <f>MAX(0,BD304*(1-INDEX($B$11:$B$63,45))*(1-E304))</f>
        <v/>
      </c>
      <c r="BF305" s="15">
        <f>MAX(0,BE304*(1-INDEX($B$11:$B$63,46))*(1-E304))</f>
        <v/>
      </c>
      <c r="BG305" s="15">
        <f>MAX(0,BF304*(1-INDEX($B$11:$B$63,47))*(1-E304))</f>
        <v/>
      </c>
      <c r="BH305" s="15">
        <f>MAX(0,BG304*(1-INDEX($B$11:$B$63,48))*(1-E304))</f>
        <v/>
      </c>
      <c r="BI305" s="15">
        <f>MAX(0,BH304*(1-INDEX($B$11:$B$63,49))*(1-E304))</f>
        <v/>
      </c>
      <c r="BJ305" s="15">
        <f>MAX(0,BI304*(1-INDEX($B$11:$B$63,50))*(1-E304))</f>
        <v/>
      </c>
      <c r="BK305" s="15">
        <f>MAX(0,BJ304*(1-INDEX($B$11:$B$63,51))*(1-E304))</f>
        <v/>
      </c>
      <c r="BL305" s="15">
        <f>MAX(0,(BL304+BK304)*(1-INDEX($B$11:$B$63,53))*(1-E304))</f>
        <v/>
      </c>
    </row>
    <row r="306">
      <c r="A306" s="55" t="n">
        <v>240</v>
      </c>
      <c r="B306" s="15">
        <f>IF(A306&gt;Inputs!$C$62,"",SUM(M306:BK306))</f>
        <v/>
      </c>
      <c r="C306" s="15">
        <f>IF(A306&gt;Inputs!$C$62,"",INDEX(Trajectory!$C$23:$C$2000,A306))</f>
        <v/>
      </c>
      <c r="D306" s="15">
        <f>IF(A306&gt;Inputs!$C$62,"",SUM(L306:BK306))</f>
        <v/>
      </c>
      <c r="E306" s="12">
        <f>IF(A306&gt;Inputs!$C$62,"",INDEX(Trajectory!$AG$23:$AG$2000,A306))</f>
        <v/>
      </c>
      <c r="F306" s="12">
        <f>IF(D306=0,0,SUMPRODUCT(L306:BK306,$B$11:$B$63)/D306)</f>
        <v/>
      </c>
      <c r="G306" s="12">
        <f>IF(D306=0,0,MIN(0.95,1-(1-F306)*(1-E306)))</f>
        <v/>
      </c>
      <c r="H306" s="15">
        <f>IF(D306=0,0,D306*G306)</f>
        <v/>
      </c>
      <c r="I306" s="15">
        <f>IF(D306=0,0,D306-H306)</f>
        <v/>
      </c>
      <c r="L306" s="15">
        <f>C306</f>
        <v/>
      </c>
      <c r="M306" s="15">
        <f>MAX(0,L305*(1-INDEX($B$11:$B$63,1))*(1-E305))</f>
        <v/>
      </c>
      <c r="N306" s="15">
        <f>MAX(0,M305*(1-INDEX($B$11:$B$63,2))*(1-E305))</f>
        <v/>
      </c>
      <c r="O306" s="15">
        <f>MAX(0,N305*(1-INDEX($B$11:$B$63,3))*(1-E305))</f>
        <v/>
      </c>
      <c r="P306" s="15">
        <f>MAX(0,O305*(1-INDEX($B$11:$B$63,4))*(1-E305))</f>
        <v/>
      </c>
      <c r="Q306" s="15">
        <f>MAX(0,P305*(1-INDEX($B$11:$B$63,5))*(1-E305))</f>
        <v/>
      </c>
      <c r="R306" s="15">
        <f>MAX(0,Q305*(1-INDEX($B$11:$B$63,6))*(1-E305))</f>
        <v/>
      </c>
      <c r="S306" s="15">
        <f>MAX(0,R305*(1-INDEX($B$11:$B$63,7))*(1-E305))</f>
        <v/>
      </c>
      <c r="T306" s="15">
        <f>MAX(0,S305*(1-INDEX($B$11:$B$63,8))*(1-E305))</f>
        <v/>
      </c>
      <c r="U306" s="15">
        <f>MAX(0,T305*(1-INDEX($B$11:$B$63,9))*(1-E305))</f>
        <v/>
      </c>
      <c r="V306" s="15">
        <f>MAX(0,U305*(1-INDEX($B$11:$B$63,10))*(1-E305))</f>
        <v/>
      </c>
      <c r="W306" s="15">
        <f>MAX(0,V305*(1-INDEX($B$11:$B$63,11))*(1-E305))</f>
        <v/>
      </c>
      <c r="X306" s="15">
        <f>MAX(0,W305*(1-INDEX($B$11:$B$63,12))*(1-E305))</f>
        <v/>
      </c>
      <c r="Y306" s="15">
        <f>MAX(0,X305*(1-INDEX($B$11:$B$63,13))*(1-E305))</f>
        <v/>
      </c>
      <c r="Z306" s="15">
        <f>MAX(0,Y305*(1-INDEX($B$11:$B$63,14))*(1-E305))</f>
        <v/>
      </c>
      <c r="AA306" s="15">
        <f>MAX(0,Z305*(1-INDEX($B$11:$B$63,15))*(1-E305))</f>
        <v/>
      </c>
      <c r="AB306" s="15">
        <f>MAX(0,AA305*(1-INDEX($B$11:$B$63,16))*(1-E305))</f>
        <v/>
      </c>
      <c r="AC306" s="15">
        <f>MAX(0,AB305*(1-INDEX($B$11:$B$63,17))*(1-E305))</f>
        <v/>
      </c>
      <c r="AD306" s="15">
        <f>MAX(0,AC305*(1-INDEX($B$11:$B$63,18))*(1-E305))</f>
        <v/>
      </c>
      <c r="AE306" s="15">
        <f>MAX(0,AD305*(1-INDEX($B$11:$B$63,19))*(1-E305))</f>
        <v/>
      </c>
      <c r="AF306" s="15">
        <f>MAX(0,AE305*(1-INDEX($B$11:$B$63,20))*(1-E305))</f>
        <v/>
      </c>
      <c r="AG306" s="15">
        <f>MAX(0,AF305*(1-INDEX($B$11:$B$63,21))*(1-E305))</f>
        <v/>
      </c>
      <c r="AH306" s="15">
        <f>MAX(0,AG305*(1-INDEX($B$11:$B$63,22))*(1-E305))</f>
        <v/>
      </c>
      <c r="AI306" s="15">
        <f>MAX(0,AH305*(1-INDEX($B$11:$B$63,23))*(1-E305))</f>
        <v/>
      </c>
      <c r="AJ306" s="15">
        <f>MAX(0,AI305*(1-INDEX($B$11:$B$63,24))*(1-E305))</f>
        <v/>
      </c>
      <c r="AK306" s="15">
        <f>MAX(0,AJ305*(1-INDEX($B$11:$B$63,25))*(1-E305))</f>
        <v/>
      </c>
      <c r="AL306" s="15">
        <f>MAX(0,AK305*(1-INDEX($B$11:$B$63,26))*(1-E305))</f>
        <v/>
      </c>
      <c r="AM306" s="15">
        <f>MAX(0,AL305*(1-INDEX($B$11:$B$63,27))*(1-E305))</f>
        <v/>
      </c>
      <c r="AN306" s="15">
        <f>MAX(0,AM305*(1-INDEX($B$11:$B$63,28))*(1-E305))</f>
        <v/>
      </c>
      <c r="AO306" s="15">
        <f>MAX(0,AN305*(1-INDEX($B$11:$B$63,29))*(1-E305))</f>
        <v/>
      </c>
      <c r="AP306" s="15">
        <f>MAX(0,AO305*(1-INDEX($B$11:$B$63,30))*(1-E305))</f>
        <v/>
      </c>
      <c r="AQ306" s="15">
        <f>MAX(0,AP305*(1-INDEX($B$11:$B$63,31))*(1-E305))</f>
        <v/>
      </c>
      <c r="AR306" s="15">
        <f>MAX(0,AQ305*(1-INDEX($B$11:$B$63,32))*(1-E305))</f>
        <v/>
      </c>
      <c r="AS306" s="15">
        <f>MAX(0,AR305*(1-INDEX($B$11:$B$63,33))*(1-E305))</f>
        <v/>
      </c>
      <c r="AT306" s="15">
        <f>MAX(0,AS305*(1-INDEX($B$11:$B$63,34))*(1-E305))</f>
        <v/>
      </c>
      <c r="AU306" s="15">
        <f>MAX(0,AT305*(1-INDEX($B$11:$B$63,35))*(1-E305))</f>
        <v/>
      </c>
      <c r="AV306" s="15">
        <f>MAX(0,AU305*(1-INDEX($B$11:$B$63,36))*(1-E305))</f>
        <v/>
      </c>
      <c r="AW306" s="15">
        <f>MAX(0,AV305*(1-INDEX($B$11:$B$63,37))*(1-E305))</f>
        <v/>
      </c>
      <c r="AX306" s="15">
        <f>MAX(0,AW305*(1-INDEX($B$11:$B$63,38))*(1-E305))</f>
        <v/>
      </c>
      <c r="AY306" s="15">
        <f>MAX(0,AX305*(1-INDEX($B$11:$B$63,39))*(1-E305))</f>
        <v/>
      </c>
      <c r="AZ306" s="15">
        <f>MAX(0,AY305*(1-INDEX($B$11:$B$63,40))*(1-E305))</f>
        <v/>
      </c>
      <c r="BA306" s="15">
        <f>MAX(0,AZ305*(1-INDEX($B$11:$B$63,41))*(1-E305))</f>
        <v/>
      </c>
      <c r="BB306" s="15">
        <f>MAX(0,BA305*(1-INDEX($B$11:$B$63,42))*(1-E305))</f>
        <v/>
      </c>
      <c r="BC306" s="15">
        <f>MAX(0,BB305*(1-INDEX($B$11:$B$63,43))*(1-E305))</f>
        <v/>
      </c>
      <c r="BD306" s="15">
        <f>MAX(0,BC305*(1-INDEX($B$11:$B$63,44))*(1-E305))</f>
        <v/>
      </c>
      <c r="BE306" s="15">
        <f>MAX(0,BD305*(1-INDEX($B$11:$B$63,45))*(1-E305))</f>
        <v/>
      </c>
      <c r="BF306" s="15">
        <f>MAX(0,BE305*(1-INDEX($B$11:$B$63,46))*(1-E305))</f>
        <v/>
      </c>
      <c r="BG306" s="15">
        <f>MAX(0,BF305*(1-INDEX($B$11:$B$63,47))*(1-E305))</f>
        <v/>
      </c>
      <c r="BH306" s="15">
        <f>MAX(0,BG305*(1-INDEX($B$11:$B$63,48))*(1-E305))</f>
        <v/>
      </c>
      <c r="BI306" s="15">
        <f>MAX(0,BH305*(1-INDEX($B$11:$B$63,49))*(1-E305))</f>
        <v/>
      </c>
      <c r="BJ306" s="15">
        <f>MAX(0,BI305*(1-INDEX($B$11:$B$63,50))*(1-E305))</f>
        <v/>
      </c>
      <c r="BK306" s="15">
        <f>MAX(0,BJ305*(1-INDEX($B$11:$B$63,51))*(1-E305))</f>
        <v/>
      </c>
      <c r="BL306" s="15">
        <f>MAX(0,(BL305+BK305)*(1-INDEX($B$11:$B$63,53))*(1-E305))</f>
        <v/>
      </c>
    </row>
    <row r="307">
      <c r="A307" s="55" t="n">
        <v>241</v>
      </c>
      <c r="B307" s="15">
        <f>IF(A307&gt;Inputs!$C$62,"",SUM(M307:BK307))</f>
        <v/>
      </c>
      <c r="C307" s="15">
        <f>IF(A307&gt;Inputs!$C$62,"",INDEX(Trajectory!$C$23:$C$2000,A307))</f>
        <v/>
      </c>
      <c r="D307" s="15">
        <f>IF(A307&gt;Inputs!$C$62,"",SUM(L307:BK307))</f>
        <v/>
      </c>
      <c r="E307" s="12">
        <f>IF(A307&gt;Inputs!$C$62,"",INDEX(Trajectory!$AG$23:$AG$2000,A307))</f>
        <v/>
      </c>
      <c r="F307" s="12">
        <f>IF(D307=0,0,SUMPRODUCT(L307:BK307,$B$11:$B$63)/D307)</f>
        <v/>
      </c>
      <c r="G307" s="12">
        <f>IF(D307=0,0,MIN(0.95,1-(1-F307)*(1-E307)))</f>
        <v/>
      </c>
      <c r="H307" s="15">
        <f>IF(D307=0,0,D307*G307)</f>
        <v/>
      </c>
      <c r="I307" s="15">
        <f>IF(D307=0,0,D307-H307)</f>
        <v/>
      </c>
      <c r="L307" s="15">
        <f>C307</f>
        <v/>
      </c>
      <c r="M307" s="15">
        <f>MAX(0,L306*(1-INDEX($B$11:$B$63,1))*(1-E306))</f>
        <v/>
      </c>
      <c r="N307" s="15">
        <f>MAX(0,M306*(1-INDEX($B$11:$B$63,2))*(1-E306))</f>
        <v/>
      </c>
      <c r="O307" s="15">
        <f>MAX(0,N306*(1-INDEX($B$11:$B$63,3))*(1-E306))</f>
        <v/>
      </c>
      <c r="P307" s="15">
        <f>MAX(0,O306*(1-INDEX($B$11:$B$63,4))*(1-E306))</f>
        <v/>
      </c>
      <c r="Q307" s="15">
        <f>MAX(0,P306*(1-INDEX($B$11:$B$63,5))*(1-E306))</f>
        <v/>
      </c>
      <c r="R307" s="15">
        <f>MAX(0,Q306*(1-INDEX($B$11:$B$63,6))*(1-E306))</f>
        <v/>
      </c>
      <c r="S307" s="15">
        <f>MAX(0,R306*(1-INDEX($B$11:$B$63,7))*(1-E306))</f>
        <v/>
      </c>
      <c r="T307" s="15">
        <f>MAX(0,S306*(1-INDEX($B$11:$B$63,8))*(1-E306))</f>
        <v/>
      </c>
      <c r="U307" s="15">
        <f>MAX(0,T306*(1-INDEX($B$11:$B$63,9))*(1-E306))</f>
        <v/>
      </c>
      <c r="V307" s="15">
        <f>MAX(0,U306*(1-INDEX($B$11:$B$63,10))*(1-E306))</f>
        <v/>
      </c>
      <c r="W307" s="15">
        <f>MAX(0,V306*(1-INDEX($B$11:$B$63,11))*(1-E306))</f>
        <v/>
      </c>
      <c r="X307" s="15">
        <f>MAX(0,W306*(1-INDEX($B$11:$B$63,12))*(1-E306))</f>
        <v/>
      </c>
      <c r="Y307" s="15">
        <f>MAX(0,X306*(1-INDEX($B$11:$B$63,13))*(1-E306))</f>
        <v/>
      </c>
      <c r="Z307" s="15">
        <f>MAX(0,Y306*(1-INDEX($B$11:$B$63,14))*(1-E306))</f>
        <v/>
      </c>
      <c r="AA307" s="15">
        <f>MAX(0,Z306*(1-INDEX($B$11:$B$63,15))*(1-E306))</f>
        <v/>
      </c>
      <c r="AB307" s="15">
        <f>MAX(0,AA306*(1-INDEX($B$11:$B$63,16))*(1-E306))</f>
        <v/>
      </c>
      <c r="AC307" s="15">
        <f>MAX(0,AB306*(1-INDEX($B$11:$B$63,17))*(1-E306))</f>
        <v/>
      </c>
      <c r="AD307" s="15">
        <f>MAX(0,AC306*(1-INDEX($B$11:$B$63,18))*(1-E306))</f>
        <v/>
      </c>
      <c r="AE307" s="15">
        <f>MAX(0,AD306*(1-INDEX($B$11:$B$63,19))*(1-E306))</f>
        <v/>
      </c>
      <c r="AF307" s="15">
        <f>MAX(0,AE306*(1-INDEX($B$11:$B$63,20))*(1-E306))</f>
        <v/>
      </c>
      <c r="AG307" s="15">
        <f>MAX(0,AF306*(1-INDEX($B$11:$B$63,21))*(1-E306))</f>
        <v/>
      </c>
      <c r="AH307" s="15">
        <f>MAX(0,AG306*(1-INDEX($B$11:$B$63,22))*(1-E306))</f>
        <v/>
      </c>
      <c r="AI307" s="15">
        <f>MAX(0,AH306*(1-INDEX($B$11:$B$63,23))*(1-E306))</f>
        <v/>
      </c>
      <c r="AJ307" s="15">
        <f>MAX(0,AI306*(1-INDEX($B$11:$B$63,24))*(1-E306))</f>
        <v/>
      </c>
      <c r="AK307" s="15">
        <f>MAX(0,AJ306*(1-INDEX($B$11:$B$63,25))*(1-E306))</f>
        <v/>
      </c>
      <c r="AL307" s="15">
        <f>MAX(0,AK306*(1-INDEX($B$11:$B$63,26))*(1-E306))</f>
        <v/>
      </c>
      <c r="AM307" s="15">
        <f>MAX(0,AL306*(1-INDEX($B$11:$B$63,27))*(1-E306))</f>
        <v/>
      </c>
      <c r="AN307" s="15">
        <f>MAX(0,AM306*(1-INDEX($B$11:$B$63,28))*(1-E306))</f>
        <v/>
      </c>
      <c r="AO307" s="15">
        <f>MAX(0,AN306*(1-INDEX($B$11:$B$63,29))*(1-E306))</f>
        <v/>
      </c>
      <c r="AP307" s="15">
        <f>MAX(0,AO306*(1-INDEX($B$11:$B$63,30))*(1-E306))</f>
        <v/>
      </c>
      <c r="AQ307" s="15">
        <f>MAX(0,AP306*(1-INDEX($B$11:$B$63,31))*(1-E306))</f>
        <v/>
      </c>
      <c r="AR307" s="15">
        <f>MAX(0,AQ306*(1-INDEX($B$11:$B$63,32))*(1-E306))</f>
        <v/>
      </c>
      <c r="AS307" s="15">
        <f>MAX(0,AR306*(1-INDEX($B$11:$B$63,33))*(1-E306))</f>
        <v/>
      </c>
      <c r="AT307" s="15">
        <f>MAX(0,AS306*(1-INDEX($B$11:$B$63,34))*(1-E306))</f>
        <v/>
      </c>
      <c r="AU307" s="15">
        <f>MAX(0,AT306*(1-INDEX($B$11:$B$63,35))*(1-E306))</f>
        <v/>
      </c>
      <c r="AV307" s="15">
        <f>MAX(0,AU306*(1-INDEX($B$11:$B$63,36))*(1-E306))</f>
        <v/>
      </c>
      <c r="AW307" s="15">
        <f>MAX(0,AV306*(1-INDEX($B$11:$B$63,37))*(1-E306))</f>
        <v/>
      </c>
      <c r="AX307" s="15">
        <f>MAX(0,AW306*(1-INDEX($B$11:$B$63,38))*(1-E306))</f>
        <v/>
      </c>
      <c r="AY307" s="15">
        <f>MAX(0,AX306*(1-INDEX($B$11:$B$63,39))*(1-E306))</f>
        <v/>
      </c>
      <c r="AZ307" s="15">
        <f>MAX(0,AY306*(1-INDEX($B$11:$B$63,40))*(1-E306))</f>
        <v/>
      </c>
      <c r="BA307" s="15">
        <f>MAX(0,AZ306*(1-INDEX($B$11:$B$63,41))*(1-E306))</f>
        <v/>
      </c>
      <c r="BB307" s="15">
        <f>MAX(0,BA306*(1-INDEX($B$11:$B$63,42))*(1-E306))</f>
        <v/>
      </c>
      <c r="BC307" s="15">
        <f>MAX(0,BB306*(1-INDEX($B$11:$B$63,43))*(1-E306))</f>
        <v/>
      </c>
      <c r="BD307" s="15">
        <f>MAX(0,BC306*(1-INDEX($B$11:$B$63,44))*(1-E306))</f>
        <v/>
      </c>
      <c r="BE307" s="15">
        <f>MAX(0,BD306*(1-INDEX($B$11:$B$63,45))*(1-E306))</f>
        <v/>
      </c>
      <c r="BF307" s="15">
        <f>MAX(0,BE306*(1-INDEX($B$11:$B$63,46))*(1-E306))</f>
        <v/>
      </c>
      <c r="BG307" s="15">
        <f>MAX(0,BF306*(1-INDEX($B$11:$B$63,47))*(1-E306))</f>
        <v/>
      </c>
      <c r="BH307" s="15">
        <f>MAX(0,BG306*(1-INDEX($B$11:$B$63,48))*(1-E306))</f>
        <v/>
      </c>
      <c r="BI307" s="15">
        <f>MAX(0,BH306*(1-INDEX($B$11:$B$63,49))*(1-E306))</f>
        <v/>
      </c>
      <c r="BJ307" s="15">
        <f>MAX(0,BI306*(1-INDEX($B$11:$B$63,50))*(1-E306))</f>
        <v/>
      </c>
      <c r="BK307" s="15">
        <f>MAX(0,BJ306*(1-INDEX($B$11:$B$63,51))*(1-E306))</f>
        <v/>
      </c>
      <c r="BL307" s="15">
        <f>MAX(0,(BL306+BK306)*(1-INDEX($B$11:$B$63,53))*(1-E306))</f>
        <v/>
      </c>
    </row>
    <row r="308">
      <c r="A308" s="55" t="n">
        <v>242</v>
      </c>
      <c r="B308" s="15">
        <f>IF(A308&gt;Inputs!$C$62,"",SUM(M308:BK308))</f>
        <v/>
      </c>
      <c r="C308" s="15">
        <f>IF(A308&gt;Inputs!$C$62,"",INDEX(Trajectory!$C$23:$C$2000,A308))</f>
        <v/>
      </c>
      <c r="D308" s="15">
        <f>IF(A308&gt;Inputs!$C$62,"",SUM(L308:BK308))</f>
        <v/>
      </c>
      <c r="E308" s="12">
        <f>IF(A308&gt;Inputs!$C$62,"",INDEX(Trajectory!$AG$23:$AG$2000,A308))</f>
        <v/>
      </c>
      <c r="F308" s="12">
        <f>IF(D308=0,0,SUMPRODUCT(L308:BK308,$B$11:$B$63)/D308)</f>
        <v/>
      </c>
      <c r="G308" s="12">
        <f>IF(D308=0,0,MIN(0.95,1-(1-F308)*(1-E308)))</f>
        <v/>
      </c>
      <c r="H308" s="15">
        <f>IF(D308=0,0,D308*G308)</f>
        <v/>
      </c>
      <c r="I308" s="15">
        <f>IF(D308=0,0,D308-H308)</f>
        <v/>
      </c>
      <c r="L308" s="15">
        <f>C308</f>
        <v/>
      </c>
      <c r="M308" s="15">
        <f>MAX(0,L307*(1-INDEX($B$11:$B$63,1))*(1-E307))</f>
        <v/>
      </c>
      <c r="N308" s="15">
        <f>MAX(0,M307*(1-INDEX($B$11:$B$63,2))*(1-E307))</f>
        <v/>
      </c>
      <c r="O308" s="15">
        <f>MAX(0,N307*(1-INDEX($B$11:$B$63,3))*(1-E307))</f>
        <v/>
      </c>
      <c r="P308" s="15">
        <f>MAX(0,O307*(1-INDEX($B$11:$B$63,4))*(1-E307))</f>
        <v/>
      </c>
      <c r="Q308" s="15">
        <f>MAX(0,P307*(1-INDEX($B$11:$B$63,5))*(1-E307))</f>
        <v/>
      </c>
      <c r="R308" s="15">
        <f>MAX(0,Q307*(1-INDEX($B$11:$B$63,6))*(1-E307))</f>
        <v/>
      </c>
      <c r="S308" s="15">
        <f>MAX(0,R307*(1-INDEX($B$11:$B$63,7))*(1-E307))</f>
        <v/>
      </c>
      <c r="T308" s="15">
        <f>MAX(0,S307*(1-INDEX($B$11:$B$63,8))*(1-E307))</f>
        <v/>
      </c>
      <c r="U308" s="15">
        <f>MAX(0,T307*(1-INDEX($B$11:$B$63,9))*(1-E307))</f>
        <v/>
      </c>
      <c r="V308" s="15">
        <f>MAX(0,U307*(1-INDEX($B$11:$B$63,10))*(1-E307))</f>
        <v/>
      </c>
      <c r="W308" s="15">
        <f>MAX(0,V307*(1-INDEX($B$11:$B$63,11))*(1-E307))</f>
        <v/>
      </c>
      <c r="X308" s="15">
        <f>MAX(0,W307*(1-INDEX($B$11:$B$63,12))*(1-E307))</f>
        <v/>
      </c>
      <c r="Y308" s="15">
        <f>MAX(0,X307*(1-INDEX($B$11:$B$63,13))*(1-E307))</f>
        <v/>
      </c>
      <c r="Z308" s="15">
        <f>MAX(0,Y307*(1-INDEX($B$11:$B$63,14))*(1-E307))</f>
        <v/>
      </c>
      <c r="AA308" s="15">
        <f>MAX(0,Z307*(1-INDEX($B$11:$B$63,15))*(1-E307))</f>
        <v/>
      </c>
      <c r="AB308" s="15">
        <f>MAX(0,AA307*(1-INDEX($B$11:$B$63,16))*(1-E307))</f>
        <v/>
      </c>
      <c r="AC308" s="15">
        <f>MAX(0,AB307*(1-INDEX($B$11:$B$63,17))*(1-E307))</f>
        <v/>
      </c>
      <c r="AD308" s="15">
        <f>MAX(0,AC307*(1-INDEX($B$11:$B$63,18))*(1-E307))</f>
        <v/>
      </c>
      <c r="AE308" s="15">
        <f>MAX(0,AD307*(1-INDEX($B$11:$B$63,19))*(1-E307))</f>
        <v/>
      </c>
      <c r="AF308" s="15">
        <f>MAX(0,AE307*(1-INDEX($B$11:$B$63,20))*(1-E307))</f>
        <v/>
      </c>
      <c r="AG308" s="15">
        <f>MAX(0,AF307*(1-INDEX($B$11:$B$63,21))*(1-E307))</f>
        <v/>
      </c>
      <c r="AH308" s="15">
        <f>MAX(0,AG307*(1-INDEX($B$11:$B$63,22))*(1-E307))</f>
        <v/>
      </c>
      <c r="AI308" s="15">
        <f>MAX(0,AH307*(1-INDEX($B$11:$B$63,23))*(1-E307))</f>
        <v/>
      </c>
      <c r="AJ308" s="15">
        <f>MAX(0,AI307*(1-INDEX($B$11:$B$63,24))*(1-E307))</f>
        <v/>
      </c>
      <c r="AK308" s="15">
        <f>MAX(0,AJ307*(1-INDEX($B$11:$B$63,25))*(1-E307))</f>
        <v/>
      </c>
      <c r="AL308" s="15">
        <f>MAX(0,AK307*(1-INDEX($B$11:$B$63,26))*(1-E307))</f>
        <v/>
      </c>
      <c r="AM308" s="15">
        <f>MAX(0,AL307*(1-INDEX($B$11:$B$63,27))*(1-E307))</f>
        <v/>
      </c>
      <c r="AN308" s="15">
        <f>MAX(0,AM307*(1-INDEX($B$11:$B$63,28))*(1-E307))</f>
        <v/>
      </c>
      <c r="AO308" s="15">
        <f>MAX(0,AN307*(1-INDEX($B$11:$B$63,29))*(1-E307))</f>
        <v/>
      </c>
      <c r="AP308" s="15">
        <f>MAX(0,AO307*(1-INDEX($B$11:$B$63,30))*(1-E307))</f>
        <v/>
      </c>
      <c r="AQ308" s="15">
        <f>MAX(0,AP307*(1-INDEX($B$11:$B$63,31))*(1-E307))</f>
        <v/>
      </c>
      <c r="AR308" s="15">
        <f>MAX(0,AQ307*(1-INDEX($B$11:$B$63,32))*(1-E307))</f>
        <v/>
      </c>
      <c r="AS308" s="15">
        <f>MAX(0,AR307*(1-INDEX($B$11:$B$63,33))*(1-E307))</f>
        <v/>
      </c>
      <c r="AT308" s="15">
        <f>MAX(0,AS307*(1-INDEX($B$11:$B$63,34))*(1-E307))</f>
        <v/>
      </c>
      <c r="AU308" s="15">
        <f>MAX(0,AT307*(1-INDEX($B$11:$B$63,35))*(1-E307))</f>
        <v/>
      </c>
      <c r="AV308" s="15">
        <f>MAX(0,AU307*(1-INDEX($B$11:$B$63,36))*(1-E307))</f>
        <v/>
      </c>
      <c r="AW308" s="15">
        <f>MAX(0,AV307*(1-INDEX($B$11:$B$63,37))*(1-E307))</f>
        <v/>
      </c>
      <c r="AX308" s="15">
        <f>MAX(0,AW307*(1-INDEX($B$11:$B$63,38))*(1-E307))</f>
        <v/>
      </c>
      <c r="AY308" s="15">
        <f>MAX(0,AX307*(1-INDEX($B$11:$B$63,39))*(1-E307))</f>
        <v/>
      </c>
      <c r="AZ308" s="15">
        <f>MAX(0,AY307*(1-INDEX($B$11:$B$63,40))*(1-E307))</f>
        <v/>
      </c>
      <c r="BA308" s="15">
        <f>MAX(0,AZ307*(1-INDEX($B$11:$B$63,41))*(1-E307))</f>
        <v/>
      </c>
      <c r="BB308" s="15">
        <f>MAX(0,BA307*(1-INDEX($B$11:$B$63,42))*(1-E307))</f>
        <v/>
      </c>
      <c r="BC308" s="15">
        <f>MAX(0,BB307*(1-INDEX($B$11:$B$63,43))*(1-E307))</f>
        <v/>
      </c>
      <c r="BD308" s="15">
        <f>MAX(0,BC307*(1-INDEX($B$11:$B$63,44))*(1-E307))</f>
        <v/>
      </c>
      <c r="BE308" s="15">
        <f>MAX(0,BD307*(1-INDEX($B$11:$B$63,45))*(1-E307))</f>
        <v/>
      </c>
      <c r="BF308" s="15">
        <f>MAX(0,BE307*(1-INDEX($B$11:$B$63,46))*(1-E307))</f>
        <v/>
      </c>
      <c r="BG308" s="15">
        <f>MAX(0,BF307*(1-INDEX($B$11:$B$63,47))*(1-E307))</f>
        <v/>
      </c>
      <c r="BH308" s="15">
        <f>MAX(0,BG307*(1-INDEX($B$11:$B$63,48))*(1-E307))</f>
        <v/>
      </c>
      <c r="BI308" s="15">
        <f>MAX(0,BH307*(1-INDEX($B$11:$B$63,49))*(1-E307))</f>
        <v/>
      </c>
      <c r="BJ308" s="15">
        <f>MAX(0,BI307*(1-INDEX($B$11:$B$63,50))*(1-E307))</f>
        <v/>
      </c>
      <c r="BK308" s="15">
        <f>MAX(0,BJ307*(1-INDEX($B$11:$B$63,51))*(1-E307))</f>
        <v/>
      </c>
      <c r="BL308" s="15">
        <f>MAX(0,(BL307+BK307)*(1-INDEX($B$11:$B$63,53))*(1-E307))</f>
        <v/>
      </c>
    </row>
    <row r="309">
      <c r="A309" s="55" t="n">
        <v>243</v>
      </c>
      <c r="B309" s="15">
        <f>IF(A309&gt;Inputs!$C$62,"",SUM(M309:BK309))</f>
        <v/>
      </c>
      <c r="C309" s="15">
        <f>IF(A309&gt;Inputs!$C$62,"",INDEX(Trajectory!$C$23:$C$2000,A309))</f>
        <v/>
      </c>
      <c r="D309" s="15">
        <f>IF(A309&gt;Inputs!$C$62,"",SUM(L309:BK309))</f>
        <v/>
      </c>
      <c r="E309" s="12">
        <f>IF(A309&gt;Inputs!$C$62,"",INDEX(Trajectory!$AG$23:$AG$2000,A309))</f>
        <v/>
      </c>
      <c r="F309" s="12">
        <f>IF(D309=0,0,SUMPRODUCT(L309:BK309,$B$11:$B$63)/D309)</f>
        <v/>
      </c>
      <c r="G309" s="12">
        <f>IF(D309=0,0,MIN(0.95,1-(1-F309)*(1-E309)))</f>
        <v/>
      </c>
      <c r="H309" s="15">
        <f>IF(D309=0,0,D309*G309)</f>
        <v/>
      </c>
      <c r="I309" s="15">
        <f>IF(D309=0,0,D309-H309)</f>
        <v/>
      </c>
      <c r="L309" s="15">
        <f>C309</f>
        <v/>
      </c>
      <c r="M309" s="15">
        <f>MAX(0,L308*(1-INDEX($B$11:$B$63,1))*(1-E308))</f>
        <v/>
      </c>
      <c r="N309" s="15">
        <f>MAX(0,M308*(1-INDEX($B$11:$B$63,2))*(1-E308))</f>
        <v/>
      </c>
      <c r="O309" s="15">
        <f>MAX(0,N308*(1-INDEX($B$11:$B$63,3))*(1-E308))</f>
        <v/>
      </c>
      <c r="P309" s="15">
        <f>MAX(0,O308*(1-INDEX($B$11:$B$63,4))*(1-E308))</f>
        <v/>
      </c>
      <c r="Q309" s="15">
        <f>MAX(0,P308*(1-INDEX($B$11:$B$63,5))*(1-E308))</f>
        <v/>
      </c>
      <c r="R309" s="15">
        <f>MAX(0,Q308*(1-INDEX($B$11:$B$63,6))*(1-E308))</f>
        <v/>
      </c>
      <c r="S309" s="15">
        <f>MAX(0,R308*(1-INDEX($B$11:$B$63,7))*(1-E308))</f>
        <v/>
      </c>
      <c r="T309" s="15">
        <f>MAX(0,S308*(1-INDEX($B$11:$B$63,8))*(1-E308))</f>
        <v/>
      </c>
      <c r="U309" s="15">
        <f>MAX(0,T308*(1-INDEX($B$11:$B$63,9))*(1-E308))</f>
        <v/>
      </c>
      <c r="V309" s="15">
        <f>MAX(0,U308*(1-INDEX($B$11:$B$63,10))*(1-E308))</f>
        <v/>
      </c>
      <c r="W309" s="15">
        <f>MAX(0,V308*(1-INDEX($B$11:$B$63,11))*(1-E308))</f>
        <v/>
      </c>
      <c r="X309" s="15">
        <f>MAX(0,W308*(1-INDEX($B$11:$B$63,12))*(1-E308))</f>
        <v/>
      </c>
      <c r="Y309" s="15">
        <f>MAX(0,X308*(1-INDEX($B$11:$B$63,13))*(1-E308))</f>
        <v/>
      </c>
      <c r="Z309" s="15">
        <f>MAX(0,Y308*(1-INDEX($B$11:$B$63,14))*(1-E308))</f>
        <v/>
      </c>
      <c r="AA309" s="15">
        <f>MAX(0,Z308*(1-INDEX($B$11:$B$63,15))*(1-E308))</f>
        <v/>
      </c>
      <c r="AB309" s="15">
        <f>MAX(0,AA308*(1-INDEX($B$11:$B$63,16))*(1-E308))</f>
        <v/>
      </c>
      <c r="AC309" s="15">
        <f>MAX(0,AB308*(1-INDEX($B$11:$B$63,17))*(1-E308))</f>
        <v/>
      </c>
      <c r="AD309" s="15">
        <f>MAX(0,AC308*(1-INDEX($B$11:$B$63,18))*(1-E308))</f>
        <v/>
      </c>
      <c r="AE309" s="15">
        <f>MAX(0,AD308*(1-INDEX($B$11:$B$63,19))*(1-E308))</f>
        <v/>
      </c>
      <c r="AF309" s="15">
        <f>MAX(0,AE308*(1-INDEX($B$11:$B$63,20))*(1-E308))</f>
        <v/>
      </c>
      <c r="AG309" s="15">
        <f>MAX(0,AF308*(1-INDEX($B$11:$B$63,21))*(1-E308))</f>
        <v/>
      </c>
      <c r="AH309" s="15">
        <f>MAX(0,AG308*(1-INDEX($B$11:$B$63,22))*(1-E308))</f>
        <v/>
      </c>
      <c r="AI309" s="15">
        <f>MAX(0,AH308*(1-INDEX($B$11:$B$63,23))*(1-E308))</f>
        <v/>
      </c>
      <c r="AJ309" s="15">
        <f>MAX(0,AI308*(1-INDEX($B$11:$B$63,24))*(1-E308))</f>
        <v/>
      </c>
      <c r="AK309" s="15">
        <f>MAX(0,AJ308*(1-INDEX($B$11:$B$63,25))*(1-E308))</f>
        <v/>
      </c>
      <c r="AL309" s="15">
        <f>MAX(0,AK308*(1-INDEX($B$11:$B$63,26))*(1-E308))</f>
        <v/>
      </c>
      <c r="AM309" s="15">
        <f>MAX(0,AL308*(1-INDEX($B$11:$B$63,27))*(1-E308))</f>
        <v/>
      </c>
      <c r="AN309" s="15">
        <f>MAX(0,AM308*(1-INDEX($B$11:$B$63,28))*(1-E308))</f>
        <v/>
      </c>
      <c r="AO309" s="15">
        <f>MAX(0,AN308*(1-INDEX($B$11:$B$63,29))*(1-E308))</f>
        <v/>
      </c>
      <c r="AP309" s="15">
        <f>MAX(0,AO308*(1-INDEX($B$11:$B$63,30))*(1-E308))</f>
        <v/>
      </c>
      <c r="AQ309" s="15">
        <f>MAX(0,AP308*(1-INDEX($B$11:$B$63,31))*(1-E308))</f>
        <v/>
      </c>
      <c r="AR309" s="15">
        <f>MAX(0,AQ308*(1-INDEX($B$11:$B$63,32))*(1-E308))</f>
        <v/>
      </c>
      <c r="AS309" s="15">
        <f>MAX(0,AR308*(1-INDEX($B$11:$B$63,33))*(1-E308))</f>
        <v/>
      </c>
      <c r="AT309" s="15">
        <f>MAX(0,AS308*(1-INDEX($B$11:$B$63,34))*(1-E308))</f>
        <v/>
      </c>
      <c r="AU309" s="15">
        <f>MAX(0,AT308*(1-INDEX($B$11:$B$63,35))*(1-E308))</f>
        <v/>
      </c>
      <c r="AV309" s="15">
        <f>MAX(0,AU308*(1-INDEX($B$11:$B$63,36))*(1-E308))</f>
        <v/>
      </c>
      <c r="AW309" s="15">
        <f>MAX(0,AV308*(1-INDEX($B$11:$B$63,37))*(1-E308))</f>
        <v/>
      </c>
      <c r="AX309" s="15">
        <f>MAX(0,AW308*(1-INDEX($B$11:$B$63,38))*(1-E308))</f>
        <v/>
      </c>
      <c r="AY309" s="15">
        <f>MAX(0,AX308*(1-INDEX($B$11:$B$63,39))*(1-E308))</f>
        <v/>
      </c>
      <c r="AZ309" s="15">
        <f>MAX(0,AY308*(1-INDEX($B$11:$B$63,40))*(1-E308))</f>
        <v/>
      </c>
      <c r="BA309" s="15">
        <f>MAX(0,AZ308*(1-INDEX($B$11:$B$63,41))*(1-E308))</f>
        <v/>
      </c>
      <c r="BB309" s="15">
        <f>MAX(0,BA308*(1-INDEX($B$11:$B$63,42))*(1-E308))</f>
        <v/>
      </c>
      <c r="BC309" s="15">
        <f>MAX(0,BB308*(1-INDEX($B$11:$B$63,43))*(1-E308))</f>
        <v/>
      </c>
      <c r="BD309" s="15">
        <f>MAX(0,BC308*(1-INDEX($B$11:$B$63,44))*(1-E308))</f>
        <v/>
      </c>
      <c r="BE309" s="15">
        <f>MAX(0,BD308*(1-INDEX($B$11:$B$63,45))*(1-E308))</f>
        <v/>
      </c>
      <c r="BF309" s="15">
        <f>MAX(0,BE308*(1-INDEX($B$11:$B$63,46))*(1-E308))</f>
        <v/>
      </c>
      <c r="BG309" s="15">
        <f>MAX(0,BF308*(1-INDEX($B$11:$B$63,47))*(1-E308))</f>
        <v/>
      </c>
      <c r="BH309" s="15">
        <f>MAX(0,BG308*(1-INDEX($B$11:$B$63,48))*(1-E308))</f>
        <v/>
      </c>
      <c r="BI309" s="15">
        <f>MAX(0,BH308*(1-INDEX($B$11:$B$63,49))*(1-E308))</f>
        <v/>
      </c>
      <c r="BJ309" s="15">
        <f>MAX(0,BI308*(1-INDEX($B$11:$B$63,50))*(1-E308))</f>
        <v/>
      </c>
      <c r="BK309" s="15">
        <f>MAX(0,BJ308*(1-INDEX($B$11:$B$63,51))*(1-E308))</f>
        <v/>
      </c>
      <c r="BL309" s="15">
        <f>MAX(0,(BL308+BK308)*(1-INDEX($B$11:$B$63,53))*(1-E308))</f>
        <v/>
      </c>
    </row>
    <row r="310">
      <c r="A310" s="55" t="n">
        <v>244</v>
      </c>
      <c r="B310" s="15">
        <f>IF(A310&gt;Inputs!$C$62,"",SUM(M310:BK310))</f>
        <v/>
      </c>
      <c r="C310" s="15">
        <f>IF(A310&gt;Inputs!$C$62,"",INDEX(Trajectory!$C$23:$C$2000,A310))</f>
        <v/>
      </c>
      <c r="D310" s="15">
        <f>IF(A310&gt;Inputs!$C$62,"",SUM(L310:BK310))</f>
        <v/>
      </c>
      <c r="E310" s="12">
        <f>IF(A310&gt;Inputs!$C$62,"",INDEX(Trajectory!$AG$23:$AG$2000,A310))</f>
        <v/>
      </c>
      <c r="F310" s="12">
        <f>IF(D310=0,0,SUMPRODUCT(L310:BK310,$B$11:$B$63)/D310)</f>
        <v/>
      </c>
      <c r="G310" s="12">
        <f>IF(D310=0,0,MIN(0.95,1-(1-F310)*(1-E310)))</f>
        <v/>
      </c>
      <c r="H310" s="15">
        <f>IF(D310=0,0,D310*G310)</f>
        <v/>
      </c>
      <c r="I310" s="15">
        <f>IF(D310=0,0,D310-H310)</f>
        <v/>
      </c>
      <c r="L310" s="15">
        <f>C310</f>
        <v/>
      </c>
      <c r="M310" s="15">
        <f>MAX(0,L309*(1-INDEX($B$11:$B$63,1))*(1-E309))</f>
        <v/>
      </c>
      <c r="N310" s="15">
        <f>MAX(0,M309*(1-INDEX($B$11:$B$63,2))*(1-E309))</f>
        <v/>
      </c>
      <c r="O310" s="15">
        <f>MAX(0,N309*(1-INDEX($B$11:$B$63,3))*(1-E309))</f>
        <v/>
      </c>
      <c r="P310" s="15">
        <f>MAX(0,O309*(1-INDEX($B$11:$B$63,4))*(1-E309))</f>
        <v/>
      </c>
      <c r="Q310" s="15">
        <f>MAX(0,P309*(1-INDEX($B$11:$B$63,5))*(1-E309))</f>
        <v/>
      </c>
      <c r="R310" s="15">
        <f>MAX(0,Q309*(1-INDEX($B$11:$B$63,6))*(1-E309))</f>
        <v/>
      </c>
      <c r="S310" s="15">
        <f>MAX(0,R309*(1-INDEX($B$11:$B$63,7))*(1-E309))</f>
        <v/>
      </c>
      <c r="T310" s="15">
        <f>MAX(0,S309*(1-INDEX($B$11:$B$63,8))*(1-E309))</f>
        <v/>
      </c>
      <c r="U310" s="15">
        <f>MAX(0,T309*(1-INDEX($B$11:$B$63,9))*(1-E309))</f>
        <v/>
      </c>
      <c r="V310" s="15">
        <f>MAX(0,U309*(1-INDEX($B$11:$B$63,10))*(1-E309))</f>
        <v/>
      </c>
      <c r="W310" s="15">
        <f>MAX(0,V309*(1-INDEX($B$11:$B$63,11))*(1-E309))</f>
        <v/>
      </c>
      <c r="X310" s="15">
        <f>MAX(0,W309*(1-INDEX($B$11:$B$63,12))*(1-E309))</f>
        <v/>
      </c>
      <c r="Y310" s="15">
        <f>MAX(0,X309*(1-INDEX($B$11:$B$63,13))*(1-E309))</f>
        <v/>
      </c>
      <c r="Z310" s="15">
        <f>MAX(0,Y309*(1-INDEX($B$11:$B$63,14))*(1-E309))</f>
        <v/>
      </c>
      <c r="AA310" s="15">
        <f>MAX(0,Z309*(1-INDEX($B$11:$B$63,15))*(1-E309))</f>
        <v/>
      </c>
      <c r="AB310" s="15">
        <f>MAX(0,AA309*(1-INDEX($B$11:$B$63,16))*(1-E309))</f>
        <v/>
      </c>
      <c r="AC310" s="15">
        <f>MAX(0,AB309*(1-INDEX($B$11:$B$63,17))*(1-E309))</f>
        <v/>
      </c>
      <c r="AD310" s="15">
        <f>MAX(0,AC309*(1-INDEX($B$11:$B$63,18))*(1-E309))</f>
        <v/>
      </c>
      <c r="AE310" s="15">
        <f>MAX(0,AD309*(1-INDEX($B$11:$B$63,19))*(1-E309))</f>
        <v/>
      </c>
      <c r="AF310" s="15">
        <f>MAX(0,AE309*(1-INDEX($B$11:$B$63,20))*(1-E309))</f>
        <v/>
      </c>
      <c r="AG310" s="15">
        <f>MAX(0,AF309*(1-INDEX($B$11:$B$63,21))*(1-E309))</f>
        <v/>
      </c>
      <c r="AH310" s="15">
        <f>MAX(0,AG309*(1-INDEX($B$11:$B$63,22))*(1-E309))</f>
        <v/>
      </c>
      <c r="AI310" s="15">
        <f>MAX(0,AH309*(1-INDEX($B$11:$B$63,23))*(1-E309))</f>
        <v/>
      </c>
      <c r="AJ310" s="15">
        <f>MAX(0,AI309*(1-INDEX($B$11:$B$63,24))*(1-E309))</f>
        <v/>
      </c>
      <c r="AK310" s="15">
        <f>MAX(0,AJ309*(1-INDEX($B$11:$B$63,25))*(1-E309))</f>
        <v/>
      </c>
      <c r="AL310" s="15">
        <f>MAX(0,AK309*(1-INDEX($B$11:$B$63,26))*(1-E309))</f>
        <v/>
      </c>
      <c r="AM310" s="15">
        <f>MAX(0,AL309*(1-INDEX($B$11:$B$63,27))*(1-E309))</f>
        <v/>
      </c>
      <c r="AN310" s="15">
        <f>MAX(0,AM309*(1-INDEX($B$11:$B$63,28))*(1-E309))</f>
        <v/>
      </c>
      <c r="AO310" s="15">
        <f>MAX(0,AN309*(1-INDEX($B$11:$B$63,29))*(1-E309))</f>
        <v/>
      </c>
      <c r="AP310" s="15">
        <f>MAX(0,AO309*(1-INDEX($B$11:$B$63,30))*(1-E309))</f>
        <v/>
      </c>
      <c r="AQ310" s="15">
        <f>MAX(0,AP309*(1-INDEX($B$11:$B$63,31))*(1-E309))</f>
        <v/>
      </c>
      <c r="AR310" s="15">
        <f>MAX(0,AQ309*(1-INDEX($B$11:$B$63,32))*(1-E309))</f>
        <v/>
      </c>
      <c r="AS310" s="15">
        <f>MAX(0,AR309*(1-INDEX($B$11:$B$63,33))*(1-E309))</f>
        <v/>
      </c>
      <c r="AT310" s="15">
        <f>MAX(0,AS309*(1-INDEX($B$11:$B$63,34))*(1-E309))</f>
        <v/>
      </c>
      <c r="AU310" s="15">
        <f>MAX(0,AT309*(1-INDEX($B$11:$B$63,35))*(1-E309))</f>
        <v/>
      </c>
      <c r="AV310" s="15">
        <f>MAX(0,AU309*(1-INDEX($B$11:$B$63,36))*(1-E309))</f>
        <v/>
      </c>
      <c r="AW310" s="15">
        <f>MAX(0,AV309*(1-INDEX($B$11:$B$63,37))*(1-E309))</f>
        <v/>
      </c>
      <c r="AX310" s="15">
        <f>MAX(0,AW309*(1-INDEX($B$11:$B$63,38))*(1-E309))</f>
        <v/>
      </c>
      <c r="AY310" s="15">
        <f>MAX(0,AX309*(1-INDEX($B$11:$B$63,39))*(1-E309))</f>
        <v/>
      </c>
      <c r="AZ310" s="15">
        <f>MAX(0,AY309*(1-INDEX($B$11:$B$63,40))*(1-E309))</f>
        <v/>
      </c>
      <c r="BA310" s="15">
        <f>MAX(0,AZ309*(1-INDEX($B$11:$B$63,41))*(1-E309))</f>
        <v/>
      </c>
      <c r="BB310" s="15">
        <f>MAX(0,BA309*(1-INDEX($B$11:$B$63,42))*(1-E309))</f>
        <v/>
      </c>
      <c r="BC310" s="15">
        <f>MAX(0,BB309*(1-INDEX($B$11:$B$63,43))*(1-E309))</f>
        <v/>
      </c>
      <c r="BD310" s="15">
        <f>MAX(0,BC309*(1-INDEX($B$11:$B$63,44))*(1-E309))</f>
        <v/>
      </c>
      <c r="BE310" s="15">
        <f>MAX(0,BD309*(1-INDEX($B$11:$B$63,45))*(1-E309))</f>
        <v/>
      </c>
      <c r="BF310" s="15">
        <f>MAX(0,BE309*(1-INDEX($B$11:$B$63,46))*(1-E309))</f>
        <v/>
      </c>
      <c r="BG310" s="15">
        <f>MAX(0,BF309*(1-INDEX($B$11:$B$63,47))*(1-E309))</f>
        <v/>
      </c>
      <c r="BH310" s="15">
        <f>MAX(0,BG309*(1-INDEX($B$11:$B$63,48))*(1-E309))</f>
        <v/>
      </c>
      <c r="BI310" s="15">
        <f>MAX(0,BH309*(1-INDEX($B$11:$B$63,49))*(1-E309))</f>
        <v/>
      </c>
      <c r="BJ310" s="15">
        <f>MAX(0,BI309*(1-INDEX($B$11:$B$63,50))*(1-E309))</f>
        <v/>
      </c>
      <c r="BK310" s="15">
        <f>MAX(0,BJ309*(1-INDEX($B$11:$B$63,51))*(1-E309))</f>
        <v/>
      </c>
      <c r="BL310" s="15">
        <f>MAX(0,(BL309+BK309)*(1-INDEX($B$11:$B$63,53))*(1-E309))</f>
        <v/>
      </c>
    </row>
    <row r="311">
      <c r="A311" s="55" t="n">
        <v>245</v>
      </c>
      <c r="B311" s="15">
        <f>IF(A311&gt;Inputs!$C$62,"",SUM(M311:BK311))</f>
        <v/>
      </c>
      <c r="C311" s="15">
        <f>IF(A311&gt;Inputs!$C$62,"",INDEX(Trajectory!$C$23:$C$2000,A311))</f>
        <v/>
      </c>
      <c r="D311" s="15">
        <f>IF(A311&gt;Inputs!$C$62,"",SUM(L311:BK311))</f>
        <v/>
      </c>
      <c r="E311" s="12">
        <f>IF(A311&gt;Inputs!$C$62,"",INDEX(Trajectory!$AG$23:$AG$2000,A311))</f>
        <v/>
      </c>
      <c r="F311" s="12">
        <f>IF(D311=0,0,SUMPRODUCT(L311:BK311,$B$11:$B$63)/D311)</f>
        <v/>
      </c>
      <c r="G311" s="12">
        <f>IF(D311=0,0,MIN(0.95,1-(1-F311)*(1-E311)))</f>
        <v/>
      </c>
      <c r="H311" s="15">
        <f>IF(D311=0,0,D311*G311)</f>
        <v/>
      </c>
      <c r="I311" s="15">
        <f>IF(D311=0,0,D311-H311)</f>
        <v/>
      </c>
      <c r="L311" s="15">
        <f>C311</f>
        <v/>
      </c>
      <c r="M311" s="15">
        <f>MAX(0,L310*(1-INDEX($B$11:$B$63,1))*(1-E310))</f>
        <v/>
      </c>
      <c r="N311" s="15">
        <f>MAX(0,M310*(1-INDEX($B$11:$B$63,2))*(1-E310))</f>
        <v/>
      </c>
      <c r="O311" s="15">
        <f>MAX(0,N310*(1-INDEX($B$11:$B$63,3))*(1-E310))</f>
        <v/>
      </c>
      <c r="P311" s="15">
        <f>MAX(0,O310*(1-INDEX($B$11:$B$63,4))*(1-E310))</f>
        <v/>
      </c>
      <c r="Q311" s="15">
        <f>MAX(0,P310*(1-INDEX($B$11:$B$63,5))*(1-E310))</f>
        <v/>
      </c>
      <c r="R311" s="15">
        <f>MAX(0,Q310*(1-INDEX($B$11:$B$63,6))*(1-E310))</f>
        <v/>
      </c>
      <c r="S311" s="15">
        <f>MAX(0,R310*(1-INDEX($B$11:$B$63,7))*(1-E310))</f>
        <v/>
      </c>
      <c r="T311" s="15">
        <f>MAX(0,S310*(1-INDEX($B$11:$B$63,8))*(1-E310))</f>
        <v/>
      </c>
      <c r="U311" s="15">
        <f>MAX(0,T310*(1-INDEX($B$11:$B$63,9))*(1-E310))</f>
        <v/>
      </c>
      <c r="V311" s="15">
        <f>MAX(0,U310*(1-INDEX($B$11:$B$63,10))*(1-E310))</f>
        <v/>
      </c>
      <c r="W311" s="15">
        <f>MAX(0,V310*(1-INDEX($B$11:$B$63,11))*(1-E310))</f>
        <v/>
      </c>
      <c r="X311" s="15">
        <f>MAX(0,W310*(1-INDEX($B$11:$B$63,12))*(1-E310))</f>
        <v/>
      </c>
      <c r="Y311" s="15">
        <f>MAX(0,X310*(1-INDEX($B$11:$B$63,13))*(1-E310))</f>
        <v/>
      </c>
      <c r="Z311" s="15">
        <f>MAX(0,Y310*(1-INDEX($B$11:$B$63,14))*(1-E310))</f>
        <v/>
      </c>
      <c r="AA311" s="15">
        <f>MAX(0,Z310*(1-INDEX($B$11:$B$63,15))*(1-E310))</f>
        <v/>
      </c>
      <c r="AB311" s="15">
        <f>MAX(0,AA310*(1-INDEX($B$11:$B$63,16))*(1-E310))</f>
        <v/>
      </c>
      <c r="AC311" s="15">
        <f>MAX(0,AB310*(1-INDEX($B$11:$B$63,17))*(1-E310))</f>
        <v/>
      </c>
      <c r="AD311" s="15">
        <f>MAX(0,AC310*(1-INDEX($B$11:$B$63,18))*(1-E310))</f>
        <v/>
      </c>
      <c r="AE311" s="15">
        <f>MAX(0,AD310*(1-INDEX($B$11:$B$63,19))*(1-E310))</f>
        <v/>
      </c>
      <c r="AF311" s="15">
        <f>MAX(0,AE310*(1-INDEX($B$11:$B$63,20))*(1-E310))</f>
        <v/>
      </c>
      <c r="AG311" s="15">
        <f>MAX(0,AF310*(1-INDEX($B$11:$B$63,21))*(1-E310))</f>
        <v/>
      </c>
      <c r="AH311" s="15">
        <f>MAX(0,AG310*(1-INDEX($B$11:$B$63,22))*(1-E310))</f>
        <v/>
      </c>
      <c r="AI311" s="15">
        <f>MAX(0,AH310*(1-INDEX($B$11:$B$63,23))*(1-E310))</f>
        <v/>
      </c>
      <c r="AJ311" s="15">
        <f>MAX(0,AI310*(1-INDEX($B$11:$B$63,24))*(1-E310))</f>
        <v/>
      </c>
      <c r="AK311" s="15">
        <f>MAX(0,AJ310*(1-INDEX($B$11:$B$63,25))*(1-E310))</f>
        <v/>
      </c>
      <c r="AL311" s="15">
        <f>MAX(0,AK310*(1-INDEX($B$11:$B$63,26))*(1-E310))</f>
        <v/>
      </c>
      <c r="AM311" s="15">
        <f>MAX(0,AL310*(1-INDEX($B$11:$B$63,27))*(1-E310))</f>
        <v/>
      </c>
      <c r="AN311" s="15">
        <f>MAX(0,AM310*(1-INDEX($B$11:$B$63,28))*(1-E310))</f>
        <v/>
      </c>
      <c r="AO311" s="15">
        <f>MAX(0,AN310*(1-INDEX($B$11:$B$63,29))*(1-E310))</f>
        <v/>
      </c>
      <c r="AP311" s="15">
        <f>MAX(0,AO310*(1-INDEX($B$11:$B$63,30))*(1-E310))</f>
        <v/>
      </c>
      <c r="AQ311" s="15">
        <f>MAX(0,AP310*(1-INDEX($B$11:$B$63,31))*(1-E310))</f>
        <v/>
      </c>
      <c r="AR311" s="15">
        <f>MAX(0,AQ310*(1-INDEX($B$11:$B$63,32))*(1-E310))</f>
        <v/>
      </c>
      <c r="AS311" s="15">
        <f>MAX(0,AR310*(1-INDEX($B$11:$B$63,33))*(1-E310))</f>
        <v/>
      </c>
      <c r="AT311" s="15">
        <f>MAX(0,AS310*(1-INDEX($B$11:$B$63,34))*(1-E310))</f>
        <v/>
      </c>
      <c r="AU311" s="15">
        <f>MAX(0,AT310*(1-INDEX($B$11:$B$63,35))*(1-E310))</f>
        <v/>
      </c>
      <c r="AV311" s="15">
        <f>MAX(0,AU310*(1-INDEX($B$11:$B$63,36))*(1-E310))</f>
        <v/>
      </c>
      <c r="AW311" s="15">
        <f>MAX(0,AV310*(1-INDEX($B$11:$B$63,37))*(1-E310))</f>
        <v/>
      </c>
      <c r="AX311" s="15">
        <f>MAX(0,AW310*(1-INDEX($B$11:$B$63,38))*(1-E310))</f>
        <v/>
      </c>
      <c r="AY311" s="15">
        <f>MAX(0,AX310*(1-INDEX($B$11:$B$63,39))*(1-E310))</f>
        <v/>
      </c>
      <c r="AZ311" s="15">
        <f>MAX(0,AY310*(1-INDEX($B$11:$B$63,40))*(1-E310))</f>
        <v/>
      </c>
      <c r="BA311" s="15">
        <f>MAX(0,AZ310*(1-INDEX($B$11:$B$63,41))*(1-E310))</f>
        <v/>
      </c>
      <c r="BB311" s="15">
        <f>MAX(0,BA310*(1-INDEX($B$11:$B$63,42))*(1-E310))</f>
        <v/>
      </c>
      <c r="BC311" s="15">
        <f>MAX(0,BB310*(1-INDEX($B$11:$B$63,43))*(1-E310))</f>
        <v/>
      </c>
      <c r="BD311" s="15">
        <f>MAX(0,BC310*(1-INDEX($B$11:$B$63,44))*(1-E310))</f>
        <v/>
      </c>
      <c r="BE311" s="15">
        <f>MAX(0,BD310*(1-INDEX($B$11:$B$63,45))*(1-E310))</f>
        <v/>
      </c>
      <c r="BF311" s="15">
        <f>MAX(0,BE310*(1-INDEX($B$11:$B$63,46))*(1-E310))</f>
        <v/>
      </c>
      <c r="BG311" s="15">
        <f>MAX(0,BF310*(1-INDEX($B$11:$B$63,47))*(1-E310))</f>
        <v/>
      </c>
      <c r="BH311" s="15">
        <f>MAX(0,BG310*(1-INDEX($B$11:$B$63,48))*(1-E310))</f>
        <v/>
      </c>
      <c r="BI311" s="15">
        <f>MAX(0,BH310*(1-INDEX($B$11:$B$63,49))*(1-E310))</f>
        <v/>
      </c>
      <c r="BJ311" s="15">
        <f>MAX(0,BI310*(1-INDEX($B$11:$B$63,50))*(1-E310))</f>
        <v/>
      </c>
      <c r="BK311" s="15">
        <f>MAX(0,BJ310*(1-INDEX($B$11:$B$63,51))*(1-E310))</f>
        <v/>
      </c>
      <c r="BL311" s="15">
        <f>MAX(0,(BL310+BK310)*(1-INDEX($B$11:$B$63,53))*(1-E310))</f>
        <v/>
      </c>
    </row>
    <row r="312">
      <c r="A312" s="55" t="n">
        <v>246</v>
      </c>
      <c r="B312" s="15">
        <f>IF(A312&gt;Inputs!$C$62,"",SUM(M312:BK312))</f>
        <v/>
      </c>
      <c r="C312" s="15">
        <f>IF(A312&gt;Inputs!$C$62,"",INDEX(Trajectory!$C$23:$C$2000,A312))</f>
        <v/>
      </c>
      <c r="D312" s="15">
        <f>IF(A312&gt;Inputs!$C$62,"",SUM(L312:BK312))</f>
        <v/>
      </c>
      <c r="E312" s="12">
        <f>IF(A312&gt;Inputs!$C$62,"",INDEX(Trajectory!$AG$23:$AG$2000,A312))</f>
        <v/>
      </c>
      <c r="F312" s="12">
        <f>IF(D312=0,0,SUMPRODUCT(L312:BK312,$B$11:$B$63)/D312)</f>
        <v/>
      </c>
      <c r="G312" s="12">
        <f>IF(D312=0,0,MIN(0.95,1-(1-F312)*(1-E312)))</f>
        <v/>
      </c>
      <c r="H312" s="15">
        <f>IF(D312=0,0,D312*G312)</f>
        <v/>
      </c>
      <c r="I312" s="15">
        <f>IF(D312=0,0,D312-H312)</f>
        <v/>
      </c>
      <c r="L312" s="15">
        <f>C312</f>
        <v/>
      </c>
      <c r="M312" s="15">
        <f>MAX(0,L311*(1-INDEX($B$11:$B$63,1))*(1-E311))</f>
        <v/>
      </c>
      <c r="N312" s="15">
        <f>MAX(0,M311*(1-INDEX($B$11:$B$63,2))*(1-E311))</f>
        <v/>
      </c>
      <c r="O312" s="15">
        <f>MAX(0,N311*(1-INDEX($B$11:$B$63,3))*(1-E311))</f>
        <v/>
      </c>
      <c r="P312" s="15">
        <f>MAX(0,O311*(1-INDEX($B$11:$B$63,4))*(1-E311))</f>
        <v/>
      </c>
      <c r="Q312" s="15">
        <f>MAX(0,P311*(1-INDEX($B$11:$B$63,5))*(1-E311))</f>
        <v/>
      </c>
      <c r="R312" s="15">
        <f>MAX(0,Q311*(1-INDEX($B$11:$B$63,6))*(1-E311))</f>
        <v/>
      </c>
      <c r="S312" s="15">
        <f>MAX(0,R311*(1-INDEX($B$11:$B$63,7))*(1-E311))</f>
        <v/>
      </c>
      <c r="T312" s="15">
        <f>MAX(0,S311*(1-INDEX($B$11:$B$63,8))*(1-E311))</f>
        <v/>
      </c>
      <c r="U312" s="15">
        <f>MAX(0,T311*(1-INDEX($B$11:$B$63,9))*(1-E311))</f>
        <v/>
      </c>
      <c r="V312" s="15">
        <f>MAX(0,U311*(1-INDEX($B$11:$B$63,10))*(1-E311))</f>
        <v/>
      </c>
      <c r="W312" s="15">
        <f>MAX(0,V311*(1-INDEX($B$11:$B$63,11))*(1-E311))</f>
        <v/>
      </c>
      <c r="X312" s="15">
        <f>MAX(0,W311*(1-INDEX($B$11:$B$63,12))*(1-E311))</f>
        <v/>
      </c>
      <c r="Y312" s="15">
        <f>MAX(0,X311*(1-INDEX($B$11:$B$63,13))*(1-E311))</f>
        <v/>
      </c>
      <c r="Z312" s="15">
        <f>MAX(0,Y311*(1-INDEX($B$11:$B$63,14))*(1-E311))</f>
        <v/>
      </c>
      <c r="AA312" s="15">
        <f>MAX(0,Z311*(1-INDEX($B$11:$B$63,15))*(1-E311))</f>
        <v/>
      </c>
      <c r="AB312" s="15">
        <f>MAX(0,AA311*(1-INDEX($B$11:$B$63,16))*(1-E311))</f>
        <v/>
      </c>
      <c r="AC312" s="15">
        <f>MAX(0,AB311*(1-INDEX($B$11:$B$63,17))*(1-E311))</f>
        <v/>
      </c>
      <c r="AD312" s="15">
        <f>MAX(0,AC311*(1-INDEX($B$11:$B$63,18))*(1-E311))</f>
        <v/>
      </c>
      <c r="AE312" s="15">
        <f>MAX(0,AD311*(1-INDEX($B$11:$B$63,19))*(1-E311))</f>
        <v/>
      </c>
      <c r="AF312" s="15">
        <f>MAX(0,AE311*(1-INDEX($B$11:$B$63,20))*(1-E311))</f>
        <v/>
      </c>
      <c r="AG312" s="15">
        <f>MAX(0,AF311*(1-INDEX($B$11:$B$63,21))*(1-E311))</f>
        <v/>
      </c>
      <c r="AH312" s="15">
        <f>MAX(0,AG311*(1-INDEX($B$11:$B$63,22))*(1-E311))</f>
        <v/>
      </c>
      <c r="AI312" s="15">
        <f>MAX(0,AH311*(1-INDEX($B$11:$B$63,23))*(1-E311))</f>
        <v/>
      </c>
      <c r="AJ312" s="15">
        <f>MAX(0,AI311*(1-INDEX($B$11:$B$63,24))*(1-E311))</f>
        <v/>
      </c>
      <c r="AK312" s="15">
        <f>MAX(0,AJ311*(1-INDEX($B$11:$B$63,25))*(1-E311))</f>
        <v/>
      </c>
      <c r="AL312" s="15">
        <f>MAX(0,AK311*(1-INDEX($B$11:$B$63,26))*(1-E311))</f>
        <v/>
      </c>
      <c r="AM312" s="15">
        <f>MAX(0,AL311*(1-INDEX($B$11:$B$63,27))*(1-E311))</f>
        <v/>
      </c>
      <c r="AN312" s="15">
        <f>MAX(0,AM311*(1-INDEX($B$11:$B$63,28))*(1-E311))</f>
        <v/>
      </c>
      <c r="AO312" s="15">
        <f>MAX(0,AN311*(1-INDEX($B$11:$B$63,29))*(1-E311))</f>
        <v/>
      </c>
      <c r="AP312" s="15">
        <f>MAX(0,AO311*(1-INDEX($B$11:$B$63,30))*(1-E311))</f>
        <v/>
      </c>
      <c r="AQ312" s="15">
        <f>MAX(0,AP311*(1-INDEX($B$11:$B$63,31))*(1-E311))</f>
        <v/>
      </c>
      <c r="AR312" s="15">
        <f>MAX(0,AQ311*(1-INDEX($B$11:$B$63,32))*(1-E311))</f>
        <v/>
      </c>
      <c r="AS312" s="15">
        <f>MAX(0,AR311*(1-INDEX($B$11:$B$63,33))*(1-E311))</f>
        <v/>
      </c>
      <c r="AT312" s="15">
        <f>MAX(0,AS311*(1-INDEX($B$11:$B$63,34))*(1-E311))</f>
        <v/>
      </c>
      <c r="AU312" s="15">
        <f>MAX(0,AT311*(1-INDEX($B$11:$B$63,35))*(1-E311))</f>
        <v/>
      </c>
      <c r="AV312" s="15">
        <f>MAX(0,AU311*(1-INDEX($B$11:$B$63,36))*(1-E311))</f>
        <v/>
      </c>
      <c r="AW312" s="15">
        <f>MAX(0,AV311*(1-INDEX($B$11:$B$63,37))*(1-E311))</f>
        <v/>
      </c>
      <c r="AX312" s="15">
        <f>MAX(0,AW311*(1-INDEX($B$11:$B$63,38))*(1-E311))</f>
        <v/>
      </c>
      <c r="AY312" s="15">
        <f>MAX(0,AX311*(1-INDEX($B$11:$B$63,39))*(1-E311))</f>
        <v/>
      </c>
      <c r="AZ312" s="15">
        <f>MAX(0,AY311*(1-INDEX($B$11:$B$63,40))*(1-E311))</f>
        <v/>
      </c>
      <c r="BA312" s="15">
        <f>MAX(0,AZ311*(1-INDEX($B$11:$B$63,41))*(1-E311))</f>
        <v/>
      </c>
      <c r="BB312" s="15">
        <f>MAX(0,BA311*(1-INDEX($B$11:$B$63,42))*(1-E311))</f>
        <v/>
      </c>
      <c r="BC312" s="15">
        <f>MAX(0,BB311*(1-INDEX($B$11:$B$63,43))*(1-E311))</f>
        <v/>
      </c>
      <c r="BD312" s="15">
        <f>MAX(0,BC311*(1-INDEX($B$11:$B$63,44))*(1-E311))</f>
        <v/>
      </c>
      <c r="BE312" s="15">
        <f>MAX(0,BD311*(1-INDEX($B$11:$B$63,45))*(1-E311))</f>
        <v/>
      </c>
      <c r="BF312" s="15">
        <f>MAX(0,BE311*(1-INDEX($B$11:$B$63,46))*(1-E311))</f>
        <v/>
      </c>
      <c r="BG312" s="15">
        <f>MAX(0,BF311*(1-INDEX($B$11:$B$63,47))*(1-E311))</f>
        <v/>
      </c>
      <c r="BH312" s="15">
        <f>MAX(0,BG311*(1-INDEX($B$11:$B$63,48))*(1-E311))</f>
        <v/>
      </c>
      <c r="BI312" s="15">
        <f>MAX(0,BH311*(1-INDEX($B$11:$B$63,49))*(1-E311))</f>
        <v/>
      </c>
      <c r="BJ312" s="15">
        <f>MAX(0,BI311*(1-INDEX($B$11:$B$63,50))*(1-E311))</f>
        <v/>
      </c>
      <c r="BK312" s="15">
        <f>MAX(0,BJ311*(1-INDEX($B$11:$B$63,51))*(1-E311))</f>
        <v/>
      </c>
      <c r="BL312" s="15">
        <f>MAX(0,(BL311+BK311)*(1-INDEX($B$11:$B$63,53))*(1-E311))</f>
        <v/>
      </c>
    </row>
    <row r="313">
      <c r="A313" s="55" t="n">
        <v>247</v>
      </c>
      <c r="B313" s="15">
        <f>IF(A313&gt;Inputs!$C$62,"",SUM(M313:BK313))</f>
        <v/>
      </c>
      <c r="C313" s="15">
        <f>IF(A313&gt;Inputs!$C$62,"",INDEX(Trajectory!$C$23:$C$2000,A313))</f>
        <v/>
      </c>
      <c r="D313" s="15">
        <f>IF(A313&gt;Inputs!$C$62,"",SUM(L313:BK313))</f>
        <v/>
      </c>
      <c r="E313" s="12">
        <f>IF(A313&gt;Inputs!$C$62,"",INDEX(Trajectory!$AG$23:$AG$2000,A313))</f>
        <v/>
      </c>
      <c r="F313" s="12">
        <f>IF(D313=0,0,SUMPRODUCT(L313:BK313,$B$11:$B$63)/D313)</f>
        <v/>
      </c>
      <c r="G313" s="12">
        <f>IF(D313=0,0,MIN(0.95,1-(1-F313)*(1-E313)))</f>
        <v/>
      </c>
      <c r="H313" s="15">
        <f>IF(D313=0,0,D313*G313)</f>
        <v/>
      </c>
      <c r="I313" s="15">
        <f>IF(D313=0,0,D313-H313)</f>
        <v/>
      </c>
      <c r="L313" s="15">
        <f>C313</f>
        <v/>
      </c>
      <c r="M313" s="15">
        <f>MAX(0,L312*(1-INDEX($B$11:$B$63,1))*(1-E312))</f>
        <v/>
      </c>
      <c r="N313" s="15">
        <f>MAX(0,M312*(1-INDEX($B$11:$B$63,2))*(1-E312))</f>
        <v/>
      </c>
      <c r="O313" s="15">
        <f>MAX(0,N312*(1-INDEX($B$11:$B$63,3))*(1-E312))</f>
        <v/>
      </c>
      <c r="P313" s="15">
        <f>MAX(0,O312*(1-INDEX($B$11:$B$63,4))*(1-E312))</f>
        <v/>
      </c>
      <c r="Q313" s="15">
        <f>MAX(0,P312*(1-INDEX($B$11:$B$63,5))*(1-E312))</f>
        <v/>
      </c>
      <c r="R313" s="15">
        <f>MAX(0,Q312*(1-INDEX($B$11:$B$63,6))*(1-E312))</f>
        <v/>
      </c>
      <c r="S313" s="15">
        <f>MAX(0,R312*(1-INDEX($B$11:$B$63,7))*(1-E312))</f>
        <v/>
      </c>
      <c r="T313" s="15">
        <f>MAX(0,S312*(1-INDEX($B$11:$B$63,8))*(1-E312))</f>
        <v/>
      </c>
      <c r="U313" s="15">
        <f>MAX(0,T312*(1-INDEX($B$11:$B$63,9))*(1-E312))</f>
        <v/>
      </c>
      <c r="V313" s="15">
        <f>MAX(0,U312*(1-INDEX($B$11:$B$63,10))*(1-E312))</f>
        <v/>
      </c>
      <c r="W313" s="15">
        <f>MAX(0,V312*(1-INDEX($B$11:$B$63,11))*(1-E312))</f>
        <v/>
      </c>
      <c r="X313" s="15">
        <f>MAX(0,W312*(1-INDEX($B$11:$B$63,12))*(1-E312))</f>
        <v/>
      </c>
      <c r="Y313" s="15">
        <f>MAX(0,X312*(1-INDEX($B$11:$B$63,13))*(1-E312))</f>
        <v/>
      </c>
      <c r="Z313" s="15">
        <f>MAX(0,Y312*(1-INDEX($B$11:$B$63,14))*(1-E312))</f>
        <v/>
      </c>
      <c r="AA313" s="15">
        <f>MAX(0,Z312*(1-INDEX($B$11:$B$63,15))*(1-E312))</f>
        <v/>
      </c>
      <c r="AB313" s="15">
        <f>MAX(0,AA312*(1-INDEX($B$11:$B$63,16))*(1-E312))</f>
        <v/>
      </c>
      <c r="AC313" s="15">
        <f>MAX(0,AB312*(1-INDEX($B$11:$B$63,17))*(1-E312))</f>
        <v/>
      </c>
      <c r="AD313" s="15">
        <f>MAX(0,AC312*(1-INDEX($B$11:$B$63,18))*(1-E312))</f>
        <v/>
      </c>
      <c r="AE313" s="15">
        <f>MAX(0,AD312*(1-INDEX($B$11:$B$63,19))*(1-E312))</f>
        <v/>
      </c>
      <c r="AF313" s="15">
        <f>MAX(0,AE312*(1-INDEX($B$11:$B$63,20))*(1-E312))</f>
        <v/>
      </c>
      <c r="AG313" s="15">
        <f>MAX(0,AF312*(1-INDEX($B$11:$B$63,21))*(1-E312))</f>
        <v/>
      </c>
      <c r="AH313" s="15">
        <f>MAX(0,AG312*(1-INDEX($B$11:$B$63,22))*(1-E312))</f>
        <v/>
      </c>
      <c r="AI313" s="15">
        <f>MAX(0,AH312*(1-INDEX($B$11:$B$63,23))*(1-E312))</f>
        <v/>
      </c>
      <c r="AJ313" s="15">
        <f>MAX(0,AI312*(1-INDEX($B$11:$B$63,24))*(1-E312))</f>
        <v/>
      </c>
      <c r="AK313" s="15">
        <f>MAX(0,AJ312*(1-INDEX($B$11:$B$63,25))*(1-E312))</f>
        <v/>
      </c>
      <c r="AL313" s="15">
        <f>MAX(0,AK312*(1-INDEX($B$11:$B$63,26))*(1-E312))</f>
        <v/>
      </c>
      <c r="AM313" s="15">
        <f>MAX(0,AL312*(1-INDEX($B$11:$B$63,27))*(1-E312))</f>
        <v/>
      </c>
      <c r="AN313" s="15">
        <f>MAX(0,AM312*(1-INDEX($B$11:$B$63,28))*(1-E312))</f>
        <v/>
      </c>
      <c r="AO313" s="15">
        <f>MAX(0,AN312*(1-INDEX($B$11:$B$63,29))*(1-E312))</f>
        <v/>
      </c>
      <c r="AP313" s="15">
        <f>MAX(0,AO312*(1-INDEX($B$11:$B$63,30))*(1-E312))</f>
        <v/>
      </c>
      <c r="AQ313" s="15">
        <f>MAX(0,AP312*(1-INDEX($B$11:$B$63,31))*(1-E312))</f>
        <v/>
      </c>
      <c r="AR313" s="15">
        <f>MAX(0,AQ312*(1-INDEX($B$11:$B$63,32))*(1-E312))</f>
        <v/>
      </c>
      <c r="AS313" s="15">
        <f>MAX(0,AR312*(1-INDEX($B$11:$B$63,33))*(1-E312))</f>
        <v/>
      </c>
      <c r="AT313" s="15">
        <f>MAX(0,AS312*(1-INDEX($B$11:$B$63,34))*(1-E312))</f>
        <v/>
      </c>
      <c r="AU313" s="15">
        <f>MAX(0,AT312*(1-INDEX($B$11:$B$63,35))*(1-E312))</f>
        <v/>
      </c>
      <c r="AV313" s="15">
        <f>MAX(0,AU312*(1-INDEX($B$11:$B$63,36))*(1-E312))</f>
        <v/>
      </c>
      <c r="AW313" s="15">
        <f>MAX(0,AV312*(1-INDEX($B$11:$B$63,37))*(1-E312))</f>
        <v/>
      </c>
      <c r="AX313" s="15">
        <f>MAX(0,AW312*(1-INDEX($B$11:$B$63,38))*(1-E312))</f>
        <v/>
      </c>
      <c r="AY313" s="15">
        <f>MAX(0,AX312*(1-INDEX($B$11:$B$63,39))*(1-E312))</f>
        <v/>
      </c>
      <c r="AZ313" s="15">
        <f>MAX(0,AY312*(1-INDEX($B$11:$B$63,40))*(1-E312))</f>
        <v/>
      </c>
      <c r="BA313" s="15">
        <f>MAX(0,AZ312*(1-INDEX($B$11:$B$63,41))*(1-E312))</f>
        <v/>
      </c>
      <c r="BB313" s="15">
        <f>MAX(0,BA312*(1-INDEX($B$11:$B$63,42))*(1-E312))</f>
        <v/>
      </c>
      <c r="BC313" s="15">
        <f>MAX(0,BB312*(1-INDEX($B$11:$B$63,43))*(1-E312))</f>
        <v/>
      </c>
      <c r="BD313" s="15">
        <f>MAX(0,BC312*(1-INDEX($B$11:$B$63,44))*(1-E312))</f>
        <v/>
      </c>
      <c r="BE313" s="15">
        <f>MAX(0,BD312*(1-INDEX($B$11:$B$63,45))*(1-E312))</f>
        <v/>
      </c>
      <c r="BF313" s="15">
        <f>MAX(0,BE312*(1-INDEX($B$11:$B$63,46))*(1-E312))</f>
        <v/>
      </c>
      <c r="BG313" s="15">
        <f>MAX(0,BF312*(1-INDEX($B$11:$B$63,47))*(1-E312))</f>
        <v/>
      </c>
      <c r="BH313" s="15">
        <f>MAX(0,BG312*(1-INDEX($B$11:$B$63,48))*(1-E312))</f>
        <v/>
      </c>
      <c r="BI313" s="15">
        <f>MAX(0,BH312*(1-INDEX($B$11:$B$63,49))*(1-E312))</f>
        <v/>
      </c>
      <c r="BJ313" s="15">
        <f>MAX(0,BI312*(1-INDEX($B$11:$B$63,50))*(1-E312))</f>
        <v/>
      </c>
      <c r="BK313" s="15">
        <f>MAX(0,BJ312*(1-INDEX($B$11:$B$63,51))*(1-E312))</f>
        <v/>
      </c>
      <c r="BL313" s="15">
        <f>MAX(0,(BL312+BK312)*(1-INDEX($B$11:$B$63,53))*(1-E312))</f>
        <v/>
      </c>
    </row>
    <row r="314">
      <c r="A314" s="55" t="n">
        <v>248</v>
      </c>
      <c r="B314" s="15">
        <f>IF(A314&gt;Inputs!$C$62,"",SUM(M314:BK314))</f>
        <v/>
      </c>
      <c r="C314" s="15">
        <f>IF(A314&gt;Inputs!$C$62,"",INDEX(Trajectory!$C$23:$C$2000,A314))</f>
        <v/>
      </c>
      <c r="D314" s="15">
        <f>IF(A314&gt;Inputs!$C$62,"",SUM(L314:BK314))</f>
        <v/>
      </c>
      <c r="E314" s="12">
        <f>IF(A314&gt;Inputs!$C$62,"",INDEX(Trajectory!$AG$23:$AG$2000,A314))</f>
        <v/>
      </c>
      <c r="F314" s="12">
        <f>IF(D314=0,0,SUMPRODUCT(L314:BK314,$B$11:$B$63)/D314)</f>
        <v/>
      </c>
      <c r="G314" s="12">
        <f>IF(D314=0,0,MIN(0.95,1-(1-F314)*(1-E314)))</f>
        <v/>
      </c>
      <c r="H314" s="15">
        <f>IF(D314=0,0,D314*G314)</f>
        <v/>
      </c>
      <c r="I314" s="15">
        <f>IF(D314=0,0,D314-H314)</f>
        <v/>
      </c>
      <c r="L314" s="15">
        <f>C314</f>
        <v/>
      </c>
      <c r="M314" s="15">
        <f>MAX(0,L313*(1-INDEX($B$11:$B$63,1))*(1-E313))</f>
        <v/>
      </c>
      <c r="N314" s="15">
        <f>MAX(0,M313*(1-INDEX($B$11:$B$63,2))*(1-E313))</f>
        <v/>
      </c>
      <c r="O314" s="15">
        <f>MAX(0,N313*(1-INDEX($B$11:$B$63,3))*(1-E313))</f>
        <v/>
      </c>
      <c r="P314" s="15">
        <f>MAX(0,O313*(1-INDEX($B$11:$B$63,4))*(1-E313))</f>
        <v/>
      </c>
      <c r="Q314" s="15">
        <f>MAX(0,P313*(1-INDEX($B$11:$B$63,5))*(1-E313))</f>
        <v/>
      </c>
      <c r="R314" s="15">
        <f>MAX(0,Q313*(1-INDEX($B$11:$B$63,6))*(1-E313))</f>
        <v/>
      </c>
      <c r="S314" s="15">
        <f>MAX(0,R313*(1-INDEX($B$11:$B$63,7))*(1-E313))</f>
        <v/>
      </c>
      <c r="T314" s="15">
        <f>MAX(0,S313*(1-INDEX($B$11:$B$63,8))*(1-E313))</f>
        <v/>
      </c>
      <c r="U314" s="15">
        <f>MAX(0,T313*(1-INDEX($B$11:$B$63,9))*(1-E313))</f>
        <v/>
      </c>
      <c r="V314" s="15">
        <f>MAX(0,U313*(1-INDEX($B$11:$B$63,10))*(1-E313))</f>
        <v/>
      </c>
      <c r="W314" s="15">
        <f>MAX(0,V313*(1-INDEX($B$11:$B$63,11))*(1-E313))</f>
        <v/>
      </c>
      <c r="X314" s="15">
        <f>MAX(0,W313*(1-INDEX($B$11:$B$63,12))*(1-E313))</f>
        <v/>
      </c>
      <c r="Y314" s="15">
        <f>MAX(0,X313*(1-INDEX($B$11:$B$63,13))*(1-E313))</f>
        <v/>
      </c>
      <c r="Z314" s="15">
        <f>MAX(0,Y313*(1-INDEX($B$11:$B$63,14))*(1-E313))</f>
        <v/>
      </c>
      <c r="AA314" s="15">
        <f>MAX(0,Z313*(1-INDEX($B$11:$B$63,15))*(1-E313))</f>
        <v/>
      </c>
      <c r="AB314" s="15">
        <f>MAX(0,AA313*(1-INDEX($B$11:$B$63,16))*(1-E313))</f>
        <v/>
      </c>
      <c r="AC314" s="15">
        <f>MAX(0,AB313*(1-INDEX($B$11:$B$63,17))*(1-E313))</f>
        <v/>
      </c>
      <c r="AD314" s="15">
        <f>MAX(0,AC313*(1-INDEX($B$11:$B$63,18))*(1-E313))</f>
        <v/>
      </c>
      <c r="AE314" s="15">
        <f>MAX(0,AD313*(1-INDEX($B$11:$B$63,19))*(1-E313))</f>
        <v/>
      </c>
      <c r="AF314" s="15">
        <f>MAX(0,AE313*(1-INDEX($B$11:$B$63,20))*(1-E313))</f>
        <v/>
      </c>
      <c r="AG314" s="15">
        <f>MAX(0,AF313*(1-INDEX($B$11:$B$63,21))*(1-E313))</f>
        <v/>
      </c>
      <c r="AH314" s="15">
        <f>MAX(0,AG313*(1-INDEX($B$11:$B$63,22))*(1-E313))</f>
        <v/>
      </c>
      <c r="AI314" s="15">
        <f>MAX(0,AH313*(1-INDEX($B$11:$B$63,23))*(1-E313))</f>
        <v/>
      </c>
      <c r="AJ314" s="15">
        <f>MAX(0,AI313*(1-INDEX($B$11:$B$63,24))*(1-E313))</f>
        <v/>
      </c>
      <c r="AK314" s="15">
        <f>MAX(0,AJ313*(1-INDEX($B$11:$B$63,25))*(1-E313))</f>
        <v/>
      </c>
      <c r="AL314" s="15">
        <f>MAX(0,AK313*(1-INDEX($B$11:$B$63,26))*(1-E313))</f>
        <v/>
      </c>
      <c r="AM314" s="15">
        <f>MAX(0,AL313*(1-INDEX($B$11:$B$63,27))*(1-E313))</f>
        <v/>
      </c>
      <c r="AN314" s="15">
        <f>MAX(0,AM313*(1-INDEX($B$11:$B$63,28))*(1-E313))</f>
        <v/>
      </c>
      <c r="AO314" s="15">
        <f>MAX(0,AN313*(1-INDEX($B$11:$B$63,29))*(1-E313))</f>
        <v/>
      </c>
      <c r="AP314" s="15">
        <f>MAX(0,AO313*(1-INDEX($B$11:$B$63,30))*(1-E313))</f>
        <v/>
      </c>
      <c r="AQ314" s="15">
        <f>MAX(0,AP313*(1-INDEX($B$11:$B$63,31))*(1-E313))</f>
        <v/>
      </c>
      <c r="AR314" s="15">
        <f>MAX(0,AQ313*(1-INDEX($B$11:$B$63,32))*(1-E313))</f>
        <v/>
      </c>
      <c r="AS314" s="15">
        <f>MAX(0,AR313*(1-INDEX($B$11:$B$63,33))*(1-E313))</f>
        <v/>
      </c>
      <c r="AT314" s="15">
        <f>MAX(0,AS313*(1-INDEX($B$11:$B$63,34))*(1-E313))</f>
        <v/>
      </c>
      <c r="AU314" s="15">
        <f>MAX(0,AT313*(1-INDEX($B$11:$B$63,35))*(1-E313))</f>
        <v/>
      </c>
      <c r="AV314" s="15">
        <f>MAX(0,AU313*(1-INDEX($B$11:$B$63,36))*(1-E313))</f>
        <v/>
      </c>
      <c r="AW314" s="15">
        <f>MAX(0,AV313*(1-INDEX($B$11:$B$63,37))*(1-E313))</f>
        <v/>
      </c>
      <c r="AX314" s="15">
        <f>MAX(0,AW313*(1-INDEX($B$11:$B$63,38))*(1-E313))</f>
        <v/>
      </c>
      <c r="AY314" s="15">
        <f>MAX(0,AX313*(1-INDEX($B$11:$B$63,39))*(1-E313))</f>
        <v/>
      </c>
      <c r="AZ314" s="15">
        <f>MAX(0,AY313*(1-INDEX($B$11:$B$63,40))*(1-E313))</f>
        <v/>
      </c>
      <c r="BA314" s="15">
        <f>MAX(0,AZ313*(1-INDEX($B$11:$B$63,41))*(1-E313))</f>
        <v/>
      </c>
      <c r="BB314" s="15">
        <f>MAX(0,BA313*(1-INDEX($B$11:$B$63,42))*(1-E313))</f>
        <v/>
      </c>
      <c r="BC314" s="15">
        <f>MAX(0,BB313*(1-INDEX($B$11:$B$63,43))*(1-E313))</f>
        <v/>
      </c>
      <c r="BD314" s="15">
        <f>MAX(0,BC313*(1-INDEX($B$11:$B$63,44))*(1-E313))</f>
        <v/>
      </c>
      <c r="BE314" s="15">
        <f>MAX(0,BD313*(1-INDEX($B$11:$B$63,45))*(1-E313))</f>
        <v/>
      </c>
      <c r="BF314" s="15">
        <f>MAX(0,BE313*(1-INDEX($B$11:$B$63,46))*(1-E313))</f>
        <v/>
      </c>
      <c r="BG314" s="15">
        <f>MAX(0,BF313*(1-INDEX($B$11:$B$63,47))*(1-E313))</f>
        <v/>
      </c>
      <c r="BH314" s="15">
        <f>MAX(0,BG313*(1-INDEX($B$11:$B$63,48))*(1-E313))</f>
        <v/>
      </c>
      <c r="BI314" s="15">
        <f>MAX(0,BH313*(1-INDEX($B$11:$B$63,49))*(1-E313))</f>
        <v/>
      </c>
      <c r="BJ314" s="15">
        <f>MAX(0,BI313*(1-INDEX($B$11:$B$63,50))*(1-E313))</f>
        <v/>
      </c>
      <c r="BK314" s="15">
        <f>MAX(0,BJ313*(1-INDEX($B$11:$B$63,51))*(1-E313))</f>
        <v/>
      </c>
      <c r="BL314" s="15">
        <f>MAX(0,(BL313+BK313)*(1-INDEX($B$11:$B$63,53))*(1-E313))</f>
        <v/>
      </c>
    </row>
    <row r="315">
      <c r="A315" s="55" t="n">
        <v>249</v>
      </c>
      <c r="B315" s="15">
        <f>IF(A315&gt;Inputs!$C$62,"",SUM(M315:BK315))</f>
        <v/>
      </c>
      <c r="C315" s="15">
        <f>IF(A315&gt;Inputs!$C$62,"",INDEX(Trajectory!$C$23:$C$2000,A315))</f>
        <v/>
      </c>
      <c r="D315" s="15">
        <f>IF(A315&gt;Inputs!$C$62,"",SUM(L315:BK315))</f>
        <v/>
      </c>
      <c r="E315" s="12">
        <f>IF(A315&gt;Inputs!$C$62,"",INDEX(Trajectory!$AG$23:$AG$2000,A315))</f>
        <v/>
      </c>
      <c r="F315" s="12">
        <f>IF(D315=0,0,SUMPRODUCT(L315:BK315,$B$11:$B$63)/D315)</f>
        <v/>
      </c>
      <c r="G315" s="12">
        <f>IF(D315=0,0,MIN(0.95,1-(1-F315)*(1-E315)))</f>
        <v/>
      </c>
      <c r="H315" s="15">
        <f>IF(D315=0,0,D315*G315)</f>
        <v/>
      </c>
      <c r="I315" s="15">
        <f>IF(D315=0,0,D315-H315)</f>
        <v/>
      </c>
      <c r="L315" s="15">
        <f>C315</f>
        <v/>
      </c>
      <c r="M315" s="15">
        <f>MAX(0,L314*(1-INDEX($B$11:$B$63,1))*(1-E314))</f>
        <v/>
      </c>
      <c r="N315" s="15">
        <f>MAX(0,M314*(1-INDEX($B$11:$B$63,2))*(1-E314))</f>
        <v/>
      </c>
      <c r="O315" s="15">
        <f>MAX(0,N314*(1-INDEX($B$11:$B$63,3))*(1-E314))</f>
        <v/>
      </c>
      <c r="P315" s="15">
        <f>MAX(0,O314*(1-INDEX($B$11:$B$63,4))*(1-E314))</f>
        <v/>
      </c>
      <c r="Q315" s="15">
        <f>MAX(0,P314*(1-INDEX($B$11:$B$63,5))*(1-E314))</f>
        <v/>
      </c>
      <c r="R315" s="15">
        <f>MAX(0,Q314*(1-INDEX($B$11:$B$63,6))*(1-E314))</f>
        <v/>
      </c>
      <c r="S315" s="15">
        <f>MAX(0,R314*(1-INDEX($B$11:$B$63,7))*(1-E314))</f>
        <v/>
      </c>
      <c r="T315" s="15">
        <f>MAX(0,S314*(1-INDEX($B$11:$B$63,8))*(1-E314))</f>
        <v/>
      </c>
      <c r="U315" s="15">
        <f>MAX(0,T314*(1-INDEX($B$11:$B$63,9))*(1-E314))</f>
        <v/>
      </c>
      <c r="V315" s="15">
        <f>MAX(0,U314*(1-INDEX($B$11:$B$63,10))*(1-E314))</f>
        <v/>
      </c>
      <c r="W315" s="15">
        <f>MAX(0,V314*(1-INDEX($B$11:$B$63,11))*(1-E314))</f>
        <v/>
      </c>
      <c r="X315" s="15">
        <f>MAX(0,W314*(1-INDEX($B$11:$B$63,12))*(1-E314))</f>
        <v/>
      </c>
      <c r="Y315" s="15">
        <f>MAX(0,X314*(1-INDEX($B$11:$B$63,13))*(1-E314))</f>
        <v/>
      </c>
      <c r="Z315" s="15">
        <f>MAX(0,Y314*(1-INDEX($B$11:$B$63,14))*(1-E314))</f>
        <v/>
      </c>
      <c r="AA315" s="15">
        <f>MAX(0,Z314*(1-INDEX($B$11:$B$63,15))*(1-E314))</f>
        <v/>
      </c>
      <c r="AB315" s="15">
        <f>MAX(0,AA314*(1-INDEX($B$11:$B$63,16))*(1-E314))</f>
        <v/>
      </c>
      <c r="AC315" s="15">
        <f>MAX(0,AB314*(1-INDEX($B$11:$B$63,17))*(1-E314))</f>
        <v/>
      </c>
      <c r="AD315" s="15">
        <f>MAX(0,AC314*(1-INDEX($B$11:$B$63,18))*(1-E314))</f>
        <v/>
      </c>
      <c r="AE315" s="15">
        <f>MAX(0,AD314*(1-INDEX($B$11:$B$63,19))*(1-E314))</f>
        <v/>
      </c>
      <c r="AF315" s="15">
        <f>MAX(0,AE314*(1-INDEX($B$11:$B$63,20))*(1-E314))</f>
        <v/>
      </c>
      <c r="AG315" s="15">
        <f>MAX(0,AF314*(1-INDEX($B$11:$B$63,21))*(1-E314))</f>
        <v/>
      </c>
      <c r="AH315" s="15">
        <f>MAX(0,AG314*(1-INDEX($B$11:$B$63,22))*(1-E314))</f>
        <v/>
      </c>
      <c r="AI315" s="15">
        <f>MAX(0,AH314*(1-INDEX($B$11:$B$63,23))*(1-E314))</f>
        <v/>
      </c>
      <c r="AJ315" s="15">
        <f>MAX(0,AI314*(1-INDEX($B$11:$B$63,24))*(1-E314))</f>
        <v/>
      </c>
      <c r="AK315" s="15">
        <f>MAX(0,AJ314*(1-INDEX($B$11:$B$63,25))*(1-E314))</f>
        <v/>
      </c>
      <c r="AL315" s="15">
        <f>MAX(0,AK314*(1-INDEX($B$11:$B$63,26))*(1-E314))</f>
        <v/>
      </c>
      <c r="AM315" s="15">
        <f>MAX(0,AL314*(1-INDEX($B$11:$B$63,27))*(1-E314))</f>
        <v/>
      </c>
      <c r="AN315" s="15">
        <f>MAX(0,AM314*(1-INDEX($B$11:$B$63,28))*(1-E314))</f>
        <v/>
      </c>
      <c r="AO315" s="15">
        <f>MAX(0,AN314*(1-INDEX($B$11:$B$63,29))*(1-E314))</f>
        <v/>
      </c>
      <c r="AP315" s="15">
        <f>MAX(0,AO314*(1-INDEX($B$11:$B$63,30))*(1-E314))</f>
        <v/>
      </c>
      <c r="AQ315" s="15">
        <f>MAX(0,AP314*(1-INDEX($B$11:$B$63,31))*(1-E314))</f>
        <v/>
      </c>
      <c r="AR315" s="15">
        <f>MAX(0,AQ314*(1-INDEX($B$11:$B$63,32))*(1-E314))</f>
        <v/>
      </c>
      <c r="AS315" s="15">
        <f>MAX(0,AR314*(1-INDEX($B$11:$B$63,33))*(1-E314))</f>
        <v/>
      </c>
      <c r="AT315" s="15">
        <f>MAX(0,AS314*(1-INDEX($B$11:$B$63,34))*(1-E314))</f>
        <v/>
      </c>
      <c r="AU315" s="15">
        <f>MAX(0,AT314*(1-INDEX($B$11:$B$63,35))*(1-E314))</f>
        <v/>
      </c>
      <c r="AV315" s="15">
        <f>MAX(0,AU314*(1-INDEX($B$11:$B$63,36))*(1-E314))</f>
        <v/>
      </c>
      <c r="AW315" s="15">
        <f>MAX(0,AV314*(1-INDEX($B$11:$B$63,37))*(1-E314))</f>
        <v/>
      </c>
      <c r="AX315" s="15">
        <f>MAX(0,AW314*(1-INDEX($B$11:$B$63,38))*(1-E314))</f>
        <v/>
      </c>
      <c r="AY315" s="15">
        <f>MAX(0,AX314*(1-INDEX($B$11:$B$63,39))*(1-E314))</f>
        <v/>
      </c>
      <c r="AZ315" s="15">
        <f>MAX(0,AY314*(1-INDEX($B$11:$B$63,40))*(1-E314))</f>
        <v/>
      </c>
      <c r="BA315" s="15">
        <f>MAX(0,AZ314*(1-INDEX($B$11:$B$63,41))*(1-E314))</f>
        <v/>
      </c>
      <c r="BB315" s="15">
        <f>MAX(0,BA314*(1-INDEX($B$11:$B$63,42))*(1-E314))</f>
        <v/>
      </c>
      <c r="BC315" s="15">
        <f>MAX(0,BB314*(1-INDEX($B$11:$B$63,43))*(1-E314))</f>
        <v/>
      </c>
      <c r="BD315" s="15">
        <f>MAX(0,BC314*(1-INDEX($B$11:$B$63,44))*(1-E314))</f>
        <v/>
      </c>
      <c r="BE315" s="15">
        <f>MAX(0,BD314*(1-INDEX($B$11:$B$63,45))*(1-E314))</f>
        <v/>
      </c>
      <c r="BF315" s="15">
        <f>MAX(0,BE314*(1-INDEX($B$11:$B$63,46))*(1-E314))</f>
        <v/>
      </c>
      <c r="BG315" s="15">
        <f>MAX(0,BF314*(1-INDEX($B$11:$B$63,47))*(1-E314))</f>
        <v/>
      </c>
      <c r="BH315" s="15">
        <f>MAX(0,BG314*(1-INDEX($B$11:$B$63,48))*(1-E314))</f>
        <v/>
      </c>
      <c r="BI315" s="15">
        <f>MAX(0,BH314*(1-INDEX($B$11:$B$63,49))*(1-E314))</f>
        <v/>
      </c>
      <c r="BJ315" s="15">
        <f>MAX(0,BI314*(1-INDEX($B$11:$B$63,50))*(1-E314))</f>
        <v/>
      </c>
      <c r="BK315" s="15">
        <f>MAX(0,BJ314*(1-INDEX($B$11:$B$63,51))*(1-E314))</f>
        <v/>
      </c>
      <c r="BL315" s="15">
        <f>MAX(0,(BL314+BK314)*(1-INDEX($B$11:$B$63,53))*(1-E314))</f>
        <v/>
      </c>
    </row>
    <row r="316">
      <c r="A316" s="55" t="n">
        <v>250</v>
      </c>
      <c r="B316" s="15">
        <f>IF(A316&gt;Inputs!$C$62,"",SUM(M316:BK316))</f>
        <v/>
      </c>
      <c r="C316" s="15">
        <f>IF(A316&gt;Inputs!$C$62,"",INDEX(Trajectory!$C$23:$C$2000,A316))</f>
        <v/>
      </c>
      <c r="D316" s="15">
        <f>IF(A316&gt;Inputs!$C$62,"",SUM(L316:BK316))</f>
        <v/>
      </c>
      <c r="E316" s="12">
        <f>IF(A316&gt;Inputs!$C$62,"",INDEX(Trajectory!$AG$23:$AG$2000,A316))</f>
        <v/>
      </c>
      <c r="F316" s="12">
        <f>IF(D316=0,0,SUMPRODUCT(L316:BK316,$B$11:$B$63)/D316)</f>
        <v/>
      </c>
      <c r="G316" s="12">
        <f>IF(D316=0,0,MIN(0.95,1-(1-F316)*(1-E316)))</f>
        <v/>
      </c>
      <c r="H316" s="15">
        <f>IF(D316=0,0,D316*G316)</f>
        <v/>
      </c>
      <c r="I316" s="15">
        <f>IF(D316=0,0,D316-H316)</f>
        <v/>
      </c>
      <c r="L316" s="15">
        <f>C316</f>
        <v/>
      </c>
      <c r="M316" s="15">
        <f>MAX(0,L315*(1-INDEX($B$11:$B$63,1))*(1-E315))</f>
        <v/>
      </c>
      <c r="N316" s="15">
        <f>MAX(0,M315*(1-INDEX($B$11:$B$63,2))*(1-E315))</f>
        <v/>
      </c>
      <c r="O316" s="15">
        <f>MAX(0,N315*(1-INDEX($B$11:$B$63,3))*(1-E315))</f>
        <v/>
      </c>
      <c r="P316" s="15">
        <f>MAX(0,O315*(1-INDEX($B$11:$B$63,4))*(1-E315))</f>
        <v/>
      </c>
      <c r="Q316" s="15">
        <f>MAX(0,P315*(1-INDEX($B$11:$B$63,5))*(1-E315))</f>
        <v/>
      </c>
      <c r="R316" s="15">
        <f>MAX(0,Q315*(1-INDEX($B$11:$B$63,6))*(1-E315))</f>
        <v/>
      </c>
      <c r="S316" s="15">
        <f>MAX(0,R315*(1-INDEX($B$11:$B$63,7))*(1-E315))</f>
        <v/>
      </c>
      <c r="T316" s="15">
        <f>MAX(0,S315*(1-INDEX($B$11:$B$63,8))*(1-E315))</f>
        <v/>
      </c>
      <c r="U316" s="15">
        <f>MAX(0,T315*(1-INDEX($B$11:$B$63,9))*(1-E315))</f>
        <v/>
      </c>
      <c r="V316" s="15">
        <f>MAX(0,U315*(1-INDEX($B$11:$B$63,10))*(1-E315))</f>
        <v/>
      </c>
      <c r="W316" s="15">
        <f>MAX(0,V315*(1-INDEX($B$11:$B$63,11))*(1-E315))</f>
        <v/>
      </c>
      <c r="X316" s="15">
        <f>MAX(0,W315*(1-INDEX($B$11:$B$63,12))*(1-E315))</f>
        <v/>
      </c>
      <c r="Y316" s="15">
        <f>MAX(0,X315*(1-INDEX($B$11:$B$63,13))*(1-E315))</f>
        <v/>
      </c>
      <c r="Z316" s="15">
        <f>MAX(0,Y315*(1-INDEX($B$11:$B$63,14))*(1-E315))</f>
        <v/>
      </c>
      <c r="AA316" s="15">
        <f>MAX(0,Z315*(1-INDEX($B$11:$B$63,15))*(1-E315))</f>
        <v/>
      </c>
      <c r="AB316" s="15">
        <f>MAX(0,AA315*(1-INDEX($B$11:$B$63,16))*(1-E315))</f>
        <v/>
      </c>
      <c r="AC316" s="15">
        <f>MAX(0,AB315*(1-INDEX($B$11:$B$63,17))*(1-E315))</f>
        <v/>
      </c>
      <c r="AD316" s="15">
        <f>MAX(0,AC315*(1-INDEX($B$11:$B$63,18))*(1-E315))</f>
        <v/>
      </c>
      <c r="AE316" s="15">
        <f>MAX(0,AD315*(1-INDEX($B$11:$B$63,19))*(1-E315))</f>
        <v/>
      </c>
      <c r="AF316" s="15">
        <f>MAX(0,AE315*(1-INDEX($B$11:$B$63,20))*(1-E315))</f>
        <v/>
      </c>
      <c r="AG316" s="15">
        <f>MAX(0,AF315*(1-INDEX($B$11:$B$63,21))*(1-E315))</f>
        <v/>
      </c>
      <c r="AH316" s="15">
        <f>MAX(0,AG315*(1-INDEX($B$11:$B$63,22))*(1-E315))</f>
        <v/>
      </c>
      <c r="AI316" s="15">
        <f>MAX(0,AH315*(1-INDEX($B$11:$B$63,23))*(1-E315))</f>
        <v/>
      </c>
      <c r="AJ316" s="15">
        <f>MAX(0,AI315*(1-INDEX($B$11:$B$63,24))*(1-E315))</f>
        <v/>
      </c>
      <c r="AK316" s="15">
        <f>MAX(0,AJ315*(1-INDEX($B$11:$B$63,25))*(1-E315))</f>
        <v/>
      </c>
      <c r="AL316" s="15">
        <f>MAX(0,AK315*(1-INDEX($B$11:$B$63,26))*(1-E315))</f>
        <v/>
      </c>
      <c r="AM316" s="15">
        <f>MAX(0,AL315*(1-INDEX($B$11:$B$63,27))*(1-E315))</f>
        <v/>
      </c>
      <c r="AN316" s="15">
        <f>MAX(0,AM315*(1-INDEX($B$11:$B$63,28))*(1-E315))</f>
        <v/>
      </c>
      <c r="AO316" s="15">
        <f>MAX(0,AN315*(1-INDEX($B$11:$B$63,29))*(1-E315))</f>
        <v/>
      </c>
      <c r="AP316" s="15">
        <f>MAX(0,AO315*(1-INDEX($B$11:$B$63,30))*(1-E315))</f>
        <v/>
      </c>
      <c r="AQ316" s="15">
        <f>MAX(0,AP315*(1-INDEX($B$11:$B$63,31))*(1-E315))</f>
        <v/>
      </c>
      <c r="AR316" s="15">
        <f>MAX(0,AQ315*(1-INDEX($B$11:$B$63,32))*(1-E315))</f>
        <v/>
      </c>
      <c r="AS316" s="15">
        <f>MAX(0,AR315*(1-INDEX($B$11:$B$63,33))*(1-E315))</f>
        <v/>
      </c>
      <c r="AT316" s="15">
        <f>MAX(0,AS315*(1-INDEX($B$11:$B$63,34))*(1-E315))</f>
        <v/>
      </c>
      <c r="AU316" s="15">
        <f>MAX(0,AT315*(1-INDEX($B$11:$B$63,35))*(1-E315))</f>
        <v/>
      </c>
      <c r="AV316" s="15">
        <f>MAX(0,AU315*(1-INDEX($B$11:$B$63,36))*(1-E315))</f>
        <v/>
      </c>
      <c r="AW316" s="15">
        <f>MAX(0,AV315*(1-INDEX($B$11:$B$63,37))*(1-E315))</f>
        <v/>
      </c>
      <c r="AX316" s="15">
        <f>MAX(0,AW315*(1-INDEX($B$11:$B$63,38))*(1-E315))</f>
        <v/>
      </c>
      <c r="AY316" s="15">
        <f>MAX(0,AX315*(1-INDEX($B$11:$B$63,39))*(1-E315))</f>
        <v/>
      </c>
      <c r="AZ316" s="15">
        <f>MAX(0,AY315*(1-INDEX($B$11:$B$63,40))*(1-E315))</f>
        <v/>
      </c>
      <c r="BA316" s="15">
        <f>MAX(0,AZ315*(1-INDEX($B$11:$B$63,41))*(1-E315))</f>
        <v/>
      </c>
      <c r="BB316" s="15">
        <f>MAX(0,BA315*(1-INDEX($B$11:$B$63,42))*(1-E315))</f>
        <v/>
      </c>
      <c r="BC316" s="15">
        <f>MAX(0,BB315*(1-INDEX($B$11:$B$63,43))*(1-E315))</f>
        <v/>
      </c>
      <c r="BD316" s="15">
        <f>MAX(0,BC315*(1-INDEX($B$11:$B$63,44))*(1-E315))</f>
        <v/>
      </c>
      <c r="BE316" s="15">
        <f>MAX(0,BD315*(1-INDEX($B$11:$B$63,45))*(1-E315))</f>
        <v/>
      </c>
      <c r="BF316" s="15">
        <f>MAX(0,BE315*(1-INDEX($B$11:$B$63,46))*(1-E315))</f>
        <v/>
      </c>
      <c r="BG316" s="15">
        <f>MAX(0,BF315*(1-INDEX($B$11:$B$63,47))*(1-E315))</f>
        <v/>
      </c>
      <c r="BH316" s="15">
        <f>MAX(0,BG315*(1-INDEX($B$11:$B$63,48))*(1-E315))</f>
        <v/>
      </c>
      <c r="BI316" s="15">
        <f>MAX(0,BH315*(1-INDEX($B$11:$B$63,49))*(1-E315))</f>
        <v/>
      </c>
      <c r="BJ316" s="15">
        <f>MAX(0,BI315*(1-INDEX($B$11:$B$63,50))*(1-E315))</f>
        <v/>
      </c>
      <c r="BK316" s="15">
        <f>MAX(0,BJ315*(1-INDEX($B$11:$B$63,51))*(1-E315))</f>
        <v/>
      </c>
      <c r="BL316" s="15">
        <f>MAX(0,(BL315+BK315)*(1-INDEX($B$11:$B$63,53))*(1-E315))</f>
        <v/>
      </c>
    </row>
    <row r="317">
      <c r="A317" s="55" t="n">
        <v>251</v>
      </c>
      <c r="B317" s="15">
        <f>IF(A317&gt;Inputs!$C$62,"",SUM(M317:BK317))</f>
        <v/>
      </c>
      <c r="C317" s="15">
        <f>IF(A317&gt;Inputs!$C$62,"",INDEX(Trajectory!$C$23:$C$2000,A317))</f>
        <v/>
      </c>
      <c r="D317" s="15">
        <f>IF(A317&gt;Inputs!$C$62,"",SUM(L317:BK317))</f>
        <v/>
      </c>
      <c r="E317" s="12">
        <f>IF(A317&gt;Inputs!$C$62,"",INDEX(Trajectory!$AG$23:$AG$2000,A317))</f>
        <v/>
      </c>
      <c r="F317" s="12">
        <f>IF(D317=0,0,SUMPRODUCT(L317:BK317,$B$11:$B$63)/D317)</f>
        <v/>
      </c>
      <c r="G317" s="12">
        <f>IF(D317=0,0,MIN(0.95,1-(1-F317)*(1-E317)))</f>
        <v/>
      </c>
      <c r="H317" s="15">
        <f>IF(D317=0,0,D317*G317)</f>
        <v/>
      </c>
      <c r="I317" s="15">
        <f>IF(D317=0,0,D317-H317)</f>
        <v/>
      </c>
      <c r="L317" s="15">
        <f>C317</f>
        <v/>
      </c>
      <c r="M317" s="15">
        <f>MAX(0,L316*(1-INDEX($B$11:$B$63,1))*(1-E316))</f>
        <v/>
      </c>
      <c r="N317" s="15">
        <f>MAX(0,M316*(1-INDEX($B$11:$B$63,2))*(1-E316))</f>
        <v/>
      </c>
      <c r="O317" s="15">
        <f>MAX(0,N316*(1-INDEX($B$11:$B$63,3))*(1-E316))</f>
        <v/>
      </c>
      <c r="P317" s="15">
        <f>MAX(0,O316*(1-INDEX($B$11:$B$63,4))*(1-E316))</f>
        <v/>
      </c>
      <c r="Q317" s="15">
        <f>MAX(0,P316*(1-INDEX($B$11:$B$63,5))*(1-E316))</f>
        <v/>
      </c>
      <c r="R317" s="15">
        <f>MAX(0,Q316*(1-INDEX($B$11:$B$63,6))*(1-E316))</f>
        <v/>
      </c>
      <c r="S317" s="15">
        <f>MAX(0,R316*(1-INDEX($B$11:$B$63,7))*(1-E316))</f>
        <v/>
      </c>
      <c r="T317" s="15">
        <f>MAX(0,S316*(1-INDEX($B$11:$B$63,8))*(1-E316))</f>
        <v/>
      </c>
      <c r="U317" s="15">
        <f>MAX(0,T316*(1-INDEX($B$11:$B$63,9))*(1-E316))</f>
        <v/>
      </c>
      <c r="V317" s="15">
        <f>MAX(0,U316*(1-INDEX($B$11:$B$63,10))*(1-E316))</f>
        <v/>
      </c>
      <c r="W317" s="15">
        <f>MAX(0,V316*(1-INDEX($B$11:$B$63,11))*(1-E316))</f>
        <v/>
      </c>
      <c r="X317" s="15">
        <f>MAX(0,W316*(1-INDEX($B$11:$B$63,12))*(1-E316))</f>
        <v/>
      </c>
      <c r="Y317" s="15">
        <f>MAX(0,X316*(1-INDEX($B$11:$B$63,13))*(1-E316))</f>
        <v/>
      </c>
      <c r="Z317" s="15">
        <f>MAX(0,Y316*(1-INDEX($B$11:$B$63,14))*(1-E316))</f>
        <v/>
      </c>
      <c r="AA317" s="15">
        <f>MAX(0,Z316*(1-INDEX($B$11:$B$63,15))*(1-E316))</f>
        <v/>
      </c>
      <c r="AB317" s="15">
        <f>MAX(0,AA316*(1-INDEX($B$11:$B$63,16))*(1-E316))</f>
        <v/>
      </c>
      <c r="AC317" s="15">
        <f>MAX(0,AB316*(1-INDEX($B$11:$B$63,17))*(1-E316))</f>
        <v/>
      </c>
      <c r="AD317" s="15">
        <f>MAX(0,AC316*(1-INDEX($B$11:$B$63,18))*(1-E316))</f>
        <v/>
      </c>
      <c r="AE317" s="15">
        <f>MAX(0,AD316*(1-INDEX($B$11:$B$63,19))*(1-E316))</f>
        <v/>
      </c>
      <c r="AF317" s="15">
        <f>MAX(0,AE316*(1-INDEX($B$11:$B$63,20))*(1-E316))</f>
        <v/>
      </c>
      <c r="AG317" s="15">
        <f>MAX(0,AF316*(1-INDEX($B$11:$B$63,21))*(1-E316))</f>
        <v/>
      </c>
      <c r="AH317" s="15">
        <f>MAX(0,AG316*(1-INDEX($B$11:$B$63,22))*(1-E316))</f>
        <v/>
      </c>
      <c r="AI317" s="15">
        <f>MAX(0,AH316*(1-INDEX($B$11:$B$63,23))*(1-E316))</f>
        <v/>
      </c>
      <c r="AJ317" s="15">
        <f>MAX(0,AI316*(1-INDEX($B$11:$B$63,24))*(1-E316))</f>
        <v/>
      </c>
      <c r="AK317" s="15">
        <f>MAX(0,AJ316*(1-INDEX($B$11:$B$63,25))*(1-E316))</f>
        <v/>
      </c>
      <c r="AL317" s="15">
        <f>MAX(0,AK316*(1-INDEX($B$11:$B$63,26))*(1-E316))</f>
        <v/>
      </c>
      <c r="AM317" s="15">
        <f>MAX(0,AL316*(1-INDEX($B$11:$B$63,27))*(1-E316))</f>
        <v/>
      </c>
      <c r="AN317" s="15">
        <f>MAX(0,AM316*(1-INDEX($B$11:$B$63,28))*(1-E316))</f>
        <v/>
      </c>
      <c r="AO317" s="15">
        <f>MAX(0,AN316*(1-INDEX($B$11:$B$63,29))*(1-E316))</f>
        <v/>
      </c>
      <c r="AP317" s="15">
        <f>MAX(0,AO316*(1-INDEX($B$11:$B$63,30))*(1-E316))</f>
        <v/>
      </c>
      <c r="AQ317" s="15">
        <f>MAX(0,AP316*(1-INDEX($B$11:$B$63,31))*(1-E316))</f>
        <v/>
      </c>
      <c r="AR317" s="15">
        <f>MAX(0,AQ316*(1-INDEX($B$11:$B$63,32))*(1-E316))</f>
        <v/>
      </c>
      <c r="AS317" s="15">
        <f>MAX(0,AR316*(1-INDEX($B$11:$B$63,33))*(1-E316))</f>
        <v/>
      </c>
      <c r="AT317" s="15">
        <f>MAX(0,AS316*(1-INDEX($B$11:$B$63,34))*(1-E316))</f>
        <v/>
      </c>
      <c r="AU317" s="15">
        <f>MAX(0,AT316*(1-INDEX($B$11:$B$63,35))*(1-E316))</f>
        <v/>
      </c>
      <c r="AV317" s="15">
        <f>MAX(0,AU316*(1-INDEX($B$11:$B$63,36))*(1-E316))</f>
        <v/>
      </c>
      <c r="AW317" s="15">
        <f>MAX(0,AV316*(1-INDEX($B$11:$B$63,37))*(1-E316))</f>
        <v/>
      </c>
      <c r="AX317" s="15">
        <f>MAX(0,AW316*(1-INDEX($B$11:$B$63,38))*(1-E316))</f>
        <v/>
      </c>
      <c r="AY317" s="15">
        <f>MAX(0,AX316*(1-INDEX($B$11:$B$63,39))*(1-E316))</f>
        <v/>
      </c>
      <c r="AZ317" s="15">
        <f>MAX(0,AY316*(1-INDEX($B$11:$B$63,40))*(1-E316))</f>
        <v/>
      </c>
      <c r="BA317" s="15">
        <f>MAX(0,AZ316*(1-INDEX($B$11:$B$63,41))*(1-E316))</f>
        <v/>
      </c>
      <c r="BB317" s="15">
        <f>MAX(0,BA316*(1-INDEX($B$11:$B$63,42))*(1-E316))</f>
        <v/>
      </c>
      <c r="BC317" s="15">
        <f>MAX(0,BB316*(1-INDEX($B$11:$B$63,43))*(1-E316))</f>
        <v/>
      </c>
      <c r="BD317" s="15">
        <f>MAX(0,BC316*(1-INDEX($B$11:$B$63,44))*(1-E316))</f>
        <v/>
      </c>
      <c r="BE317" s="15">
        <f>MAX(0,BD316*(1-INDEX($B$11:$B$63,45))*(1-E316))</f>
        <v/>
      </c>
      <c r="BF317" s="15">
        <f>MAX(0,BE316*(1-INDEX($B$11:$B$63,46))*(1-E316))</f>
        <v/>
      </c>
      <c r="BG317" s="15">
        <f>MAX(0,BF316*(1-INDEX($B$11:$B$63,47))*(1-E316))</f>
        <v/>
      </c>
      <c r="BH317" s="15">
        <f>MAX(0,BG316*(1-INDEX($B$11:$B$63,48))*(1-E316))</f>
        <v/>
      </c>
      <c r="BI317" s="15">
        <f>MAX(0,BH316*(1-INDEX($B$11:$B$63,49))*(1-E316))</f>
        <v/>
      </c>
      <c r="BJ317" s="15">
        <f>MAX(0,BI316*(1-INDEX($B$11:$B$63,50))*(1-E316))</f>
        <v/>
      </c>
      <c r="BK317" s="15">
        <f>MAX(0,BJ316*(1-INDEX($B$11:$B$63,51))*(1-E316))</f>
        <v/>
      </c>
      <c r="BL317" s="15">
        <f>MAX(0,(BL316+BK316)*(1-INDEX($B$11:$B$63,53))*(1-E316))</f>
        <v/>
      </c>
    </row>
    <row r="318">
      <c r="A318" s="55" t="n">
        <v>252</v>
      </c>
      <c r="B318" s="15">
        <f>IF(A318&gt;Inputs!$C$62,"",SUM(M318:BK318))</f>
        <v/>
      </c>
      <c r="C318" s="15">
        <f>IF(A318&gt;Inputs!$C$62,"",INDEX(Trajectory!$C$23:$C$2000,A318))</f>
        <v/>
      </c>
      <c r="D318" s="15">
        <f>IF(A318&gt;Inputs!$C$62,"",SUM(L318:BK318))</f>
        <v/>
      </c>
      <c r="E318" s="12">
        <f>IF(A318&gt;Inputs!$C$62,"",INDEX(Trajectory!$AG$23:$AG$2000,A318))</f>
        <v/>
      </c>
      <c r="F318" s="12">
        <f>IF(D318=0,0,SUMPRODUCT(L318:BK318,$B$11:$B$63)/D318)</f>
        <v/>
      </c>
      <c r="G318" s="12">
        <f>IF(D318=0,0,MIN(0.95,1-(1-F318)*(1-E318)))</f>
        <v/>
      </c>
      <c r="H318" s="15">
        <f>IF(D318=0,0,D318*G318)</f>
        <v/>
      </c>
      <c r="I318" s="15">
        <f>IF(D318=0,0,D318-H318)</f>
        <v/>
      </c>
      <c r="L318" s="15">
        <f>C318</f>
        <v/>
      </c>
      <c r="M318" s="15">
        <f>MAX(0,L317*(1-INDEX($B$11:$B$63,1))*(1-E317))</f>
        <v/>
      </c>
      <c r="N318" s="15">
        <f>MAX(0,M317*(1-INDEX($B$11:$B$63,2))*(1-E317))</f>
        <v/>
      </c>
      <c r="O318" s="15">
        <f>MAX(0,N317*(1-INDEX($B$11:$B$63,3))*(1-E317))</f>
        <v/>
      </c>
      <c r="P318" s="15">
        <f>MAX(0,O317*(1-INDEX($B$11:$B$63,4))*(1-E317))</f>
        <v/>
      </c>
      <c r="Q318" s="15">
        <f>MAX(0,P317*(1-INDEX($B$11:$B$63,5))*(1-E317))</f>
        <v/>
      </c>
      <c r="R318" s="15">
        <f>MAX(0,Q317*(1-INDEX($B$11:$B$63,6))*(1-E317))</f>
        <v/>
      </c>
      <c r="S318" s="15">
        <f>MAX(0,R317*(1-INDEX($B$11:$B$63,7))*(1-E317))</f>
        <v/>
      </c>
      <c r="T318" s="15">
        <f>MAX(0,S317*(1-INDEX($B$11:$B$63,8))*(1-E317))</f>
        <v/>
      </c>
      <c r="U318" s="15">
        <f>MAX(0,T317*(1-INDEX($B$11:$B$63,9))*(1-E317))</f>
        <v/>
      </c>
      <c r="V318" s="15">
        <f>MAX(0,U317*(1-INDEX($B$11:$B$63,10))*(1-E317))</f>
        <v/>
      </c>
      <c r="W318" s="15">
        <f>MAX(0,V317*(1-INDEX($B$11:$B$63,11))*(1-E317))</f>
        <v/>
      </c>
      <c r="X318" s="15">
        <f>MAX(0,W317*(1-INDEX($B$11:$B$63,12))*(1-E317))</f>
        <v/>
      </c>
      <c r="Y318" s="15">
        <f>MAX(0,X317*(1-INDEX($B$11:$B$63,13))*(1-E317))</f>
        <v/>
      </c>
      <c r="Z318" s="15">
        <f>MAX(0,Y317*(1-INDEX($B$11:$B$63,14))*(1-E317))</f>
        <v/>
      </c>
      <c r="AA318" s="15">
        <f>MAX(0,Z317*(1-INDEX($B$11:$B$63,15))*(1-E317))</f>
        <v/>
      </c>
      <c r="AB318" s="15">
        <f>MAX(0,AA317*(1-INDEX($B$11:$B$63,16))*(1-E317))</f>
        <v/>
      </c>
      <c r="AC318" s="15">
        <f>MAX(0,AB317*(1-INDEX($B$11:$B$63,17))*(1-E317))</f>
        <v/>
      </c>
      <c r="AD318" s="15">
        <f>MAX(0,AC317*(1-INDEX($B$11:$B$63,18))*(1-E317))</f>
        <v/>
      </c>
      <c r="AE318" s="15">
        <f>MAX(0,AD317*(1-INDEX($B$11:$B$63,19))*(1-E317))</f>
        <v/>
      </c>
      <c r="AF318" s="15">
        <f>MAX(0,AE317*(1-INDEX($B$11:$B$63,20))*(1-E317))</f>
        <v/>
      </c>
      <c r="AG318" s="15">
        <f>MAX(0,AF317*(1-INDEX($B$11:$B$63,21))*(1-E317))</f>
        <v/>
      </c>
      <c r="AH318" s="15">
        <f>MAX(0,AG317*(1-INDEX($B$11:$B$63,22))*(1-E317))</f>
        <v/>
      </c>
      <c r="AI318" s="15">
        <f>MAX(0,AH317*(1-INDEX($B$11:$B$63,23))*(1-E317))</f>
        <v/>
      </c>
      <c r="AJ318" s="15">
        <f>MAX(0,AI317*(1-INDEX($B$11:$B$63,24))*(1-E317))</f>
        <v/>
      </c>
      <c r="AK318" s="15">
        <f>MAX(0,AJ317*(1-INDEX($B$11:$B$63,25))*(1-E317))</f>
        <v/>
      </c>
      <c r="AL318" s="15">
        <f>MAX(0,AK317*(1-INDEX($B$11:$B$63,26))*(1-E317))</f>
        <v/>
      </c>
      <c r="AM318" s="15">
        <f>MAX(0,AL317*(1-INDEX($B$11:$B$63,27))*(1-E317))</f>
        <v/>
      </c>
      <c r="AN318" s="15">
        <f>MAX(0,AM317*(1-INDEX($B$11:$B$63,28))*(1-E317))</f>
        <v/>
      </c>
      <c r="AO318" s="15">
        <f>MAX(0,AN317*(1-INDEX($B$11:$B$63,29))*(1-E317))</f>
        <v/>
      </c>
      <c r="AP318" s="15">
        <f>MAX(0,AO317*(1-INDEX($B$11:$B$63,30))*(1-E317))</f>
        <v/>
      </c>
      <c r="AQ318" s="15">
        <f>MAX(0,AP317*(1-INDEX($B$11:$B$63,31))*(1-E317))</f>
        <v/>
      </c>
      <c r="AR318" s="15">
        <f>MAX(0,AQ317*(1-INDEX($B$11:$B$63,32))*(1-E317))</f>
        <v/>
      </c>
      <c r="AS318" s="15">
        <f>MAX(0,AR317*(1-INDEX($B$11:$B$63,33))*(1-E317))</f>
        <v/>
      </c>
      <c r="AT318" s="15">
        <f>MAX(0,AS317*(1-INDEX($B$11:$B$63,34))*(1-E317))</f>
        <v/>
      </c>
      <c r="AU318" s="15">
        <f>MAX(0,AT317*(1-INDEX($B$11:$B$63,35))*(1-E317))</f>
        <v/>
      </c>
      <c r="AV318" s="15">
        <f>MAX(0,AU317*(1-INDEX($B$11:$B$63,36))*(1-E317))</f>
        <v/>
      </c>
      <c r="AW318" s="15">
        <f>MAX(0,AV317*(1-INDEX($B$11:$B$63,37))*(1-E317))</f>
        <v/>
      </c>
      <c r="AX318" s="15">
        <f>MAX(0,AW317*(1-INDEX($B$11:$B$63,38))*(1-E317))</f>
        <v/>
      </c>
      <c r="AY318" s="15">
        <f>MAX(0,AX317*(1-INDEX($B$11:$B$63,39))*(1-E317))</f>
        <v/>
      </c>
      <c r="AZ318" s="15">
        <f>MAX(0,AY317*(1-INDEX($B$11:$B$63,40))*(1-E317))</f>
        <v/>
      </c>
      <c r="BA318" s="15">
        <f>MAX(0,AZ317*(1-INDEX($B$11:$B$63,41))*(1-E317))</f>
        <v/>
      </c>
      <c r="BB318" s="15">
        <f>MAX(0,BA317*(1-INDEX($B$11:$B$63,42))*(1-E317))</f>
        <v/>
      </c>
      <c r="BC318" s="15">
        <f>MAX(0,BB317*(1-INDEX($B$11:$B$63,43))*(1-E317))</f>
        <v/>
      </c>
      <c r="BD318" s="15">
        <f>MAX(0,BC317*(1-INDEX($B$11:$B$63,44))*(1-E317))</f>
        <v/>
      </c>
      <c r="BE318" s="15">
        <f>MAX(0,BD317*(1-INDEX($B$11:$B$63,45))*(1-E317))</f>
        <v/>
      </c>
      <c r="BF318" s="15">
        <f>MAX(0,BE317*(1-INDEX($B$11:$B$63,46))*(1-E317))</f>
        <v/>
      </c>
      <c r="BG318" s="15">
        <f>MAX(0,BF317*(1-INDEX($B$11:$B$63,47))*(1-E317))</f>
        <v/>
      </c>
      <c r="BH318" s="15">
        <f>MAX(0,BG317*(1-INDEX($B$11:$B$63,48))*(1-E317))</f>
        <v/>
      </c>
      <c r="BI318" s="15">
        <f>MAX(0,BH317*(1-INDEX($B$11:$B$63,49))*(1-E317))</f>
        <v/>
      </c>
      <c r="BJ318" s="15">
        <f>MAX(0,BI317*(1-INDEX($B$11:$B$63,50))*(1-E317))</f>
        <v/>
      </c>
      <c r="BK318" s="15">
        <f>MAX(0,BJ317*(1-INDEX($B$11:$B$63,51))*(1-E317))</f>
        <v/>
      </c>
      <c r="BL318" s="15">
        <f>MAX(0,(BL317+BK317)*(1-INDEX($B$11:$B$63,53))*(1-E317))</f>
        <v/>
      </c>
    </row>
    <row r="319">
      <c r="A319" s="55" t="n">
        <v>253</v>
      </c>
      <c r="B319" s="15">
        <f>IF(A319&gt;Inputs!$C$62,"",SUM(M319:BK319))</f>
        <v/>
      </c>
      <c r="C319" s="15">
        <f>IF(A319&gt;Inputs!$C$62,"",INDEX(Trajectory!$C$23:$C$2000,A319))</f>
        <v/>
      </c>
      <c r="D319" s="15">
        <f>IF(A319&gt;Inputs!$C$62,"",SUM(L319:BK319))</f>
        <v/>
      </c>
      <c r="E319" s="12">
        <f>IF(A319&gt;Inputs!$C$62,"",INDEX(Trajectory!$AG$23:$AG$2000,A319))</f>
        <v/>
      </c>
      <c r="F319" s="12">
        <f>IF(D319=0,0,SUMPRODUCT(L319:BK319,$B$11:$B$63)/D319)</f>
        <v/>
      </c>
      <c r="G319" s="12">
        <f>IF(D319=0,0,MIN(0.95,1-(1-F319)*(1-E319)))</f>
        <v/>
      </c>
      <c r="H319" s="15">
        <f>IF(D319=0,0,D319*G319)</f>
        <v/>
      </c>
      <c r="I319" s="15">
        <f>IF(D319=0,0,D319-H319)</f>
        <v/>
      </c>
      <c r="L319" s="15">
        <f>C319</f>
        <v/>
      </c>
      <c r="M319" s="15">
        <f>MAX(0,L318*(1-INDEX($B$11:$B$63,1))*(1-E318))</f>
        <v/>
      </c>
      <c r="N319" s="15">
        <f>MAX(0,M318*(1-INDEX($B$11:$B$63,2))*(1-E318))</f>
        <v/>
      </c>
      <c r="O319" s="15">
        <f>MAX(0,N318*(1-INDEX($B$11:$B$63,3))*(1-E318))</f>
        <v/>
      </c>
      <c r="P319" s="15">
        <f>MAX(0,O318*(1-INDEX($B$11:$B$63,4))*(1-E318))</f>
        <v/>
      </c>
      <c r="Q319" s="15">
        <f>MAX(0,P318*(1-INDEX($B$11:$B$63,5))*(1-E318))</f>
        <v/>
      </c>
      <c r="R319" s="15">
        <f>MAX(0,Q318*(1-INDEX($B$11:$B$63,6))*(1-E318))</f>
        <v/>
      </c>
      <c r="S319" s="15">
        <f>MAX(0,R318*(1-INDEX($B$11:$B$63,7))*(1-E318))</f>
        <v/>
      </c>
      <c r="T319" s="15">
        <f>MAX(0,S318*(1-INDEX($B$11:$B$63,8))*(1-E318))</f>
        <v/>
      </c>
      <c r="U319" s="15">
        <f>MAX(0,T318*(1-INDEX($B$11:$B$63,9))*(1-E318))</f>
        <v/>
      </c>
      <c r="V319" s="15">
        <f>MAX(0,U318*(1-INDEX($B$11:$B$63,10))*(1-E318))</f>
        <v/>
      </c>
      <c r="W319" s="15">
        <f>MAX(0,V318*(1-INDEX($B$11:$B$63,11))*(1-E318))</f>
        <v/>
      </c>
      <c r="X319" s="15">
        <f>MAX(0,W318*(1-INDEX($B$11:$B$63,12))*(1-E318))</f>
        <v/>
      </c>
      <c r="Y319" s="15">
        <f>MAX(0,X318*(1-INDEX($B$11:$B$63,13))*(1-E318))</f>
        <v/>
      </c>
      <c r="Z319" s="15">
        <f>MAX(0,Y318*(1-INDEX($B$11:$B$63,14))*(1-E318))</f>
        <v/>
      </c>
      <c r="AA319" s="15">
        <f>MAX(0,Z318*(1-INDEX($B$11:$B$63,15))*(1-E318))</f>
        <v/>
      </c>
      <c r="AB319" s="15">
        <f>MAX(0,AA318*(1-INDEX($B$11:$B$63,16))*(1-E318))</f>
        <v/>
      </c>
      <c r="AC319" s="15">
        <f>MAX(0,AB318*(1-INDEX($B$11:$B$63,17))*(1-E318))</f>
        <v/>
      </c>
      <c r="AD319" s="15">
        <f>MAX(0,AC318*(1-INDEX($B$11:$B$63,18))*(1-E318))</f>
        <v/>
      </c>
      <c r="AE319" s="15">
        <f>MAX(0,AD318*(1-INDEX($B$11:$B$63,19))*(1-E318))</f>
        <v/>
      </c>
      <c r="AF319" s="15">
        <f>MAX(0,AE318*(1-INDEX($B$11:$B$63,20))*(1-E318))</f>
        <v/>
      </c>
      <c r="AG319" s="15">
        <f>MAX(0,AF318*(1-INDEX($B$11:$B$63,21))*(1-E318))</f>
        <v/>
      </c>
      <c r="AH319" s="15">
        <f>MAX(0,AG318*(1-INDEX($B$11:$B$63,22))*(1-E318))</f>
        <v/>
      </c>
      <c r="AI319" s="15">
        <f>MAX(0,AH318*(1-INDEX($B$11:$B$63,23))*(1-E318))</f>
        <v/>
      </c>
      <c r="AJ319" s="15">
        <f>MAX(0,AI318*(1-INDEX($B$11:$B$63,24))*(1-E318))</f>
        <v/>
      </c>
      <c r="AK319" s="15">
        <f>MAX(0,AJ318*(1-INDEX($B$11:$B$63,25))*(1-E318))</f>
        <v/>
      </c>
      <c r="AL319" s="15">
        <f>MAX(0,AK318*(1-INDEX($B$11:$B$63,26))*(1-E318))</f>
        <v/>
      </c>
      <c r="AM319" s="15">
        <f>MAX(0,AL318*(1-INDEX($B$11:$B$63,27))*(1-E318))</f>
        <v/>
      </c>
      <c r="AN319" s="15">
        <f>MAX(0,AM318*(1-INDEX($B$11:$B$63,28))*(1-E318))</f>
        <v/>
      </c>
      <c r="AO319" s="15">
        <f>MAX(0,AN318*(1-INDEX($B$11:$B$63,29))*(1-E318))</f>
        <v/>
      </c>
      <c r="AP319" s="15">
        <f>MAX(0,AO318*(1-INDEX($B$11:$B$63,30))*(1-E318))</f>
        <v/>
      </c>
      <c r="AQ319" s="15">
        <f>MAX(0,AP318*(1-INDEX($B$11:$B$63,31))*(1-E318))</f>
        <v/>
      </c>
      <c r="AR319" s="15">
        <f>MAX(0,AQ318*(1-INDEX($B$11:$B$63,32))*(1-E318))</f>
        <v/>
      </c>
      <c r="AS319" s="15">
        <f>MAX(0,AR318*(1-INDEX($B$11:$B$63,33))*(1-E318))</f>
        <v/>
      </c>
      <c r="AT319" s="15">
        <f>MAX(0,AS318*(1-INDEX($B$11:$B$63,34))*(1-E318))</f>
        <v/>
      </c>
      <c r="AU319" s="15">
        <f>MAX(0,AT318*(1-INDEX($B$11:$B$63,35))*(1-E318))</f>
        <v/>
      </c>
      <c r="AV319" s="15">
        <f>MAX(0,AU318*(1-INDEX($B$11:$B$63,36))*(1-E318))</f>
        <v/>
      </c>
      <c r="AW319" s="15">
        <f>MAX(0,AV318*(1-INDEX($B$11:$B$63,37))*(1-E318))</f>
        <v/>
      </c>
      <c r="AX319" s="15">
        <f>MAX(0,AW318*(1-INDEX($B$11:$B$63,38))*(1-E318))</f>
        <v/>
      </c>
      <c r="AY319" s="15">
        <f>MAX(0,AX318*(1-INDEX($B$11:$B$63,39))*(1-E318))</f>
        <v/>
      </c>
      <c r="AZ319" s="15">
        <f>MAX(0,AY318*(1-INDEX($B$11:$B$63,40))*(1-E318))</f>
        <v/>
      </c>
      <c r="BA319" s="15">
        <f>MAX(0,AZ318*(1-INDEX($B$11:$B$63,41))*(1-E318))</f>
        <v/>
      </c>
      <c r="BB319" s="15">
        <f>MAX(0,BA318*(1-INDEX($B$11:$B$63,42))*(1-E318))</f>
        <v/>
      </c>
      <c r="BC319" s="15">
        <f>MAX(0,BB318*(1-INDEX($B$11:$B$63,43))*(1-E318))</f>
        <v/>
      </c>
      <c r="BD319" s="15">
        <f>MAX(0,BC318*(1-INDEX($B$11:$B$63,44))*(1-E318))</f>
        <v/>
      </c>
      <c r="BE319" s="15">
        <f>MAX(0,BD318*(1-INDEX($B$11:$B$63,45))*(1-E318))</f>
        <v/>
      </c>
      <c r="BF319" s="15">
        <f>MAX(0,BE318*(1-INDEX($B$11:$B$63,46))*(1-E318))</f>
        <v/>
      </c>
      <c r="BG319" s="15">
        <f>MAX(0,BF318*(1-INDEX($B$11:$B$63,47))*(1-E318))</f>
        <v/>
      </c>
      <c r="BH319" s="15">
        <f>MAX(0,BG318*(1-INDEX($B$11:$B$63,48))*(1-E318))</f>
        <v/>
      </c>
      <c r="BI319" s="15">
        <f>MAX(0,BH318*(1-INDEX($B$11:$B$63,49))*(1-E318))</f>
        <v/>
      </c>
      <c r="BJ319" s="15">
        <f>MAX(0,BI318*(1-INDEX($B$11:$B$63,50))*(1-E318))</f>
        <v/>
      </c>
      <c r="BK319" s="15">
        <f>MAX(0,BJ318*(1-INDEX($B$11:$B$63,51))*(1-E318))</f>
        <v/>
      </c>
      <c r="BL319" s="15">
        <f>MAX(0,(BL318+BK318)*(1-INDEX($B$11:$B$63,53))*(1-E318))</f>
        <v/>
      </c>
    </row>
    <row r="320">
      <c r="A320" s="55" t="n">
        <v>254</v>
      </c>
      <c r="B320" s="15">
        <f>IF(A320&gt;Inputs!$C$62,"",SUM(M320:BK320))</f>
        <v/>
      </c>
      <c r="C320" s="15">
        <f>IF(A320&gt;Inputs!$C$62,"",INDEX(Trajectory!$C$23:$C$2000,A320))</f>
        <v/>
      </c>
      <c r="D320" s="15">
        <f>IF(A320&gt;Inputs!$C$62,"",SUM(L320:BK320))</f>
        <v/>
      </c>
      <c r="E320" s="12">
        <f>IF(A320&gt;Inputs!$C$62,"",INDEX(Trajectory!$AG$23:$AG$2000,A320))</f>
        <v/>
      </c>
      <c r="F320" s="12">
        <f>IF(D320=0,0,SUMPRODUCT(L320:BK320,$B$11:$B$63)/D320)</f>
        <v/>
      </c>
      <c r="G320" s="12">
        <f>IF(D320=0,0,MIN(0.95,1-(1-F320)*(1-E320)))</f>
        <v/>
      </c>
      <c r="H320" s="15">
        <f>IF(D320=0,0,D320*G320)</f>
        <v/>
      </c>
      <c r="I320" s="15">
        <f>IF(D320=0,0,D320-H320)</f>
        <v/>
      </c>
      <c r="L320" s="15">
        <f>C320</f>
        <v/>
      </c>
      <c r="M320" s="15">
        <f>MAX(0,L319*(1-INDEX($B$11:$B$63,1))*(1-E319))</f>
        <v/>
      </c>
      <c r="N320" s="15">
        <f>MAX(0,M319*(1-INDEX($B$11:$B$63,2))*(1-E319))</f>
        <v/>
      </c>
      <c r="O320" s="15">
        <f>MAX(0,N319*(1-INDEX($B$11:$B$63,3))*(1-E319))</f>
        <v/>
      </c>
      <c r="P320" s="15">
        <f>MAX(0,O319*(1-INDEX($B$11:$B$63,4))*(1-E319))</f>
        <v/>
      </c>
      <c r="Q320" s="15">
        <f>MAX(0,P319*(1-INDEX($B$11:$B$63,5))*(1-E319))</f>
        <v/>
      </c>
      <c r="R320" s="15">
        <f>MAX(0,Q319*(1-INDEX($B$11:$B$63,6))*(1-E319))</f>
        <v/>
      </c>
      <c r="S320" s="15">
        <f>MAX(0,R319*(1-INDEX($B$11:$B$63,7))*(1-E319))</f>
        <v/>
      </c>
      <c r="T320" s="15">
        <f>MAX(0,S319*(1-INDEX($B$11:$B$63,8))*(1-E319))</f>
        <v/>
      </c>
      <c r="U320" s="15">
        <f>MAX(0,T319*(1-INDEX($B$11:$B$63,9))*(1-E319))</f>
        <v/>
      </c>
      <c r="V320" s="15">
        <f>MAX(0,U319*(1-INDEX($B$11:$B$63,10))*(1-E319))</f>
        <v/>
      </c>
      <c r="W320" s="15">
        <f>MAX(0,V319*(1-INDEX($B$11:$B$63,11))*(1-E319))</f>
        <v/>
      </c>
      <c r="X320" s="15">
        <f>MAX(0,W319*(1-INDEX($B$11:$B$63,12))*(1-E319))</f>
        <v/>
      </c>
      <c r="Y320" s="15">
        <f>MAX(0,X319*(1-INDEX($B$11:$B$63,13))*(1-E319))</f>
        <v/>
      </c>
      <c r="Z320" s="15">
        <f>MAX(0,Y319*(1-INDEX($B$11:$B$63,14))*(1-E319))</f>
        <v/>
      </c>
      <c r="AA320" s="15">
        <f>MAX(0,Z319*(1-INDEX($B$11:$B$63,15))*(1-E319))</f>
        <v/>
      </c>
      <c r="AB320" s="15">
        <f>MAX(0,AA319*(1-INDEX($B$11:$B$63,16))*(1-E319))</f>
        <v/>
      </c>
      <c r="AC320" s="15">
        <f>MAX(0,AB319*(1-INDEX($B$11:$B$63,17))*(1-E319))</f>
        <v/>
      </c>
      <c r="AD320" s="15">
        <f>MAX(0,AC319*(1-INDEX($B$11:$B$63,18))*(1-E319))</f>
        <v/>
      </c>
      <c r="AE320" s="15">
        <f>MAX(0,AD319*(1-INDEX($B$11:$B$63,19))*(1-E319))</f>
        <v/>
      </c>
      <c r="AF320" s="15">
        <f>MAX(0,AE319*(1-INDEX($B$11:$B$63,20))*(1-E319))</f>
        <v/>
      </c>
      <c r="AG320" s="15">
        <f>MAX(0,AF319*(1-INDEX($B$11:$B$63,21))*(1-E319))</f>
        <v/>
      </c>
      <c r="AH320" s="15">
        <f>MAX(0,AG319*(1-INDEX($B$11:$B$63,22))*(1-E319))</f>
        <v/>
      </c>
      <c r="AI320" s="15">
        <f>MAX(0,AH319*(1-INDEX($B$11:$B$63,23))*(1-E319))</f>
        <v/>
      </c>
      <c r="AJ320" s="15">
        <f>MAX(0,AI319*(1-INDEX($B$11:$B$63,24))*(1-E319))</f>
        <v/>
      </c>
      <c r="AK320" s="15">
        <f>MAX(0,AJ319*(1-INDEX($B$11:$B$63,25))*(1-E319))</f>
        <v/>
      </c>
      <c r="AL320" s="15">
        <f>MAX(0,AK319*(1-INDEX($B$11:$B$63,26))*(1-E319))</f>
        <v/>
      </c>
      <c r="AM320" s="15">
        <f>MAX(0,AL319*(1-INDEX($B$11:$B$63,27))*(1-E319))</f>
        <v/>
      </c>
      <c r="AN320" s="15">
        <f>MAX(0,AM319*(1-INDEX($B$11:$B$63,28))*(1-E319))</f>
        <v/>
      </c>
      <c r="AO320" s="15">
        <f>MAX(0,AN319*(1-INDEX($B$11:$B$63,29))*(1-E319))</f>
        <v/>
      </c>
      <c r="AP320" s="15">
        <f>MAX(0,AO319*(1-INDEX($B$11:$B$63,30))*(1-E319))</f>
        <v/>
      </c>
      <c r="AQ320" s="15">
        <f>MAX(0,AP319*(1-INDEX($B$11:$B$63,31))*(1-E319))</f>
        <v/>
      </c>
      <c r="AR320" s="15">
        <f>MAX(0,AQ319*(1-INDEX($B$11:$B$63,32))*(1-E319))</f>
        <v/>
      </c>
      <c r="AS320" s="15">
        <f>MAX(0,AR319*(1-INDEX($B$11:$B$63,33))*(1-E319))</f>
        <v/>
      </c>
      <c r="AT320" s="15">
        <f>MAX(0,AS319*(1-INDEX($B$11:$B$63,34))*(1-E319))</f>
        <v/>
      </c>
      <c r="AU320" s="15">
        <f>MAX(0,AT319*(1-INDEX($B$11:$B$63,35))*(1-E319))</f>
        <v/>
      </c>
      <c r="AV320" s="15">
        <f>MAX(0,AU319*(1-INDEX($B$11:$B$63,36))*(1-E319))</f>
        <v/>
      </c>
      <c r="AW320" s="15">
        <f>MAX(0,AV319*(1-INDEX($B$11:$B$63,37))*(1-E319))</f>
        <v/>
      </c>
      <c r="AX320" s="15">
        <f>MAX(0,AW319*(1-INDEX($B$11:$B$63,38))*(1-E319))</f>
        <v/>
      </c>
      <c r="AY320" s="15">
        <f>MAX(0,AX319*(1-INDEX($B$11:$B$63,39))*(1-E319))</f>
        <v/>
      </c>
      <c r="AZ320" s="15">
        <f>MAX(0,AY319*(1-INDEX($B$11:$B$63,40))*(1-E319))</f>
        <v/>
      </c>
      <c r="BA320" s="15">
        <f>MAX(0,AZ319*(1-INDEX($B$11:$B$63,41))*(1-E319))</f>
        <v/>
      </c>
      <c r="BB320" s="15">
        <f>MAX(0,BA319*(1-INDEX($B$11:$B$63,42))*(1-E319))</f>
        <v/>
      </c>
      <c r="BC320" s="15">
        <f>MAX(0,BB319*(1-INDEX($B$11:$B$63,43))*(1-E319))</f>
        <v/>
      </c>
      <c r="BD320" s="15">
        <f>MAX(0,BC319*(1-INDEX($B$11:$B$63,44))*(1-E319))</f>
        <v/>
      </c>
      <c r="BE320" s="15">
        <f>MAX(0,BD319*(1-INDEX($B$11:$B$63,45))*(1-E319))</f>
        <v/>
      </c>
      <c r="BF320" s="15">
        <f>MAX(0,BE319*(1-INDEX($B$11:$B$63,46))*(1-E319))</f>
        <v/>
      </c>
      <c r="BG320" s="15">
        <f>MAX(0,BF319*(1-INDEX($B$11:$B$63,47))*(1-E319))</f>
        <v/>
      </c>
      <c r="BH320" s="15">
        <f>MAX(0,BG319*(1-INDEX($B$11:$B$63,48))*(1-E319))</f>
        <v/>
      </c>
      <c r="BI320" s="15">
        <f>MAX(0,BH319*(1-INDEX($B$11:$B$63,49))*(1-E319))</f>
        <v/>
      </c>
      <c r="BJ320" s="15">
        <f>MAX(0,BI319*(1-INDEX($B$11:$B$63,50))*(1-E319))</f>
        <v/>
      </c>
      <c r="BK320" s="15">
        <f>MAX(0,BJ319*(1-INDEX($B$11:$B$63,51))*(1-E319))</f>
        <v/>
      </c>
      <c r="BL320" s="15">
        <f>MAX(0,(BL319+BK319)*(1-INDEX($B$11:$B$63,53))*(1-E319))</f>
        <v/>
      </c>
    </row>
    <row r="321">
      <c r="A321" s="55" t="n">
        <v>255</v>
      </c>
      <c r="B321" s="15">
        <f>IF(A321&gt;Inputs!$C$62,"",SUM(M321:BK321))</f>
        <v/>
      </c>
      <c r="C321" s="15">
        <f>IF(A321&gt;Inputs!$C$62,"",INDEX(Trajectory!$C$23:$C$2000,A321))</f>
        <v/>
      </c>
      <c r="D321" s="15">
        <f>IF(A321&gt;Inputs!$C$62,"",SUM(L321:BK321))</f>
        <v/>
      </c>
      <c r="E321" s="12">
        <f>IF(A321&gt;Inputs!$C$62,"",INDEX(Trajectory!$AG$23:$AG$2000,A321))</f>
        <v/>
      </c>
      <c r="F321" s="12">
        <f>IF(D321=0,0,SUMPRODUCT(L321:BK321,$B$11:$B$63)/D321)</f>
        <v/>
      </c>
      <c r="G321" s="12">
        <f>IF(D321=0,0,MIN(0.95,1-(1-F321)*(1-E321)))</f>
        <v/>
      </c>
      <c r="H321" s="15">
        <f>IF(D321=0,0,D321*G321)</f>
        <v/>
      </c>
      <c r="I321" s="15">
        <f>IF(D321=0,0,D321-H321)</f>
        <v/>
      </c>
      <c r="L321" s="15">
        <f>C321</f>
        <v/>
      </c>
      <c r="M321" s="15">
        <f>MAX(0,L320*(1-INDEX($B$11:$B$63,1))*(1-E320))</f>
        <v/>
      </c>
      <c r="N321" s="15">
        <f>MAX(0,M320*(1-INDEX($B$11:$B$63,2))*(1-E320))</f>
        <v/>
      </c>
      <c r="O321" s="15">
        <f>MAX(0,N320*(1-INDEX($B$11:$B$63,3))*(1-E320))</f>
        <v/>
      </c>
      <c r="P321" s="15">
        <f>MAX(0,O320*(1-INDEX($B$11:$B$63,4))*(1-E320))</f>
        <v/>
      </c>
      <c r="Q321" s="15">
        <f>MAX(0,P320*(1-INDEX($B$11:$B$63,5))*(1-E320))</f>
        <v/>
      </c>
      <c r="R321" s="15">
        <f>MAX(0,Q320*(1-INDEX($B$11:$B$63,6))*(1-E320))</f>
        <v/>
      </c>
      <c r="S321" s="15">
        <f>MAX(0,R320*(1-INDEX($B$11:$B$63,7))*(1-E320))</f>
        <v/>
      </c>
      <c r="T321" s="15">
        <f>MAX(0,S320*(1-INDEX($B$11:$B$63,8))*(1-E320))</f>
        <v/>
      </c>
      <c r="U321" s="15">
        <f>MAX(0,T320*(1-INDEX($B$11:$B$63,9))*(1-E320))</f>
        <v/>
      </c>
      <c r="V321" s="15">
        <f>MAX(0,U320*(1-INDEX($B$11:$B$63,10))*(1-E320))</f>
        <v/>
      </c>
      <c r="W321" s="15">
        <f>MAX(0,V320*(1-INDEX($B$11:$B$63,11))*(1-E320))</f>
        <v/>
      </c>
      <c r="X321" s="15">
        <f>MAX(0,W320*(1-INDEX($B$11:$B$63,12))*(1-E320))</f>
        <v/>
      </c>
      <c r="Y321" s="15">
        <f>MAX(0,X320*(1-INDEX($B$11:$B$63,13))*(1-E320))</f>
        <v/>
      </c>
      <c r="Z321" s="15">
        <f>MAX(0,Y320*(1-INDEX($B$11:$B$63,14))*(1-E320))</f>
        <v/>
      </c>
      <c r="AA321" s="15">
        <f>MAX(0,Z320*(1-INDEX($B$11:$B$63,15))*(1-E320))</f>
        <v/>
      </c>
      <c r="AB321" s="15">
        <f>MAX(0,AA320*(1-INDEX($B$11:$B$63,16))*(1-E320))</f>
        <v/>
      </c>
      <c r="AC321" s="15">
        <f>MAX(0,AB320*(1-INDEX($B$11:$B$63,17))*(1-E320))</f>
        <v/>
      </c>
      <c r="AD321" s="15">
        <f>MAX(0,AC320*(1-INDEX($B$11:$B$63,18))*(1-E320))</f>
        <v/>
      </c>
      <c r="AE321" s="15">
        <f>MAX(0,AD320*(1-INDEX($B$11:$B$63,19))*(1-E320))</f>
        <v/>
      </c>
      <c r="AF321" s="15">
        <f>MAX(0,AE320*(1-INDEX($B$11:$B$63,20))*(1-E320))</f>
        <v/>
      </c>
      <c r="AG321" s="15">
        <f>MAX(0,AF320*(1-INDEX($B$11:$B$63,21))*(1-E320))</f>
        <v/>
      </c>
      <c r="AH321" s="15">
        <f>MAX(0,AG320*(1-INDEX($B$11:$B$63,22))*(1-E320))</f>
        <v/>
      </c>
      <c r="AI321" s="15">
        <f>MAX(0,AH320*(1-INDEX($B$11:$B$63,23))*(1-E320))</f>
        <v/>
      </c>
      <c r="AJ321" s="15">
        <f>MAX(0,AI320*(1-INDEX($B$11:$B$63,24))*(1-E320))</f>
        <v/>
      </c>
      <c r="AK321" s="15">
        <f>MAX(0,AJ320*(1-INDEX($B$11:$B$63,25))*(1-E320))</f>
        <v/>
      </c>
      <c r="AL321" s="15">
        <f>MAX(0,AK320*(1-INDEX($B$11:$B$63,26))*(1-E320))</f>
        <v/>
      </c>
      <c r="AM321" s="15">
        <f>MAX(0,AL320*(1-INDEX($B$11:$B$63,27))*(1-E320))</f>
        <v/>
      </c>
      <c r="AN321" s="15">
        <f>MAX(0,AM320*(1-INDEX($B$11:$B$63,28))*(1-E320))</f>
        <v/>
      </c>
      <c r="AO321" s="15">
        <f>MAX(0,AN320*(1-INDEX($B$11:$B$63,29))*(1-E320))</f>
        <v/>
      </c>
      <c r="AP321" s="15">
        <f>MAX(0,AO320*(1-INDEX($B$11:$B$63,30))*(1-E320))</f>
        <v/>
      </c>
      <c r="AQ321" s="15">
        <f>MAX(0,AP320*(1-INDEX($B$11:$B$63,31))*(1-E320))</f>
        <v/>
      </c>
      <c r="AR321" s="15">
        <f>MAX(0,AQ320*(1-INDEX($B$11:$B$63,32))*(1-E320))</f>
        <v/>
      </c>
      <c r="AS321" s="15">
        <f>MAX(0,AR320*(1-INDEX($B$11:$B$63,33))*(1-E320))</f>
        <v/>
      </c>
      <c r="AT321" s="15">
        <f>MAX(0,AS320*(1-INDEX($B$11:$B$63,34))*(1-E320))</f>
        <v/>
      </c>
      <c r="AU321" s="15">
        <f>MAX(0,AT320*(1-INDEX($B$11:$B$63,35))*(1-E320))</f>
        <v/>
      </c>
      <c r="AV321" s="15">
        <f>MAX(0,AU320*(1-INDEX($B$11:$B$63,36))*(1-E320))</f>
        <v/>
      </c>
      <c r="AW321" s="15">
        <f>MAX(0,AV320*(1-INDEX($B$11:$B$63,37))*(1-E320))</f>
        <v/>
      </c>
      <c r="AX321" s="15">
        <f>MAX(0,AW320*(1-INDEX($B$11:$B$63,38))*(1-E320))</f>
        <v/>
      </c>
      <c r="AY321" s="15">
        <f>MAX(0,AX320*(1-INDEX($B$11:$B$63,39))*(1-E320))</f>
        <v/>
      </c>
      <c r="AZ321" s="15">
        <f>MAX(0,AY320*(1-INDEX($B$11:$B$63,40))*(1-E320))</f>
        <v/>
      </c>
      <c r="BA321" s="15">
        <f>MAX(0,AZ320*(1-INDEX($B$11:$B$63,41))*(1-E320))</f>
        <v/>
      </c>
      <c r="BB321" s="15">
        <f>MAX(0,BA320*(1-INDEX($B$11:$B$63,42))*(1-E320))</f>
        <v/>
      </c>
      <c r="BC321" s="15">
        <f>MAX(0,BB320*(1-INDEX($B$11:$B$63,43))*(1-E320))</f>
        <v/>
      </c>
      <c r="BD321" s="15">
        <f>MAX(0,BC320*(1-INDEX($B$11:$B$63,44))*(1-E320))</f>
        <v/>
      </c>
      <c r="BE321" s="15">
        <f>MAX(0,BD320*(1-INDEX($B$11:$B$63,45))*(1-E320))</f>
        <v/>
      </c>
      <c r="BF321" s="15">
        <f>MAX(0,BE320*(1-INDEX($B$11:$B$63,46))*(1-E320))</f>
        <v/>
      </c>
      <c r="BG321" s="15">
        <f>MAX(0,BF320*(1-INDEX($B$11:$B$63,47))*(1-E320))</f>
        <v/>
      </c>
      <c r="BH321" s="15">
        <f>MAX(0,BG320*(1-INDEX($B$11:$B$63,48))*(1-E320))</f>
        <v/>
      </c>
      <c r="BI321" s="15">
        <f>MAX(0,BH320*(1-INDEX($B$11:$B$63,49))*(1-E320))</f>
        <v/>
      </c>
      <c r="BJ321" s="15">
        <f>MAX(0,BI320*(1-INDEX($B$11:$B$63,50))*(1-E320))</f>
        <v/>
      </c>
      <c r="BK321" s="15">
        <f>MAX(0,BJ320*(1-INDEX($B$11:$B$63,51))*(1-E320))</f>
        <v/>
      </c>
      <c r="BL321" s="15">
        <f>MAX(0,(BL320+BK320)*(1-INDEX($B$11:$B$63,53))*(1-E320))</f>
        <v/>
      </c>
    </row>
    <row r="322">
      <c r="A322" s="55" t="n">
        <v>256</v>
      </c>
      <c r="B322" s="15">
        <f>IF(A322&gt;Inputs!$C$62,"",SUM(M322:BK322))</f>
        <v/>
      </c>
      <c r="C322" s="15">
        <f>IF(A322&gt;Inputs!$C$62,"",INDEX(Trajectory!$C$23:$C$2000,A322))</f>
        <v/>
      </c>
      <c r="D322" s="15">
        <f>IF(A322&gt;Inputs!$C$62,"",SUM(L322:BK322))</f>
        <v/>
      </c>
      <c r="E322" s="12">
        <f>IF(A322&gt;Inputs!$C$62,"",INDEX(Trajectory!$AG$23:$AG$2000,A322))</f>
        <v/>
      </c>
      <c r="F322" s="12">
        <f>IF(D322=0,0,SUMPRODUCT(L322:BK322,$B$11:$B$63)/D322)</f>
        <v/>
      </c>
      <c r="G322" s="12">
        <f>IF(D322=0,0,MIN(0.95,1-(1-F322)*(1-E322)))</f>
        <v/>
      </c>
      <c r="H322" s="15">
        <f>IF(D322=0,0,D322*G322)</f>
        <v/>
      </c>
      <c r="I322" s="15">
        <f>IF(D322=0,0,D322-H322)</f>
        <v/>
      </c>
      <c r="L322" s="15">
        <f>C322</f>
        <v/>
      </c>
      <c r="M322" s="15">
        <f>MAX(0,L321*(1-INDEX($B$11:$B$63,1))*(1-E321))</f>
        <v/>
      </c>
      <c r="N322" s="15">
        <f>MAX(0,M321*(1-INDEX($B$11:$B$63,2))*(1-E321))</f>
        <v/>
      </c>
      <c r="O322" s="15">
        <f>MAX(0,N321*(1-INDEX($B$11:$B$63,3))*(1-E321))</f>
        <v/>
      </c>
      <c r="P322" s="15">
        <f>MAX(0,O321*(1-INDEX($B$11:$B$63,4))*(1-E321))</f>
        <v/>
      </c>
      <c r="Q322" s="15">
        <f>MAX(0,P321*(1-INDEX($B$11:$B$63,5))*(1-E321))</f>
        <v/>
      </c>
      <c r="R322" s="15">
        <f>MAX(0,Q321*(1-INDEX($B$11:$B$63,6))*(1-E321))</f>
        <v/>
      </c>
      <c r="S322" s="15">
        <f>MAX(0,R321*(1-INDEX($B$11:$B$63,7))*(1-E321))</f>
        <v/>
      </c>
      <c r="T322" s="15">
        <f>MAX(0,S321*(1-INDEX($B$11:$B$63,8))*(1-E321))</f>
        <v/>
      </c>
      <c r="U322" s="15">
        <f>MAX(0,T321*(1-INDEX($B$11:$B$63,9))*(1-E321))</f>
        <v/>
      </c>
      <c r="V322" s="15">
        <f>MAX(0,U321*(1-INDEX($B$11:$B$63,10))*(1-E321))</f>
        <v/>
      </c>
      <c r="W322" s="15">
        <f>MAX(0,V321*(1-INDEX($B$11:$B$63,11))*(1-E321))</f>
        <v/>
      </c>
      <c r="X322" s="15">
        <f>MAX(0,W321*(1-INDEX($B$11:$B$63,12))*(1-E321))</f>
        <v/>
      </c>
      <c r="Y322" s="15">
        <f>MAX(0,X321*(1-INDEX($B$11:$B$63,13))*(1-E321))</f>
        <v/>
      </c>
      <c r="Z322" s="15">
        <f>MAX(0,Y321*(1-INDEX($B$11:$B$63,14))*(1-E321))</f>
        <v/>
      </c>
      <c r="AA322" s="15">
        <f>MAX(0,Z321*(1-INDEX($B$11:$B$63,15))*(1-E321))</f>
        <v/>
      </c>
      <c r="AB322" s="15">
        <f>MAX(0,AA321*(1-INDEX($B$11:$B$63,16))*(1-E321))</f>
        <v/>
      </c>
      <c r="AC322" s="15">
        <f>MAX(0,AB321*(1-INDEX($B$11:$B$63,17))*(1-E321))</f>
        <v/>
      </c>
      <c r="AD322" s="15">
        <f>MAX(0,AC321*(1-INDEX($B$11:$B$63,18))*(1-E321))</f>
        <v/>
      </c>
      <c r="AE322" s="15">
        <f>MAX(0,AD321*(1-INDEX($B$11:$B$63,19))*(1-E321))</f>
        <v/>
      </c>
      <c r="AF322" s="15">
        <f>MAX(0,AE321*(1-INDEX($B$11:$B$63,20))*(1-E321))</f>
        <v/>
      </c>
      <c r="AG322" s="15">
        <f>MAX(0,AF321*(1-INDEX($B$11:$B$63,21))*(1-E321))</f>
        <v/>
      </c>
      <c r="AH322" s="15">
        <f>MAX(0,AG321*(1-INDEX($B$11:$B$63,22))*(1-E321))</f>
        <v/>
      </c>
      <c r="AI322" s="15">
        <f>MAX(0,AH321*(1-INDEX($B$11:$B$63,23))*(1-E321))</f>
        <v/>
      </c>
      <c r="AJ322" s="15">
        <f>MAX(0,AI321*(1-INDEX($B$11:$B$63,24))*(1-E321))</f>
        <v/>
      </c>
      <c r="AK322" s="15">
        <f>MAX(0,AJ321*(1-INDEX($B$11:$B$63,25))*(1-E321))</f>
        <v/>
      </c>
      <c r="AL322" s="15">
        <f>MAX(0,AK321*(1-INDEX($B$11:$B$63,26))*(1-E321))</f>
        <v/>
      </c>
      <c r="AM322" s="15">
        <f>MAX(0,AL321*(1-INDEX($B$11:$B$63,27))*(1-E321))</f>
        <v/>
      </c>
      <c r="AN322" s="15">
        <f>MAX(0,AM321*(1-INDEX($B$11:$B$63,28))*(1-E321))</f>
        <v/>
      </c>
      <c r="AO322" s="15">
        <f>MAX(0,AN321*(1-INDEX($B$11:$B$63,29))*(1-E321))</f>
        <v/>
      </c>
      <c r="AP322" s="15">
        <f>MAX(0,AO321*(1-INDEX($B$11:$B$63,30))*(1-E321))</f>
        <v/>
      </c>
      <c r="AQ322" s="15">
        <f>MAX(0,AP321*(1-INDEX($B$11:$B$63,31))*(1-E321))</f>
        <v/>
      </c>
      <c r="AR322" s="15">
        <f>MAX(0,AQ321*(1-INDEX($B$11:$B$63,32))*(1-E321))</f>
        <v/>
      </c>
      <c r="AS322" s="15">
        <f>MAX(0,AR321*(1-INDEX($B$11:$B$63,33))*(1-E321))</f>
        <v/>
      </c>
      <c r="AT322" s="15">
        <f>MAX(0,AS321*(1-INDEX($B$11:$B$63,34))*(1-E321))</f>
        <v/>
      </c>
      <c r="AU322" s="15">
        <f>MAX(0,AT321*(1-INDEX($B$11:$B$63,35))*(1-E321))</f>
        <v/>
      </c>
      <c r="AV322" s="15">
        <f>MAX(0,AU321*(1-INDEX($B$11:$B$63,36))*(1-E321))</f>
        <v/>
      </c>
      <c r="AW322" s="15">
        <f>MAX(0,AV321*(1-INDEX($B$11:$B$63,37))*(1-E321))</f>
        <v/>
      </c>
      <c r="AX322" s="15">
        <f>MAX(0,AW321*(1-INDEX($B$11:$B$63,38))*(1-E321))</f>
        <v/>
      </c>
      <c r="AY322" s="15">
        <f>MAX(0,AX321*(1-INDEX($B$11:$B$63,39))*(1-E321))</f>
        <v/>
      </c>
      <c r="AZ322" s="15">
        <f>MAX(0,AY321*(1-INDEX($B$11:$B$63,40))*(1-E321))</f>
        <v/>
      </c>
      <c r="BA322" s="15">
        <f>MAX(0,AZ321*(1-INDEX($B$11:$B$63,41))*(1-E321))</f>
        <v/>
      </c>
      <c r="BB322" s="15">
        <f>MAX(0,BA321*(1-INDEX($B$11:$B$63,42))*(1-E321))</f>
        <v/>
      </c>
      <c r="BC322" s="15">
        <f>MAX(0,BB321*(1-INDEX($B$11:$B$63,43))*(1-E321))</f>
        <v/>
      </c>
      <c r="BD322" s="15">
        <f>MAX(0,BC321*(1-INDEX($B$11:$B$63,44))*(1-E321))</f>
        <v/>
      </c>
      <c r="BE322" s="15">
        <f>MAX(0,BD321*(1-INDEX($B$11:$B$63,45))*(1-E321))</f>
        <v/>
      </c>
      <c r="BF322" s="15">
        <f>MAX(0,BE321*(1-INDEX($B$11:$B$63,46))*(1-E321))</f>
        <v/>
      </c>
      <c r="BG322" s="15">
        <f>MAX(0,BF321*(1-INDEX($B$11:$B$63,47))*(1-E321))</f>
        <v/>
      </c>
      <c r="BH322" s="15">
        <f>MAX(0,BG321*(1-INDEX($B$11:$B$63,48))*(1-E321))</f>
        <v/>
      </c>
      <c r="BI322" s="15">
        <f>MAX(0,BH321*(1-INDEX($B$11:$B$63,49))*(1-E321))</f>
        <v/>
      </c>
      <c r="BJ322" s="15">
        <f>MAX(0,BI321*(1-INDEX($B$11:$B$63,50))*(1-E321))</f>
        <v/>
      </c>
      <c r="BK322" s="15">
        <f>MAX(0,BJ321*(1-INDEX($B$11:$B$63,51))*(1-E321))</f>
        <v/>
      </c>
      <c r="BL322" s="15">
        <f>MAX(0,(BL321+BK321)*(1-INDEX($B$11:$B$63,53))*(1-E321))</f>
        <v/>
      </c>
    </row>
    <row r="323">
      <c r="A323" s="55" t="n">
        <v>257</v>
      </c>
      <c r="B323" s="15">
        <f>IF(A323&gt;Inputs!$C$62,"",SUM(M323:BK323))</f>
        <v/>
      </c>
      <c r="C323" s="15">
        <f>IF(A323&gt;Inputs!$C$62,"",INDEX(Trajectory!$C$23:$C$2000,A323))</f>
        <v/>
      </c>
      <c r="D323" s="15">
        <f>IF(A323&gt;Inputs!$C$62,"",SUM(L323:BK323))</f>
        <v/>
      </c>
      <c r="E323" s="12">
        <f>IF(A323&gt;Inputs!$C$62,"",INDEX(Trajectory!$AG$23:$AG$2000,A323))</f>
        <v/>
      </c>
      <c r="F323" s="12">
        <f>IF(D323=0,0,SUMPRODUCT(L323:BK323,$B$11:$B$63)/D323)</f>
        <v/>
      </c>
      <c r="G323" s="12">
        <f>IF(D323=0,0,MIN(0.95,1-(1-F323)*(1-E323)))</f>
        <v/>
      </c>
      <c r="H323" s="15">
        <f>IF(D323=0,0,D323*G323)</f>
        <v/>
      </c>
      <c r="I323" s="15">
        <f>IF(D323=0,0,D323-H323)</f>
        <v/>
      </c>
      <c r="L323" s="15">
        <f>C323</f>
        <v/>
      </c>
      <c r="M323" s="15">
        <f>MAX(0,L322*(1-INDEX($B$11:$B$63,1))*(1-E322))</f>
        <v/>
      </c>
      <c r="N323" s="15">
        <f>MAX(0,M322*(1-INDEX($B$11:$B$63,2))*(1-E322))</f>
        <v/>
      </c>
      <c r="O323" s="15">
        <f>MAX(0,N322*(1-INDEX($B$11:$B$63,3))*(1-E322))</f>
        <v/>
      </c>
      <c r="P323" s="15">
        <f>MAX(0,O322*(1-INDEX($B$11:$B$63,4))*(1-E322))</f>
        <v/>
      </c>
      <c r="Q323" s="15">
        <f>MAX(0,P322*(1-INDEX($B$11:$B$63,5))*(1-E322))</f>
        <v/>
      </c>
      <c r="R323" s="15">
        <f>MAX(0,Q322*(1-INDEX($B$11:$B$63,6))*(1-E322))</f>
        <v/>
      </c>
      <c r="S323" s="15">
        <f>MAX(0,R322*(1-INDEX($B$11:$B$63,7))*(1-E322))</f>
        <v/>
      </c>
      <c r="T323" s="15">
        <f>MAX(0,S322*(1-INDEX($B$11:$B$63,8))*(1-E322))</f>
        <v/>
      </c>
      <c r="U323" s="15">
        <f>MAX(0,T322*(1-INDEX($B$11:$B$63,9))*(1-E322))</f>
        <v/>
      </c>
      <c r="V323" s="15">
        <f>MAX(0,U322*(1-INDEX($B$11:$B$63,10))*(1-E322))</f>
        <v/>
      </c>
      <c r="W323" s="15">
        <f>MAX(0,V322*(1-INDEX($B$11:$B$63,11))*(1-E322))</f>
        <v/>
      </c>
      <c r="X323" s="15">
        <f>MAX(0,W322*(1-INDEX($B$11:$B$63,12))*(1-E322))</f>
        <v/>
      </c>
      <c r="Y323" s="15">
        <f>MAX(0,X322*(1-INDEX($B$11:$B$63,13))*(1-E322))</f>
        <v/>
      </c>
      <c r="Z323" s="15">
        <f>MAX(0,Y322*(1-INDEX($B$11:$B$63,14))*(1-E322))</f>
        <v/>
      </c>
      <c r="AA323" s="15">
        <f>MAX(0,Z322*(1-INDEX($B$11:$B$63,15))*(1-E322))</f>
        <v/>
      </c>
      <c r="AB323" s="15">
        <f>MAX(0,AA322*(1-INDEX($B$11:$B$63,16))*(1-E322))</f>
        <v/>
      </c>
      <c r="AC323" s="15">
        <f>MAX(0,AB322*(1-INDEX($B$11:$B$63,17))*(1-E322))</f>
        <v/>
      </c>
      <c r="AD323" s="15">
        <f>MAX(0,AC322*(1-INDEX($B$11:$B$63,18))*(1-E322))</f>
        <v/>
      </c>
      <c r="AE323" s="15">
        <f>MAX(0,AD322*(1-INDEX($B$11:$B$63,19))*(1-E322))</f>
        <v/>
      </c>
      <c r="AF323" s="15">
        <f>MAX(0,AE322*(1-INDEX($B$11:$B$63,20))*(1-E322))</f>
        <v/>
      </c>
      <c r="AG323" s="15">
        <f>MAX(0,AF322*(1-INDEX($B$11:$B$63,21))*(1-E322))</f>
        <v/>
      </c>
      <c r="AH323" s="15">
        <f>MAX(0,AG322*(1-INDEX($B$11:$B$63,22))*(1-E322))</f>
        <v/>
      </c>
      <c r="AI323" s="15">
        <f>MAX(0,AH322*(1-INDEX($B$11:$B$63,23))*(1-E322))</f>
        <v/>
      </c>
      <c r="AJ323" s="15">
        <f>MAX(0,AI322*(1-INDEX($B$11:$B$63,24))*(1-E322))</f>
        <v/>
      </c>
      <c r="AK323" s="15">
        <f>MAX(0,AJ322*(1-INDEX($B$11:$B$63,25))*(1-E322))</f>
        <v/>
      </c>
      <c r="AL323" s="15">
        <f>MAX(0,AK322*(1-INDEX($B$11:$B$63,26))*(1-E322))</f>
        <v/>
      </c>
      <c r="AM323" s="15">
        <f>MAX(0,AL322*(1-INDEX($B$11:$B$63,27))*(1-E322))</f>
        <v/>
      </c>
      <c r="AN323" s="15">
        <f>MAX(0,AM322*(1-INDEX($B$11:$B$63,28))*(1-E322))</f>
        <v/>
      </c>
      <c r="AO323" s="15">
        <f>MAX(0,AN322*(1-INDEX($B$11:$B$63,29))*(1-E322))</f>
        <v/>
      </c>
      <c r="AP323" s="15">
        <f>MAX(0,AO322*(1-INDEX($B$11:$B$63,30))*(1-E322))</f>
        <v/>
      </c>
      <c r="AQ323" s="15">
        <f>MAX(0,AP322*(1-INDEX($B$11:$B$63,31))*(1-E322))</f>
        <v/>
      </c>
      <c r="AR323" s="15">
        <f>MAX(0,AQ322*(1-INDEX($B$11:$B$63,32))*(1-E322))</f>
        <v/>
      </c>
      <c r="AS323" s="15">
        <f>MAX(0,AR322*(1-INDEX($B$11:$B$63,33))*(1-E322))</f>
        <v/>
      </c>
      <c r="AT323" s="15">
        <f>MAX(0,AS322*(1-INDEX($B$11:$B$63,34))*(1-E322))</f>
        <v/>
      </c>
      <c r="AU323" s="15">
        <f>MAX(0,AT322*(1-INDEX($B$11:$B$63,35))*(1-E322))</f>
        <v/>
      </c>
      <c r="AV323" s="15">
        <f>MAX(0,AU322*(1-INDEX($B$11:$B$63,36))*(1-E322))</f>
        <v/>
      </c>
      <c r="AW323" s="15">
        <f>MAX(0,AV322*(1-INDEX($B$11:$B$63,37))*(1-E322))</f>
        <v/>
      </c>
      <c r="AX323" s="15">
        <f>MAX(0,AW322*(1-INDEX($B$11:$B$63,38))*(1-E322))</f>
        <v/>
      </c>
      <c r="AY323" s="15">
        <f>MAX(0,AX322*(1-INDEX($B$11:$B$63,39))*(1-E322))</f>
        <v/>
      </c>
      <c r="AZ323" s="15">
        <f>MAX(0,AY322*(1-INDEX($B$11:$B$63,40))*(1-E322))</f>
        <v/>
      </c>
      <c r="BA323" s="15">
        <f>MAX(0,AZ322*(1-INDEX($B$11:$B$63,41))*(1-E322))</f>
        <v/>
      </c>
      <c r="BB323" s="15">
        <f>MAX(0,BA322*(1-INDEX($B$11:$B$63,42))*(1-E322))</f>
        <v/>
      </c>
      <c r="BC323" s="15">
        <f>MAX(0,BB322*(1-INDEX($B$11:$B$63,43))*(1-E322))</f>
        <v/>
      </c>
      <c r="BD323" s="15">
        <f>MAX(0,BC322*(1-INDEX($B$11:$B$63,44))*(1-E322))</f>
        <v/>
      </c>
      <c r="BE323" s="15">
        <f>MAX(0,BD322*(1-INDEX($B$11:$B$63,45))*(1-E322))</f>
        <v/>
      </c>
      <c r="BF323" s="15">
        <f>MAX(0,BE322*(1-INDEX($B$11:$B$63,46))*(1-E322))</f>
        <v/>
      </c>
      <c r="BG323" s="15">
        <f>MAX(0,BF322*(1-INDEX($B$11:$B$63,47))*(1-E322))</f>
        <v/>
      </c>
      <c r="BH323" s="15">
        <f>MAX(0,BG322*(1-INDEX($B$11:$B$63,48))*(1-E322))</f>
        <v/>
      </c>
      <c r="BI323" s="15">
        <f>MAX(0,BH322*(1-INDEX($B$11:$B$63,49))*(1-E322))</f>
        <v/>
      </c>
      <c r="BJ323" s="15">
        <f>MAX(0,BI322*(1-INDEX($B$11:$B$63,50))*(1-E322))</f>
        <v/>
      </c>
      <c r="BK323" s="15">
        <f>MAX(0,BJ322*(1-INDEX($B$11:$B$63,51))*(1-E322))</f>
        <v/>
      </c>
      <c r="BL323" s="15">
        <f>MAX(0,(BL322+BK322)*(1-INDEX($B$11:$B$63,53))*(1-E322))</f>
        <v/>
      </c>
    </row>
    <row r="324">
      <c r="A324" s="55" t="n">
        <v>258</v>
      </c>
      <c r="B324" s="15">
        <f>IF(A324&gt;Inputs!$C$62,"",SUM(M324:BK324))</f>
        <v/>
      </c>
      <c r="C324" s="15">
        <f>IF(A324&gt;Inputs!$C$62,"",INDEX(Trajectory!$C$23:$C$2000,A324))</f>
        <v/>
      </c>
      <c r="D324" s="15">
        <f>IF(A324&gt;Inputs!$C$62,"",SUM(L324:BK324))</f>
        <v/>
      </c>
      <c r="E324" s="12">
        <f>IF(A324&gt;Inputs!$C$62,"",INDEX(Trajectory!$AG$23:$AG$2000,A324))</f>
        <v/>
      </c>
      <c r="F324" s="12">
        <f>IF(D324=0,0,SUMPRODUCT(L324:BK324,$B$11:$B$63)/D324)</f>
        <v/>
      </c>
      <c r="G324" s="12">
        <f>IF(D324=0,0,MIN(0.95,1-(1-F324)*(1-E324)))</f>
        <v/>
      </c>
      <c r="H324" s="15">
        <f>IF(D324=0,0,D324*G324)</f>
        <v/>
      </c>
      <c r="I324" s="15">
        <f>IF(D324=0,0,D324-H324)</f>
        <v/>
      </c>
      <c r="L324" s="15">
        <f>C324</f>
        <v/>
      </c>
      <c r="M324" s="15">
        <f>MAX(0,L323*(1-INDEX($B$11:$B$63,1))*(1-E323))</f>
        <v/>
      </c>
      <c r="N324" s="15">
        <f>MAX(0,M323*(1-INDEX($B$11:$B$63,2))*(1-E323))</f>
        <v/>
      </c>
      <c r="O324" s="15">
        <f>MAX(0,N323*(1-INDEX($B$11:$B$63,3))*(1-E323))</f>
        <v/>
      </c>
      <c r="P324" s="15">
        <f>MAX(0,O323*(1-INDEX($B$11:$B$63,4))*(1-E323))</f>
        <v/>
      </c>
      <c r="Q324" s="15">
        <f>MAX(0,P323*(1-INDEX($B$11:$B$63,5))*(1-E323))</f>
        <v/>
      </c>
      <c r="R324" s="15">
        <f>MAX(0,Q323*(1-INDEX($B$11:$B$63,6))*(1-E323))</f>
        <v/>
      </c>
      <c r="S324" s="15">
        <f>MAX(0,R323*(1-INDEX($B$11:$B$63,7))*(1-E323))</f>
        <v/>
      </c>
      <c r="T324" s="15">
        <f>MAX(0,S323*(1-INDEX($B$11:$B$63,8))*(1-E323))</f>
        <v/>
      </c>
      <c r="U324" s="15">
        <f>MAX(0,T323*(1-INDEX($B$11:$B$63,9))*(1-E323))</f>
        <v/>
      </c>
      <c r="V324" s="15">
        <f>MAX(0,U323*(1-INDEX($B$11:$B$63,10))*(1-E323))</f>
        <v/>
      </c>
      <c r="W324" s="15">
        <f>MAX(0,V323*(1-INDEX($B$11:$B$63,11))*(1-E323))</f>
        <v/>
      </c>
      <c r="X324" s="15">
        <f>MAX(0,W323*(1-INDEX($B$11:$B$63,12))*(1-E323))</f>
        <v/>
      </c>
      <c r="Y324" s="15">
        <f>MAX(0,X323*(1-INDEX($B$11:$B$63,13))*(1-E323))</f>
        <v/>
      </c>
      <c r="Z324" s="15">
        <f>MAX(0,Y323*(1-INDEX($B$11:$B$63,14))*(1-E323))</f>
        <v/>
      </c>
      <c r="AA324" s="15">
        <f>MAX(0,Z323*(1-INDEX($B$11:$B$63,15))*(1-E323))</f>
        <v/>
      </c>
      <c r="AB324" s="15">
        <f>MAX(0,AA323*(1-INDEX($B$11:$B$63,16))*(1-E323))</f>
        <v/>
      </c>
      <c r="AC324" s="15">
        <f>MAX(0,AB323*(1-INDEX($B$11:$B$63,17))*(1-E323))</f>
        <v/>
      </c>
      <c r="AD324" s="15">
        <f>MAX(0,AC323*(1-INDEX($B$11:$B$63,18))*(1-E323))</f>
        <v/>
      </c>
      <c r="AE324" s="15">
        <f>MAX(0,AD323*(1-INDEX($B$11:$B$63,19))*(1-E323))</f>
        <v/>
      </c>
      <c r="AF324" s="15">
        <f>MAX(0,AE323*(1-INDEX($B$11:$B$63,20))*(1-E323))</f>
        <v/>
      </c>
      <c r="AG324" s="15">
        <f>MAX(0,AF323*(1-INDEX($B$11:$B$63,21))*(1-E323))</f>
        <v/>
      </c>
      <c r="AH324" s="15">
        <f>MAX(0,AG323*(1-INDEX($B$11:$B$63,22))*(1-E323))</f>
        <v/>
      </c>
      <c r="AI324" s="15">
        <f>MAX(0,AH323*(1-INDEX($B$11:$B$63,23))*(1-E323))</f>
        <v/>
      </c>
      <c r="AJ324" s="15">
        <f>MAX(0,AI323*(1-INDEX($B$11:$B$63,24))*(1-E323))</f>
        <v/>
      </c>
      <c r="AK324" s="15">
        <f>MAX(0,AJ323*(1-INDEX($B$11:$B$63,25))*(1-E323))</f>
        <v/>
      </c>
      <c r="AL324" s="15">
        <f>MAX(0,AK323*(1-INDEX($B$11:$B$63,26))*(1-E323))</f>
        <v/>
      </c>
      <c r="AM324" s="15">
        <f>MAX(0,AL323*(1-INDEX($B$11:$B$63,27))*(1-E323))</f>
        <v/>
      </c>
      <c r="AN324" s="15">
        <f>MAX(0,AM323*(1-INDEX($B$11:$B$63,28))*(1-E323))</f>
        <v/>
      </c>
      <c r="AO324" s="15">
        <f>MAX(0,AN323*(1-INDEX($B$11:$B$63,29))*(1-E323))</f>
        <v/>
      </c>
      <c r="AP324" s="15">
        <f>MAX(0,AO323*(1-INDEX($B$11:$B$63,30))*(1-E323))</f>
        <v/>
      </c>
      <c r="AQ324" s="15">
        <f>MAX(0,AP323*(1-INDEX($B$11:$B$63,31))*(1-E323))</f>
        <v/>
      </c>
      <c r="AR324" s="15">
        <f>MAX(0,AQ323*(1-INDEX($B$11:$B$63,32))*(1-E323))</f>
        <v/>
      </c>
      <c r="AS324" s="15">
        <f>MAX(0,AR323*(1-INDEX($B$11:$B$63,33))*(1-E323))</f>
        <v/>
      </c>
      <c r="AT324" s="15">
        <f>MAX(0,AS323*(1-INDEX($B$11:$B$63,34))*(1-E323))</f>
        <v/>
      </c>
      <c r="AU324" s="15">
        <f>MAX(0,AT323*(1-INDEX($B$11:$B$63,35))*(1-E323))</f>
        <v/>
      </c>
      <c r="AV324" s="15">
        <f>MAX(0,AU323*(1-INDEX($B$11:$B$63,36))*(1-E323))</f>
        <v/>
      </c>
      <c r="AW324" s="15">
        <f>MAX(0,AV323*(1-INDEX($B$11:$B$63,37))*(1-E323))</f>
        <v/>
      </c>
      <c r="AX324" s="15">
        <f>MAX(0,AW323*(1-INDEX($B$11:$B$63,38))*(1-E323))</f>
        <v/>
      </c>
      <c r="AY324" s="15">
        <f>MAX(0,AX323*(1-INDEX($B$11:$B$63,39))*(1-E323))</f>
        <v/>
      </c>
      <c r="AZ324" s="15">
        <f>MAX(0,AY323*(1-INDEX($B$11:$B$63,40))*(1-E323))</f>
        <v/>
      </c>
      <c r="BA324" s="15">
        <f>MAX(0,AZ323*(1-INDEX($B$11:$B$63,41))*(1-E323))</f>
        <v/>
      </c>
      <c r="BB324" s="15">
        <f>MAX(0,BA323*(1-INDEX($B$11:$B$63,42))*(1-E323))</f>
        <v/>
      </c>
      <c r="BC324" s="15">
        <f>MAX(0,BB323*(1-INDEX($B$11:$B$63,43))*(1-E323))</f>
        <v/>
      </c>
      <c r="BD324" s="15">
        <f>MAX(0,BC323*(1-INDEX($B$11:$B$63,44))*(1-E323))</f>
        <v/>
      </c>
      <c r="BE324" s="15">
        <f>MAX(0,BD323*(1-INDEX($B$11:$B$63,45))*(1-E323))</f>
        <v/>
      </c>
      <c r="BF324" s="15">
        <f>MAX(0,BE323*(1-INDEX($B$11:$B$63,46))*(1-E323))</f>
        <v/>
      </c>
      <c r="BG324" s="15">
        <f>MAX(0,BF323*(1-INDEX($B$11:$B$63,47))*(1-E323))</f>
        <v/>
      </c>
      <c r="BH324" s="15">
        <f>MAX(0,BG323*(1-INDEX($B$11:$B$63,48))*(1-E323))</f>
        <v/>
      </c>
      <c r="BI324" s="15">
        <f>MAX(0,BH323*(1-INDEX($B$11:$B$63,49))*(1-E323))</f>
        <v/>
      </c>
      <c r="BJ324" s="15">
        <f>MAX(0,BI323*(1-INDEX($B$11:$B$63,50))*(1-E323))</f>
        <v/>
      </c>
      <c r="BK324" s="15">
        <f>MAX(0,BJ323*(1-INDEX($B$11:$B$63,51))*(1-E323))</f>
        <v/>
      </c>
      <c r="BL324" s="15">
        <f>MAX(0,(BL323+BK323)*(1-INDEX($B$11:$B$63,53))*(1-E323))</f>
        <v/>
      </c>
    </row>
    <row r="325">
      <c r="A325" s="55" t="n">
        <v>259</v>
      </c>
      <c r="B325" s="15">
        <f>IF(A325&gt;Inputs!$C$62,"",SUM(M325:BK325))</f>
        <v/>
      </c>
      <c r="C325" s="15">
        <f>IF(A325&gt;Inputs!$C$62,"",INDEX(Trajectory!$C$23:$C$2000,A325))</f>
        <v/>
      </c>
      <c r="D325" s="15">
        <f>IF(A325&gt;Inputs!$C$62,"",SUM(L325:BK325))</f>
        <v/>
      </c>
      <c r="E325" s="12">
        <f>IF(A325&gt;Inputs!$C$62,"",INDEX(Trajectory!$AG$23:$AG$2000,A325))</f>
        <v/>
      </c>
      <c r="F325" s="12">
        <f>IF(D325=0,0,SUMPRODUCT(L325:BK325,$B$11:$B$63)/D325)</f>
        <v/>
      </c>
      <c r="G325" s="12">
        <f>IF(D325=0,0,MIN(0.95,1-(1-F325)*(1-E325)))</f>
        <v/>
      </c>
      <c r="H325" s="15">
        <f>IF(D325=0,0,D325*G325)</f>
        <v/>
      </c>
      <c r="I325" s="15">
        <f>IF(D325=0,0,D325-H325)</f>
        <v/>
      </c>
      <c r="L325" s="15">
        <f>C325</f>
        <v/>
      </c>
      <c r="M325" s="15">
        <f>MAX(0,L324*(1-INDEX($B$11:$B$63,1))*(1-E324))</f>
        <v/>
      </c>
      <c r="N325" s="15">
        <f>MAX(0,M324*(1-INDEX($B$11:$B$63,2))*(1-E324))</f>
        <v/>
      </c>
      <c r="O325" s="15">
        <f>MAX(0,N324*(1-INDEX($B$11:$B$63,3))*(1-E324))</f>
        <v/>
      </c>
      <c r="P325" s="15">
        <f>MAX(0,O324*(1-INDEX($B$11:$B$63,4))*(1-E324))</f>
        <v/>
      </c>
      <c r="Q325" s="15">
        <f>MAX(0,P324*(1-INDEX($B$11:$B$63,5))*(1-E324))</f>
        <v/>
      </c>
      <c r="R325" s="15">
        <f>MAX(0,Q324*(1-INDEX($B$11:$B$63,6))*(1-E324))</f>
        <v/>
      </c>
      <c r="S325" s="15">
        <f>MAX(0,R324*(1-INDEX($B$11:$B$63,7))*(1-E324))</f>
        <v/>
      </c>
      <c r="T325" s="15">
        <f>MAX(0,S324*(1-INDEX($B$11:$B$63,8))*(1-E324))</f>
        <v/>
      </c>
      <c r="U325" s="15">
        <f>MAX(0,T324*(1-INDEX($B$11:$B$63,9))*(1-E324))</f>
        <v/>
      </c>
      <c r="V325" s="15">
        <f>MAX(0,U324*(1-INDEX($B$11:$B$63,10))*(1-E324))</f>
        <v/>
      </c>
      <c r="W325" s="15">
        <f>MAX(0,V324*(1-INDEX($B$11:$B$63,11))*(1-E324))</f>
        <v/>
      </c>
      <c r="X325" s="15">
        <f>MAX(0,W324*(1-INDEX($B$11:$B$63,12))*(1-E324))</f>
        <v/>
      </c>
      <c r="Y325" s="15">
        <f>MAX(0,X324*(1-INDEX($B$11:$B$63,13))*(1-E324))</f>
        <v/>
      </c>
      <c r="Z325" s="15">
        <f>MAX(0,Y324*(1-INDEX($B$11:$B$63,14))*(1-E324))</f>
        <v/>
      </c>
      <c r="AA325" s="15">
        <f>MAX(0,Z324*(1-INDEX($B$11:$B$63,15))*(1-E324))</f>
        <v/>
      </c>
      <c r="AB325" s="15">
        <f>MAX(0,AA324*(1-INDEX($B$11:$B$63,16))*(1-E324))</f>
        <v/>
      </c>
      <c r="AC325" s="15">
        <f>MAX(0,AB324*(1-INDEX($B$11:$B$63,17))*(1-E324))</f>
        <v/>
      </c>
      <c r="AD325" s="15">
        <f>MAX(0,AC324*(1-INDEX($B$11:$B$63,18))*(1-E324))</f>
        <v/>
      </c>
      <c r="AE325" s="15">
        <f>MAX(0,AD324*(1-INDEX($B$11:$B$63,19))*(1-E324))</f>
        <v/>
      </c>
      <c r="AF325" s="15">
        <f>MAX(0,AE324*(1-INDEX($B$11:$B$63,20))*(1-E324))</f>
        <v/>
      </c>
      <c r="AG325" s="15">
        <f>MAX(0,AF324*(1-INDEX($B$11:$B$63,21))*(1-E324))</f>
        <v/>
      </c>
      <c r="AH325" s="15">
        <f>MAX(0,AG324*(1-INDEX($B$11:$B$63,22))*(1-E324))</f>
        <v/>
      </c>
      <c r="AI325" s="15">
        <f>MAX(0,AH324*(1-INDEX($B$11:$B$63,23))*(1-E324))</f>
        <v/>
      </c>
      <c r="AJ325" s="15">
        <f>MAX(0,AI324*(1-INDEX($B$11:$B$63,24))*(1-E324))</f>
        <v/>
      </c>
      <c r="AK325" s="15">
        <f>MAX(0,AJ324*(1-INDEX($B$11:$B$63,25))*(1-E324))</f>
        <v/>
      </c>
      <c r="AL325" s="15">
        <f>MAX(0,AK324*(1-INDEX($B$11:$B$63,26))*(1-E324))</f>
        <v/>
      </c>
      <c r="AM325" s="15">
        <f>MAX(0,AL324*(1-INDEX($B$11:$B$63,27))*(1-E324))</f>
        <v/>
      </c>
      <c r="AN325" s="15">
        <f>MAX(0,AM324*(1-INDEX($B$11:$B$63,28))*(1-E324))</f>
        <v/>
      </c>
      <c r="AO325" s="15">
        <f>MAX(0,AN324*(1-INDEX($B$11:$B$63,29))*(1-E324))</f>
        <v/>
      </c>
      <c r="AP325" s="15">
        <f>MAX(0,AO324*(1-INDEX($B$11:$B$63,30))*(1-E324))</f>
        <v/>
      </c>
      <c r="AQ325" s="15">
        <f>MAX(0,AP324*(1-INDEX($B$11:$B$63,31))*(1-E324))</f>
        <v/>
      </c>
      <c r="AR325" s="15">
        <f>MAX(0,AQ324*(1-INDEX($B$11:$B$63,32))*(1-E324))</f>
        <v/>
      </c>
      <c r="AS325" s="15">
        <f>MAX(0,AR324*(1-INDEX($B$11:$B$63,33))*(1-E324))</f>
        <v/>
      </c>
      <c r="AT325" s="15">
        <f>MAX(0,AS324*(1-INDEX($B$11:$B$63,34))*(1-E324))</f>
        <v/>
      </c>
      <c r="AU325" s="15">
        <f>MAX(0,AT324*(1-INDEX($B$11:$B$63,35))*(1-E324))</f>
        <v/>
      </c>
      <c r="AV325" s="15">
        <f>MAX(0,AU324*(1-INDEX($B$11:$B$63,36))*(1-E324))</f>
        <v/>
      </c>
      <c r="AW325" s="15">
        <f>MAX(0,AV324*(1-INDEX($B$11:$B$63,37))*(1-E324))</f>
        <v/>
      </c>
      <c r="AX325" s="15">
        <f>MAX(0,AW324*(1-INDEX($B$11:$B$63,38))*(1-E324))</f>
        <v/>
      </c>
      <c r="AY325" s="15">
        <f>MAX(0,AX324*(1-INDEX($B$11:$B$63,39))*(1-E324))</f>
        <v/>
      </c>
      <c r="AZ325" s="15">
        <f>MAX(0,AY324*(1-INDEX($B$11:$B$63,40))*(1-E324))</f>
        <v/>
      </c>
      <c r="BA325" s="15">
        <f>MAX(0,AZ324*(1-INDEX($B$11:$B$63,41))*(1-E324))</f>
        <v/>
      </c>
      <c r="BB325" s="15">
        <f>MAX(0,BA324*(1-INDEX($B$11:$B$63,42))*(1-E324))</f>
        <v/>
      </c>
      <c r="BC325" s="15">
        <f>MAX(0,BB324*(1-INDEX($B$11:$B$63,43))*(1-E324))</f>
        <v/>
      </c>
      <c r="BD325" s="15">
        <f>MAX(0,BC324*(1-INDEX($B$11:$B$63,44))*(1-E324))</f>
        <v/>
      </c>
      <c r="BE325" s="15">
        <f>MAX(0,BD324*(1-INDEX($B$11:$B$63,45))*(1-E324))</f>
        <v/>
      </c>
      <c r="BF325" s="15">
        <f>MAX(0,BE324*(1-INDEX($B$11:$B$63,46))*(1-E324))</f>
        <v/>
      </c>
      <c r="BG325" s="15">
        <f>MAX(0,BF324*(1-INDEX($B$11:$B$63,47))*(1-E324))</f>
        <v/>
      </c>
      <c r="BH325" s="15">
        <f>MAX(0,BG324*(1-INDEX($B$11:$B$63,48))*(1-E324))</f>
        <v/>
      </c>
      <c r="BI325" s="15">
        <f>MAX(0,BH324*(1-INDEX($B$11:$B$63,49))*(1-E324))</f>
        <v/>
      </c>
      <c r="BJ325" s="15">
        <f>MAX(0,BI324*(1-INDEX($B$11:$B$63,50))*(1-E324))</f>
        <v/>
      </c>
      <c r="BK325" s="15">
        <f>MAX(0,BJ324*(1-INDEX($B$11:$B$63,51))*(1-E324))</f>
        <v/>
      </c>
      <c r="BL325" s="15">
        <f>MAX(0,(BL324+BK324)*(1-INDEX($B$11:$B$63,53))*(1-E324))</f>
        <v/>
      </c>
    </row>
    <row r="326">
      <c r="A326" s="55" t="n">
        <v>260</v>
      </c>
      <c r="B326" s="15">
        <f>IF(A326&gt;Inputs!$C$62,"",SUM(M326:BK326))</f>
        <v/>
      </c>
      <c r="C326" s="15">
        <f>IF(A326&gt;Inputs!$C$62,"",INDEX(Trajectory!$C$23:$C$2000,A326))</f>
        <v/>
      </c>
      <c r="D326" s="15">
        <f>IF(A326&gt;Inputs!$C$62,"",SUM(L326:BK326))</f>
        <v/>
      </c>
      <c r="E326" s="12">
        <f>IF(A326&gt;Inputs!$C$62,"",INDEX(Trajectory!$AG$23:$AG$2000,A326))</f>
        <v/>
      </c>
      <c r="F326" s="12">
        <f>IF(D326=0,0,SUMPRODUCT(L326:BK326,$B$11:$B$63)/D326)</f>
        <v/>
      </c>
      <c r="G326" s="12">
        <f>IF(D326=0,0,MIN(0.95,1-(1-F326)*(1-E326)))</f>
        <v/>
      </c>
      <c r="H326" s="15">
        <f>IF(D326=0,0,D326*G326)</f>
        <v/>
      </c>
      <c r="I326" s="15">
        <f>IF(D326=0,0,D326-H326)</f>
        <v/>
      </c>
      <c r="L326" s="15">
        <f>C326</f>
        <v/>
      </c>
      <c r="M326" s="15">
        <f>MAX(0,L325*(1-INDEX($B$11:$B$63,1))*(1-E325))</f>
        <v/>
      </c>
      <c r="N326" s="15">
        <f>MAX(0,M325*(1-INDEX($B$11:$B$63,2))*(1-E325))</f>
        <v/>
      </c>
      <c r="O326" s="15">
        <f>MAX(0,N325*(1-INDEX($B$11:$B$63,3))*(1-E325))</f>
        <v/>
      </c>
      <c r="P326" s="15">
        <f>MAX(0,O325*(1-INDEX($B$11:$B$63,4))*(1-E325))</f>
        <v/>
      </c>
      <c r="Q326" s="15">
        <f>MAX(0,P325*(1-INDEX($B$11:$B$63,5))*(1-E325))</f>
        <v/>
      </c>
      <c r="R326" s="15">
        <f>MAX(0,Q325*(1-INDEX($B$11:$B$63,6))*(1-E325))</f>
        <v/>
      </c>
      <c r="S326" s="15">
        <f>MAX(0,R325*(1-INDEX($B$11:$B$63,7))*(1-E325))</f>
        <v/>
      </c>
      <c r="T326" s="15">
        <f>MAX(0,S325*(1-INDEX($B$11:$B$63,8))*(1-E325))</f>
        <v/>
      </c>
      <c r="U326" s="15">
        <f>MAX(0,T325*(1-INDEX($B$11:$B$63,9))*(1-E325))</f>
        <v/>
      </c>
      <c r="V326" s="15">
        <f>MAX(0,U325*(1-INDEX($B$11:$B$63,10))*(1-E325))</f>
        <v/>
      </c>
      <c r="W326" s="15">
        <f>MAX(0,V325*(1-INDEX($B$11:$B$63,11))*(1-E325))</f>
        <v/>
      </c>
      <c r="X326" s="15">
        <f>MAX(0,W325*(1-INDEX($B$11:$B$63,12))*(1-E325))</f>
        <v/>
      </c>
      <c r="Y326" s="15">
        <f>MAX(0,X325*(1-INDEX($B$11:$B$63,13))*(1-E325))</f>
        <v/>
      </c>
      <c r="Z326" s="15">
        <f>MAX(0,Y325*(1-INDEX($B$11:$B$63,14))*(1-E325))</f>
        <v/>
      </c>
      <c r="AA326" s="15">
        <f>MAX(0,Z325*(1-INDEX($B$11:$B$63,15))*(1-E325))</f>
        <v/>
      </c>
      <c r="AB326" s="15">
        <f>MAX(0,AA325*(1-INDEX($B$11:$B$63,16))*(1-E325))</f>
        <v/>
      </c>
      <c r="AC326" s="15">
        <f>MAX(0,AB325*(1-INDEX($B$11:$B$63,17))*(1-E325))</f>
        <v/>
      </c>
      <c r="AD326" s="15">
        <f>MAX(0,AC325*(1-INDEX($B$11:$B$63,18))*(1-E325))</f>
        <v/>
      </c>
      <c r="AE326" s="15">
        <f>MAX(0,AD325*(1-INDEX($B$11:$B$63,19))*(1-E325))</f>
        <v/>
      </c>
      <c r="AF326" s="15">
        <f>MAX(0,AE325*(1-INDEX($B$11:$B$63,20))*(1-E325))</f>
        <v/>
      </c>
      <c r="AG326" s="15">
        <f>MAX(0,AF325*(1-INDEX($B$11:$B$63,21))*(1-E325))</f>
        <v/>
      </c>
      <c r="AH326" s="15">
        <f>MAX(0,AG325*(1-INDEX($B$11:$B$63,22))*(1-E325))</f>
        <v/>
      </c>
      <c r="AI326" s="15">
        <f>MAX(0,AH325*(1-INDEX($B$11:$B$63,23))*(1-E325))</f>
        <v/>
      </c>
      <c r="AJ326" s="15">
        <f>MAX(0,AI325*(1-INDEX($B$11:$B$63,24))*(1-E325))</f>
        <v/>
      </c>
      <c r="AK326" s="15">
        <f>MAX(0,AJ325*(1-INDEX($B$11:$B$63,25))*(1-E325))</f>
        <v/>
      </c>
      <c r="AL326" s="15">
        <f>MAX(0,AK325*(1-INDEX($B$11:$B$63,26))*(1-E325))</f>
        <v/>
      </c>
      <c r="AM326" s="15">
        <f>MAX(0,AL325*(1-INDEX($B$11:$B$63,27))*(1-E325))</f>
        <v/>
      </c>
      <c r="AN326" s="15">
        <f>MAX(0,AM325*(1-INDEX($B$11:$B$63,28))*(1-E325))</f>
        <v/>
      </c>
      <c r="AO326" s="15">
        <f>MAX(0,AN325*(1-INDEX($B$11:$B$63,29))*(1-E325))</f>
        <v/>
      </c>
      <c r="AP326" s="15">
        <f>MAX(0,AO325*(1-INDEX($B$11:$B$63,30))*(1-E325))</f>
        <v/>
      </c>
      <c r="AQ326" s="15">
        <f>MAX(0,AP325*(1-INDEX($B$11:$B$63,31))*(1-E325))</f>
        <v/>
      </c>
      <c r="AR326" s="15">
        <f>MAX(0,AQ325*(1-INDEX($B$11:$B$63,32))*(1-E325))</f>
        <v/>
      </c>
      <c r="AS326" s="15">
        <f>MAX(0,AR325*(1-INDEX($B$11:$B$63,33))*(1-E325))</f>
        <v/>
      </c>
      <c r="AT326" s="15">
        <f>MAX(0,AS325*(1-INDEX($B$11:$B$63,34))*(1-E325))</f>
        <v/>
      </c>
      <c r="AU326" s="15">
        <f>MAX(0,AT325*(1-INDEX($B$11:$B$63,35))*(1-E325))</f>
        <v/>
      </c>
      <c r="AV326" s="15">
        <f>MAX(0,AU325*(1-INDEX($B$11:$B$63,36))*(1-E325))</f>
        <v/>
      </c>
      <c r="AW326" s="15">
        <f>MAX(0,AV325*(1-INDEX($B$11:$B$63,37))*(1-E325))</f>
        <v/>
      </c>
      <c r="AX326" s="15">
        <f>MAX(0,AW325*(1-INDEX($B$11:$B$63,38))*(1-E325))</f>
        <v/>
      </c>
      <c r="AY326" s="15">
        <f>MAX(0,AX325*(1-INDEX($B$11:$B$63,39))*(1-E325))</f>
        <v/>
      </c>
      <c r="AZ326" s="15">
        <f>MAX(0,AY325*(1-INDEX($B$11:$B$63,40))*(1-E325))</f>
        <v/>
      </c>
      <c r="BA326" s="15">
        <f>MAX(0,AZ325*(1-INDEX($B$11:$B$63,41))*(1-E325))</f>
        <v/>
      </c>
      <c r="BB326" s="15">
        <f>MAX(0,BA325*(1-INDEX($B$11:$B$63,42))*(1-E325))</f>
        <v/>
      </c>
      <c r="BC326" s="15">
        <f>MAX(0,BB325*(1-INDEX($B$11:$B$63,43))*(1-E325))</f>
        <v/>
      </c>
      <c r="BD326" s="15">
        <f>MAX(0,BC325*(1-INDEX($B$11:$B$63,44))*(1-E325))</f>
        <v/>
      </c>
      <c r="BE326" s="15">
        <f>MAX(0,BD325*(1-INDEX($B$11:$B$63,45))*(1-E325))</f>
        <v/>
      </c>
      <c r="BF326" s="15">
        <f>MAX(0,BE325*(1-INDEX($B$11:$B$63,46))*(1-E325))</f>
        <v/>
      </c>
      <c r="BG326" s="15">
        <f>MAX(0,BF325*(1-INDEX($B$11:$B$63,47))*(1-E325))</f>
        <v/>
      </c>
      <c r="BH326" s="15">
        <f>MAX(0,BG325*(1-INDEX($B$11:$B$63,48))*(1-E325))</f>
        <v/>
      </c>
      <c r="BI326" s="15">
        <f>MAX(0,BH325*(1-INDEX($B$11:$B$63,49))*(1-E325))</f>
        <v/>
      </c>
      <c r="BJ326" s="15">
        <f>MAX(0,BI325*(1-INDEX($B$11:$B$63,50))*(1-E325))</f>
        <v/>
      </c>
      <c r="BK326" s="15">
        <f>MAX(0,BJ325*(1-INDEX($B$11:$B$63,51))*(1-E325))</f>
        <v/>
      </c>
      <c r="BL326" s="15">
        <f>MAX(0,(BL325+BK325)*(1-INDEX($B$11:$B$63,53))*(1-E325))</f>
        <v/>
      </c>
    </row>
  </sheetData>
  <mergeCells count="3">
    <mergeCell ref="A9:C9"/>
    <mergeCell ref="A1:J1"/>
    <mergeCell ref="A3:D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26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</cols>
  <sheetData>
    <row r="1">
      <c r="A1" s="3" t="inlineStr">
        <is>
          <t>Capacity Plan (site ramp efficiency and effective throughput)</t>
        </is>
      </c>
      <c r="B1" s="36" t="n"/>
      <c r="C1" s="36" t="n"/>
      <c r="D1" s="36" t="n"/>
      <c r="E1" s="36" t="n"/>
      <c r="F1" s="36" t="n"/>
      <c r="G1" s="36" t="n"/>
      <c r="H1" s="36" t="n"/>
      <c r="I1" s="36" t="n"/>
      <c r="J1" s="36" t="n"/>
      <c r="K1" s="37" t="n"/>
    </row>
    <row r="3">
      <c r="M3" s="3" t="inlineStr">
        <is>
          <t>Ramp curve (age weeks)</t>
        </is>
      </c>
      <c r="N3" s="37" t="n"/>
    </row>
    <row r="4">
      <c r="M4" s="7" t="inlineStr">
        <is>
          <t>Age_wk</t>
        </is>
      </c>
      <c r="N4" s="7" t="inlineStr">
        <is>
          <t>Eff</t>
        </is>
      </c>
    </row>
    <row r="5">
      <c r="M5" s="55" t="n">
        <v>1</v>
      </c>
      <c r="N5" s="12">
        <f>IF(M5&gt;Inputs!$C$93,1, Inputs!$C$94 + (1-Inputs!$C$94)*(M5-1)/MAX(1,Inputs!$C$93-1))</f>
        <v/>
      </c>
    </row>
    <row r="6">
      <c r="A6" s="7" t="inlineStr">
        <is>
          <t>Week</t>
        </is>
      </c>
      <c r="B6" s="7" t="inlineStr">
        <is>
          <t>Demand_Boxes</t>
        </is>
      </c>
      <c r="C6" s="7" t="inlineStr">
        <is>
          <t>Demand_Lagged</t>
        </is>
      </c>
      <c r="D6" s="7" t="inlineStr">
        <is>
          <t>Sites_Req</t>
        </is>
      </c>
      <c r="E6" s="7" t="inlineStr">
        <is>
          <t>Sites_Online</t>
        </is>
      </c>
      <c r="F6" s="7" t="inlineStr">
        <is>
          <t>Sites_Added</t>
        </is>
      </c>
      <c r="G6" s="7" t="inlineStr">
        <is>
          <t>Ramp_Eff_Avg</t>
        </is>
      </c>
      <c r="H6" s="7" t="inlineStr">
        <is>
          <t>Eff_Sites</t>
        </is>
      </c>
      <c r="I6" s="7" t="inlineStr">
        <is>
          <t>Capacity_Boxes</t>
        </is>
      </c>
      <c r="J6" s="7" t="inlineStr">
        <is>
          <t>VarCost_Mult</t>
        </is>
      </c>
      <c r="K6" s="7" t="inlineStr">
        <is>
          <t>Utilization</t>
        </is>
      </c>
      <c r="L6" s="7" t="inlineStr">
        <is>
          <t>Lag1</t>
        </is>
      </c>
      <c r="M6" s="7" t="inlineStr">
        <is>
          <t>Lag2</t>
        </is>
      </c>
      <c r="N6" s="7" t="inlineStr">
        <is>
          <t>Lag3</t>
        </is>
      </c>
      <c r="O6" s="7" t="inlineStr">
        <is>
          <t>Lag4</t>
        </is>
      </c>
      <c r="P6" s="7" t="inlineStr">
        <is>
          <t>Lag5</t>
        </is>
      </c>
      <c r="Q6" s="7" t="inlineStr">
        <is>
          <t>Lag6</t>
        </is>
      </c>
      <c r="R6" s="7" t="inlineStr">
        <is>
          <t>Lag7</t>
        </is>
      </c>
      <c r="S6" s="7" t="inlineStr">
        <is>
          <t>Lag8</t>
        </is>
      </c>
      <c r="T6" s="7" t="inlineStr">
        <is>
          <t>Lag9</t>
        </is>
      </c>
      <c r="U6" s="7" t="inlineStr">
        <is>
          <t>Lag10</t>
        </is>
      </c>
      <c r="V6" s="7" t="inlineStr">
        <is>
          <t>Lag11</t>
        </is>
      </c>
      <c r="W6" s="7" t="inlineStr">
        <is>
          <t>Lag12</t>
        </is>
      </c>
      <c r="X6" s="7" t="inlineStr">
        <is>
          <t>Lag13</t>
        </is>
      </c>
      <c r="Y6" s="7" t="inlineStr">
        <is>
          <t>Lag14</t>
        </is>
      </c>
      <c r="Z6" s="7" t="inlineStr">
        <is>
          <t>Lag15</t>
        </is>
      </c>
      <c r="AA6" s="7" t="inlineStr">
        <is>
          <t>Lag16</t>
        </is>
      </c>
    </row>
    <row r="7">
      <c r="A7" s="55" t="n">
        <v>1</v>
      </c>
      <c r="B7" s="15">
        <f>IF(A7&gt;Inputs!$C$62,"",INDEX(Trajectory!$G$23:$G$2000,A7))</f>
        <v/>
      </c>
      <c r="C7" s="15">
        <f>IF(B7="","",IF(A7&lt;=Inputs!$C$75,INDEX(Trajectory!$G$23:$G$2000,1),INDEX(Trajectory!$G$23:$G$2000,MAX(1,A7-Inputs!$C$75))))</f>
        <v/>
      </c>
      <c r="D7" s="15">
        <f>IF(C7="","",MAX(Inputs!$C$76,CEILING(C7/(Inputs!$C$42*Inputs!$C$92),1)))</f>
        <v/>
      </c>
      <c r="E7" s="15">
        <f>D7</f>
        <v/>
      </c>
      <c r="F7" s="15">
        <f>E7-Inputs!$C$76</f>
        <v/>
      </c>
      <c r="G7" s="12">
        <f>IF(E7="",1,IF(E7=0,1,(E7-SUM(L7:AA7)+SUMPRODUCT(L7:AA7,$N$5:$N$20))/E7))</f>
        <v/>
      </c>
      <c r="H7" s="14">
        <f>IF(E7="",0,E7*G7)</f>
        <v/>
      </c>
      <c r="I7" s="15">
        <f>IF(H7="",0,H7*Inputs!$C$42)</f>
        <v/>
      </c>
      <c r="J7" s="14">
        <f>IF(E7="",1,1 + (Inputs!$C$95-1)*IF((1-Inputs!$C$94)=0,0,(1-G7)/(1-Inputs!$C$94)))</f>
        <v/>
      </c>
      <c r="K7" s="12">
        <f>IF(I7=0,"",B7/I7)</f>
        <v/>
      </c>
      <c r="L7" s="15">
        <f>IF(F7="",0,F7)</f>
        <v/>
      </c>
      <c r="M7" s="15">
        <f>IF(A7&lt;=1,0,0)</f>
        <v/>
      </c>
      <c r="N7" s="15">
        <f>IF(A7&lt;=1,0,0)</f>
        <v/>
      </c>
      <c r="O7" s="15">
        <f>IF(A7&lt;=1,0,0)</f>
        <v/>
      </c>
      <c r="P7" s="15">
        <f>IF(A7&lt;=1,0,0)</f>
        <v/>
      </c>
      <c r="Q7" s="15">
        <f>IF(A7&lt;=1,0,0)</f>
        <v/>
      </c>
      <c r="R7" s="15">
        <f>IF(A7&lt;=1,0,0)</f>
        <v/>
      </c>
      <c r="S7" s="15">
        <f>IF(A7&lt;=1,0,0)</f>
        <v/>
      </c>
      <c r="T7" s="15">
        <f>IF(A7&lt;=1,0,0)</f>
        <v/>
      </c>
      <c r="U7" s="15">
        <f>IF(A7&lt;=1,0,0)</f>
        <v/>
      </c>
      <c r="V7" s="15">
        <f>IF(A7&lt;=1,0,0)</f>
        <v/>
      </c>
      <c r="W7" s="15">
        <f>IF(A7&lt;=1,0,0)</f>
        <v/>
      </c>
      <c r="X7" s="15">
        <f>IF(A7&lt;=1,0,0)</f>
        <v/>
      </c>
      <c r="Y7" s="15">
        <f>IF(A7&lt;=1,0,0)</f>
        <v/>
      </c>
      <c r="Z7" s="15">
        <f>IF(A7&lt;=1,0,0)</f>
        <v/>
      </c>
      <c r="AA7" s="15">
        <f>IF(A7&lt;=1,0,0)</f>
        <v/>
      </c>
    </row>
    <row r="8">
      <c r="A8" s="55" t="n">
        <v>2</v>
      </c>
      <c r="B8" s="15">
        <f>IF(A8&gt;Inputs!$C$62,"",INDEX(Trajectory!$G$23:$G$2000,A8))</f>
        <v/>
      </c>
      <c r="C8" s="15">
        <f>IF(B8="","",IF(A8&lt;=Inputs!$C$75,INDEX(Trajectory!$G$23:$G$2000,1),INDEX(Trajectory!$G$23:$G$2000,MAX(1,A8-Inputs!$C$75))))</f>
        <v/>
      </c>
      <c r="D8" s="15">
        <f>IF(C8="","",MAX(Inputs!$C$76,CEILING(C8/(Inputs!$C$42*Inputs!$C$92),1)))</f>
        <v/>
      </c>
      <c r="E8" s="15">
        <f>IF(D8="","",MAX(E7,D8))</f>
        <v/>
      </c>
      <c r="F8" s="15">
        <f>E8-E7</f>
        <v/>
      </c>
      <c r="G8" s="12">
        <f>IF(E8="",1,IF(E8=0,1,(E8-SUM(L8:AA8)+SUMPRODUCT(L8:AA8,$N$5:$N$20))/E8))</f>
        <v/>
      </c>
      <c r="H8" s="14">
        <f>IF(E8="",0,E8*G8)</f>
        <v/>
      </c>
      <c r="I8" s="15">
        <f>IF(H8="",0,H8*Inputs!$C$42)</f>
        <v/>
      </c>
      <c r="J8" s="14">
        <f>IF(E8="",1,1 + (Inputs!$C$95-1)*IF((1-Inputs!$C$94)=0,0,(1-G8)/(1-Inputs!$C$94)))</f>
        <v/>
      </c>
      <c r="K8" s="12">
        <f>IF(I8=0,"",B8/I8)</f>
        <v/>
      </c>
      <c r="L8" s="15">
        <f>IF(F8="",0,F8)</f>
        <v/>
      </c>
      <c r="M8" s="15">
        <f>IF(A8&lt;=1,0,L7)</f>
        <v/>
      </c>
      <c r="N8" s="15">
        <f>IF(A8&lt;=1,0,M7)</f>
        <v/>
      </c>
      <c r="O8" s="15">
        <f>IF(A8&lt;=1,0,N7)</f>
        <v/>
      </c>
      <c r="P8" s="15">
        <f>IF(A8&lt;=1,0,O7)</f>
        <v/>
      </c>
      <c r="Q8" s="15">
        <f>IF(A8&lt;=1,0,P7)</f>
        <v/>
      </c>
      <c r="R8" s="15">
        <f>IF(A8&lt;=1,0,Q7)</f>
        <v/>
      </c>
      <c r="S8" s="15">
        <f>IF(A8&lt;=1,0,R7)</f>
        <v/>
      </c>
      <c r="T8" s="15">
        <f>IF(A8&lt;=1,0,S7)</f>
        <v/>
      </c>
      <c r="U8" s="15">
        <f>IF(A8&lt;=1,0,T7)</f>
        <v/>
      </c>
      <c r="V8" s="15">
        <f>IF(A8&lt;=1,0,U7)</f>
        <v/>
      </c>
      <c r="W8" s="15">
        <f>IF(A8&lt;=1,0,V7)</f>
        <v/>
      </c>
      <c r="X8" s="15">
        <f>IF(A8&lt;=1,0,W7)</f>
        <v/>
      </c>
      <c r="Y8" s="15">
        <f>IF(A8&lt;=1,0,X7)</f>
        <v/>
      </c>
      <c r="Z8" s="15">
        <f>IF(A8&lt;=1,0,Y7)</f>
        <v/>
      </c>
      <c r="AA8" s="15">
        <f>IF(A8&lt;=1,0,Z7)</f>
        <v/>
      </c>
    </row>
    <row r="9">
      <c r="A9" s="55" t="n">
        <v>3</v>
      </c>
      <c r="B9" s="15">
        <f>IF(A9&gt;Inputs!$C$62,"",INDEX(Trajectory!$G$23:$G$2000,A9))</f>
        <v/>
      </c>
      <c r="C9" s="15">
        <f>IF(B9="","",IF(A9&lt;=Inputs!$C$75,INDEX(Trajectory!$G$23:$G$2000,1),INDEX(Trajectory!$G$23:$G$2000,MAX(1,A9-Inputs!$C$75))))</f>
        <v/>
      </c>
      <c r="D9" s="15">
        <f>IF(C9="","",MAX(Inputs!$C$76,CEILING(C9/(Inputs!$C$42*Inputs!$C$92),1)))</f>
        <v/>
      </c>
      <c r="E9" s="15">
        <f>IF(D9="","",MAX(E8,D9))</f>
        <v/>
      </c>
      <c r="F9" s="15">
        <f>E9-E8</f>
        <v/>
      </c>
      <c r="G9" s="12">
        <f>IF(E9="",1,IF(E9=0,1,(E9-SUM(L9:AA9)+SUMPRODUCT(L9:AA9,$N$5:$N$20))/E9))</f>
        <v/>
      </c>
      <c r="H9" s="14">
        <f>IF(E9="",0,E9*G9)</f>
        <v/>
      </c>
      <c r="I9" s="15">
        <f>IF(H9="",0,H9*Inputs!$C$42)</f>
        <v/>
      </c>
      <c r="J9" s="14">
        <f>IF(E9="",1,1 + (Inputs!$C$95-1)*IF((1-Inputs!$C$94)=0,0,(1-G9)/(1-Inputs!$C$94)))</f>
        <v/>
      </c>
      <c r="K9" s="12">
        <f>IF(I9=0,"",B9/I9)</f>
        <v/>
      </c>
      <c r="L9" s="15">
        <f>IF(F9="",0,F9)</f>
        <v/>
      </c>
      <c r="M9" s="15">
        <f>IF(A9&lt;=1,0,L8)</f>
        <v/>
      </c>
      <c r="N9" s="15">
        <f>IF(A9&lt;=1,0,M8)</f>
        <v/>
      </c>
      <c r="O9" s="15">
        <f>IF(A9&lt;=1,0,N8)</f>
        <v/>
      </c>
      <c r="P9" s="15">
        <f>IF(A9&lt;=1,0,O8)</f>
        <v/>
      </c>
      <c r="Q9" s="15">
        <f>IF(A9&lt;=1,0,P8)</f>
        <v/>
      </c>
      <c r="R9" s="15">
        <f>IF(A9&lt;=1,0,Q8)</f>
        <v/>
      </c>
      <c r="S9" s="15">
        <f>IF(A9&lt;=1,0,R8)</f>
        <v/>
      </c>
      <c r="T9" s="15">
        <f>IF(A9&lt;=1,0,S8)</f>
        <v/>
      </c>
      <c r="U9" s="15">
        <f>IF(A9&lt;=1,0,T8)</f>
        <v/>
      </c>
      <c r="V9" s="15">
        <f>IF(A9&lt;=1,0,U8)</f>
        <v/>
      </c>
      <c r="W9" s="15">
        <f>IF(A9&lt;=1,0,V8)</f>
        <v/>
      </c>
      <c r="X9" s="15">
        <f>IF(A9&lt;=1,0,W8)</f>
        <v/>
      </c>
      <c r="Y9" s="15">
        <f>IF(A9&lt;=1,0,X8)</f>
        <v/>
      </c>
      <c r="Z9" s="15">
        <f>IF(A9&lt;=1,0,Y8)</f>
        <v/>
      </c>
      <c r="AA9" s="15">
        <f>IF(A9&lt;=1,0,Z8)</f>
        <v/>
      </c>
    </row>
    <row r="10">
      <c r="A10" s="55" t="n">
        <v>4</v>
      </c>
      <c r="B10" s="15">
        <f>IF(A10&gt;Inputs!$C$62,"",INDEX(Trajectory!$G$23:$G$2000,A10))</f>
        <v/>
      </c>
      <c r="C10" s="15">
        <f>IF(B10="","",IF(A10&lt;=Inputs!$C$75,INDEX(Trajectory!$G$23:$G$2000,1),INDEX(Trajectory!$G$23:$G$2000,MAX(1,A10-Inputs!$C$75))))</f>
        <v/>
      </c>
      <c r="D10" s="15">
        <f>IF(C10="","",MAX(Inputs!$C$76,CEILING(C10/(Inputs!$C$42*Inputs!$C$92),1)))</f>
        <v/>
      </c>
      <c r="E10" s="15">
        <f>IF(D10="","",MAX(E9,D10))</f>
        <v/>
      </c>
      <c r="F10" s="15">
        <f>E10-E9</f>
        <v/>
      </c>
      <c r="G10" s="12">
        <f>IF(E10="",1,IF(E10=0,1,(E10-SUM(L10:AA10)+SUMPRODUCT(L10:AA10,$N$5:$N$20))/E10))</f>
        <v/>
      </c>
      <c r="H10" s="14">
        <f>IF(E10="",0,E10*G10)</f>
        <v/>
      </c>
      <c r="I10" s="15">
        <f>IF(H10="",0,H10*Inputs!$C$42)</f>
        <v/>
      </c>
      <c r="J10" s="14">
        <f>IF(E10="",1,1 + (Inputs!$C$95-1)*IF((1-Inputs!$C$94)=0,0,(1-G10)/(1-Inputs!$C$94)))</f>
        <v/>
      </c>
      <c r="K10" s="12">
        <f>IF(I10=0,"",B10/I10)</f>
        <v/>
      </c>
      <c r="L10" s="15">
        <f>IF(F10="",0,F10)</f>
        <v/>
      </c>
      <c r="M10" s="15">
        <f>IF(A10&lt;=1,0,L9)</f>
        <v/>
      </c>
      <c r="N10" s="15">
        <f>IF(A10&lt;=1,0,M9)</f>
        <v/>
      </c>
      <c r="O10" s="15">
        <f>IF(A10&lt;=1,0,N9)</f>
        <v/>
      </c>
      <c r="P10" s="15">
        <f>IF(A10&lt;=1,0,O9)</f>
        <v/>
      </c>
      <c r="Q10" s="15">
        <f>IF(A10&lt;=1,0,P9)</f>
        <v/>
      </c>
      <c r="R10" s="15">
        <f>IF(A10&lt;=1,0,Q9)</f>
        <v/>
      </c>
      <c r="S10" s="15">
        <f>IF(A10&lt;=1,0,R9)</f>
        <v/>
      </c>
      <c r="T10" s="15">
        <f>IF(A10&lt;=1,0,S9)</f>
        <v/>
      </c>
      <c r="U10" s="15">
        <f>IF(A10&lt;=1,0,T9)</f>
        <v/>
      </c>
      <c r="V10" s="15">
        <f>IF(A10&lt;=1,0,U9)</f>
        <v/>
      </c>
      <c r="W10" s="15">
        <f>IF(A10&lt;=1,0,V9)</f>
        <v/>
      </c>
      <c r="X10" s="15">
        <f>IF(A10&lt;=1,0,W9)</f>
        <v/>
      </c>
      <c r="Y10" s="15">
        <f>IF(A10&lt;=1,0,X9)</f>
        <v/>
      </c>
      <c r="Z10" s="15">
        <f>IF(A10&lt;=1,0,Y9)</f>
        <v/>
      </c>
      <c r="AA10" s="15">
        <f>IF(A10&lt;=1,0,Z9)</f>
        <v/>
      </c>
    </row>
    <row r="11">
      <c r="A11" s="55" t="n">
        <v>5</v>
      </c>
      <c r="B11" s="15">
        <f>IF(A11&gt;Inputs!$C$62,"",INDEX(Trajectory!$G$23:$G$2000,A11))</f>
        <v/>
      </c>
      <c r="C11" s="15">
        <f>IF(B11="","",IF(A11&lt;=Inputs!$C$75,INDEX(Trajectory!$G$23:$G$2000,1),INDEX(Trajectory!$G$23:$G$2000,MAX(1,A11-Inputs!$C$75))))</f>
        <v/>
      </c>
      <c r="D11" s="15">
        <f>IF(C11="","",MAX(Inputs!$C$76,CEILING(C11/(Inputs!$C$42*Inputs!$C$92),1)))</f>
        <v/>
      </c>
      <c r="E11" s="15">
        <f>IF(D11="","",MAX(E10,D11))</f>
        <v/>
      </c>
      <c r="F11" s="15">
        <f>E11-E10</f>
        <v/>
      </c>
      <c r="G11" s="12">
        <f>IF(E11="",1,IF(E11=0,1,(E11-SUM(L11:AA11)+SUMPRODUCT(L11:AA11,$N$5:$N$20))/E11))</f>
        <v/>
      </c>
      <c r="H11" s="14">
        <f>IF(E11="",0,E11*G11)</f>
        <v/>
      </c>
      <c r="I11" s="15">
        <f>IF(H11="",0,H11*Inputs!$C$42)</f>
        <v/>
      </c>
      <c r="J11" s="14">
        <f>IF(E11="",1,1 + (Inputs!$C$95-1)*IF((1-Inputs!$C$94)=0,0,(1-G11)/(1-Inputs!$C$94)))</f>
        <v/>
      </c>
      <c r="K11" s="12">
        <f>IF(I11=0,"",B11/I11)</f>
        <v/>
      </c>
      <c r="L11" s="15">
        <f>IF(F11="",0,F11)</f>
        <v/>
      </c>
      <c r="M11" s="15">
        <f>IF(A11&lt;=1,0,L10)</f>
        <v/>
      </c>
      <c r="N11" s="15">
        <f>IF(A11&lt;=1,0,M10)</f>
        <v/>
      </c>
      <c r="O11" s="15">
        <f>IF(A11&lt;=1,0,N10)</f>
        <v/>
      </c>
      <c r="P11" s="15">
        <f>IF(A11&lt;=1,0,O10)</f>
        <v/>
      </c>
      <c r="Q11" s="15">
        <f>IF(A11&lt;=1,0,P10)</f>
        <v/>
      </c>
      <c r="R11" s="15">
        <f>IF(A11&lt;=1,0,Q10)</f>
        <v/>
      </c>
      <c r="S11" s="15">
        <f>IF(A11&lt;=1,0,R10)</f>
        <v/>
      </c>
      <c r="T11" s="15">
        <f>IF(A11&lt;=1,0,S10)</f>
        <v/>
      </c>
      <c r="U11" s="15">
        <f>IF(A11&lt;=1,0,T10)</f>
        <v/>
      </c>
      <c r="V11" s="15">
        <f>IF(A11&lt;=1,0,U10)</f>
        <v/>
      </c>
      <c r="W11" s="15">
        <f>IF(A11&lt;=1,0,V10)</f>
        <v/>
      </c>
      <c r="X11" s="15">
        <f>IF(A11&lt;=1,0,W10)</f>
        <v/>
      </c>
      <c r="Y11" s="15">
        <f>IF(A11&lt;=1,0,X10)</f>
        <v/>
      </c>
      <c r="Z11" s="15">
        <f>IF(A11&lt;=1,0,Y10)</f>
        <v/>
      </c>
      <c r="AA11" s="15">
        <f>IF(A11&lt;=1,0,Z10)</f>
        <v/>
      </c>
    </row>
    <row r="12">
      <c r="A12" s="55" t="n">
        <v>6</v>
      </c>
      <c r="B12" s="15">
        <f>IF(A12&gt;Inputs!$C$62,"",INDEX(Trajectory!$G$23:$G$2000,A12))</f>
        <v/>
      </c>
      <c r="C12" s="15">
        <f>IF(B12="","",IF(A12&lt;=Inputs!$C$75,INDEX(Trajectory!$G$23:$G$2000,1),INDEX(Trajectory!$G$23:$G$2000,MAX(1,A12-Inputs!$C$75))))</f>
        <v/>
      </c>
      <c r="D12" s="15">
        <f>IF(C12="","",MAX(Inputs!$C$76,CEILING(C12/(Inputs!$C$42*Inputs!$C$92),1)))</f>
        <v/>
      </c>
      <c r="E12" s="15">
        <f>IF(D12="","",MAX(E11,D12))</f>
        <v/>
      </c>
      <c r="F12" s="15">
        <f>E12-E11</f>
        <v/>
      </c>
      <c r="G12" s="12">
        <f>IF(E12="",1,IF(E12=0,1,(E12-SUM(L12:AA12)+SUMPRODUCT(L12:AA12,$N$5:$N$20))/E12))</f>
        <v/>
      </c>
      <c r="H12" s="14">
        <f>IF(E12="",0,E12*G12)</f>
        <v/>
      </c>
      <c r="I12" s="15">
        <f>IF(H12="",0,H12*Inputs!$C$42)</f>
        <v/>
      </c>
      <c r="J12" s="14">
        <f>IF(E12="",1,1 + (Inputs!$C$95-1)*IF((1-Inputs!$C$94)=0,0,(1-G12)/(1-Inputs!$C$94)))</f>
        <v/>
      </c>
      <c r="K12" s="12">
        <f>IF(I12=0,"",B12/I12)</f>
        <v/>
      </c>
      <c r="L12" s="15">
        <f>IF(F12="",0,F12)</f>
        <v/>
      </c>
      <c r="M12" s="15">
        <f>IF(A12&lt;=1,0,L11)</f>
        <v/>
      </c>
      <c r="N12" s="15">
        <f>IF(A12&lt;=1,0,M11)</f>
        <v/>
      </c>
      <c r="O12" s="15">
        <f>IF(A12&lt;=1,0,N11)</f>
        <v/>
      </c>
      <c r="P12" s="15">
        <f>IF(A12&lt;=1,0,O11)</f>
        <v/>
      </c>
      <c r="Q12" s="15">
        <f>IF(A12&lt;=1,0,P11)</f>
        <v/>
      </c>
      <c r="R12" s="15">
        <f>IF(A12&lt;=1,0,Q11)</f>
        <v/>
      </c>
      <c r="S12" s="15">
        <f>IF(A12&lt;=1,0,R11)</f>
        <v/>
      </c>
      <c r="T12" s="15">
        <f>IF(A12&lt;=1,0,S11)</f>
        <v/>
      </c>
      <c r="U12" s="15">
        <f>IF(A12&lt;=1,0,T11)</f>
        <v/>
      </c>
      <c r="V12" s="15">
        <f>IF(A12&lt;=1,0,U11)</f>
        <v/>
      </c>
      <c r="W12" s="15">
        <f>IF(A12&lt;=1,0,V11)</f>
        <v/>
      </c>
      <c r="X12" s="15">
        <f>IF(A12&lt;=1,0,W11)</f>
        <v/>
      </c>
      <c r="Y12" s="15">
        <f>IF(A12&lt;=1,0,X11)</f>
        <v/>
      </c>
      <c r="Z12" s="15">
        <f>IF(A12&lt;=1,0,Y11)</f>
        <v/>
      </c>
      <c r="AA12" s="15">
        <f>IF(A12&lt;=1,0,Z11)</f>
        <v/>
      </c>
    </row>
    <row r="13">
      <c r="A13" s="55" t="n">
        <v>7</v>
      </c>
      <c r="B13" s="15">
        <f>IF(A13&gt;Inputs!$C$62,"",INDEX(Trajectory!$G$23:$G$2000,A13))</f>
        <v/>
      </c>
      <c r="C13" s="15">
        <f>IF(B13="","",IF(A13&lt;=Inputs!$C$75,INDEX(Trajectory!$G$23:$G$2000,1),INDEX(Trajectory!$G$23:$G$2000,MAX(1,A13-Inputs!$C$75))))</f>
        <v/>
      </c>
      <c r="D13" s="15">
        <f>IF(C13="","",MAX(Inputs!$C$76,CEILING(C13/(Inputs!$C$42*Inputs!$C$92),1)))</f>
        <v/>
      </c>
      <c r="E13" s="15">
        <f>IF(D13="","",MAX(E12,D13))</f>
        <v/>
      </c>
      <c r="F13" s="15">
        <f>E13-E12</f>
        <v/>
      </c>
      <c r="G13" s="12">
        <f>IF(E13="",1,IF(E13=0,1,(E13-SUM(L13:AA13)+SUMPRODUCT(L13:AA13,$N$5:$N$20))/E13))</f>
        <v/>
      </c>
      <c r="H13" s="14">
        <f>IF(E13="",0,E13*G13)</f>
        <v/>
      </c>
      <c r="I13" s="15">
        <f>IF(H13="",0,H13*Inputs!$C$42)</f>
        <v/>
      </c>
      <c r="J13" s="14">
        <f>IF(E13="",1,1 + (Inputs!$C$95-1)*IF((1-Inputs!$C$94)=0,0,(1-G13)/(1-Inputs!$C$94)))</f>
        <v/>
      </c>
      <c r="K13" s="12">
        <f>IF(I13=0,"",B13/I13)</f>
        <v/>
      </c>
      <c r="L13" s="15">
        <f>IF(F13="",0,F13)</f>
        <v/>
      </c>
      <c r="M13" s="15">
        <f>IF(A13&lt;=1,0,L12)</f>
        <v/>
      </c>
      <c r="N13" s="15">
        <f>IF(A13&lt;=1,0,M12)</f>
        <v/>
      </c>
      <c r="O13" s="15">
        <f>IF(A13&lt;=1,0,N12)</f>
        <v/>
      </c>
      <c r="P13" s="15">
        <f>IF(A13&lt;=1,0,O12)</f>
        <v/>
      </c>
      <c r="Q13" s="15">
        <f>IF(A13&lt;=1,0,P12)</f>
        <v/>
      </c>
      <c r="R13" s="15">
        <f>IF(A13&lt;=1,0,Q12)</f>
        <v/>
      </c>
      <c r="S13" s="15">
        <f>IF(A13&lt;=1,0,R12)</f>
        <v/>
      </c>
      <c r="T13" s="15">
        <f>IF(A13&lt;=1,0,S12)</f>
        <v/>
      </c>
      <c r="U13" s="15">
        <f>IF(A13&lt;=1,0,T12)</f>
        <v/>
      </c>
      <c r="V13" s="15">
        <f>IF(A13&lt;=1,0,U12)</f>
        <v/>
      </c>
      <c r="W13" s="15">
        <f>IF(A13&lt;=1,0,V12)</f>
        <v/>
      </c>
      <c r="X13" s="15">
        <f>IF(A13&lt;=1,0,W12)</f>
        <v/>
      </c>
      <c r="Y13" s="15">
        <f>IF(A13&lt;=1,0,X12)</f>
        <v/>
      </c>
      <c r="Z13" s="15">
        <f>IF(A13&lt;=1,0,Y12)</f>
        <v/>
      </c>
      <c r="AA13" s="15">
        <f>IF(A13&lt;=1,0,Z12)</f>
        <v/>
      </c>
    </row>
    <row r="14">
      <c r="A14" s="55" t="n">
        <v>8</v>
      </c>
      <c r="B14" s="15">
        <f>IF(A14&gt;Inputs!$C$62,"",INDEX(Trajectory!$G$23:$G$2000,A14))</f>
        <v/>
      </c>
      <c r="C14" s="15">
        <f>IF(B14="","",IF(A14&lt;=Inputs!$C$75,INDEX(Trajectory!$G$23:$G$2000,1),INDEX(Trajectory!$G$23:$G$2000,MAX(1,A14-Inputs!$C$75))))</f>
        <v/>
      </c>
      <c r="D14" s="15">
        <f>IF(C14="","",MAX(Inputs!$C$76,CEILING(C14/(Inputs!$C$42*Inputs!$C$92),1)))</f>
        <v/>
      </c>
      <c r="E14" s="15">
        <f>IF(D14="","",MAX(E13,D14))</f>
        <v/>
      </c>
      <c r="F14" s="15">
        <f>E14-E13</f>
        <v/>
      </c>
      <c r="G14" s="12">
        <f>IF(E14="",1,IF(E14=0,1,(E14-SUM(L14:AA14)+SUMPRODUCT(L14:AA14,$N$5:$N$20))/E14))</f>
        <v/>
      </c>
      <c r="H14" s="14">
        <f>IF(E14="",0,E14*G14)</f>
        <v/>
      </c>
      <c r="I14" s="15">
        <f>IF(H14="",0,H14*Inputs!$C$42)</f>
        <v/>
      </c>
      <c r="J14" s="14">
        <f>IF(E14="",1,1 + (Inputs!$C$95-1)*IF((1-Inputs!$C$94)=0,0,(1-G14)/(1-Inputs!$C$94)))</f>
        <v/>
      </c>
      <c r="K14" s="12">
        <f>IF(I14=0,"",B14/I14)</f>
        <v/>
      </c>
      <c r="L14" s="15">
        <f>IF(F14="",0,F14)</f>
        <v/>
      </c>
      <c r="M14" s="15">
        <f>IF(A14&lt;=1,0,L13)</f>
        <v/>
      </c>
      <c r="N14" s="15">
        <f>IF(A14&lt;=1,0,M13)</f>
        <v/>
      </c>
      <c r="O14" s="15">
        <f>IF(A14&lt;=1,0,N13)</f>
        <v/>
      </c>
      <c r="P14" s="15">
        <f>IF(A14&lt;=1,0,O13)</f>
        <v/>
      </c>
      <c r="Q14" s="15">
        <f>IF(A14&lt;=1,0,P13)</f>
        <v/>
      </c>
      <c r="R14" s="15">
        <f>IF(A14&lt;=1,0,Q13)</f>
        <v/>
      </c>
      <c r="S14" s="15">
        <f>IF(A14&lt;=1,0,R13)</f>
        <v/>
      </c>
      <c r="T14" s="15">
        <f>IF(A14&lt;=1,0,S13)</f>
        <v/>
      </c>
      <c r="U14" s="15">
        <f>IF(A14&lt;=1,0,T13)</f>
        <v/>
      </c>
      <c r="V14" s="15">
        <f>IF(A14&lt;=1,0,U13)</f>
        <v/>
      </c>
      <c r="W14" s="15">
        <f>IF(A14&lt;=1,0,V13)</f>
        <v/>
      </c>
      <c r="X14" s="15">
        <f>IF(A14&lt;=1,0,W13)</f>
        <v/>
      </c>
      <c r="Y14" s="15">
        <f>IF(A14&lt;=1,0,X13)</f>
        <v/>
      </c>
      <c r="Z14" s="15">
        <f>IF(A14&lt;=1,0,Y13)</f>
        <v/>
      </c>
      <c r="AA14" s="15">
        <f>IF(A14&lt;=1,0,Z13)</f>
        <v/>
      </c>
    </row>
    <row r="15">
      <c r="A15" s="55" t="n">
        <v>9</v>
      </c>
      <c r="B15" s="15">
        <f>IF(A15&gt;Inputs!$C$62,"",INDEX(Trajectory!$G$23:$G$2000,A15))</f>
        <v/>
      </c>
      <c r="C15" s="15">
        <f>IF(B15="","",IF(A15&lt;=Inputs!$C$75,INDEX(Trajectory!$G$23:$G$2000,1),INDEX(Trajectory!$G$23:$G$2000,MAX(1,A15-Inputs!$C$75))))</f>
        <v/>
      </c>
      <c r="D15" s="15">
        <f>IF(C15="","",MAX(Inputs!$C$76,CEILING(C15/(Inputs!$C$42*Inputs!$C$92),1)))</f>
        <v/>
      </c>
      <c r="E15" s="15">
        <f>IF(D15="","",MAX(E14,D15))</f>
        <v/>
      </c>
      <c r="F15" s="15">
        <f>E15-E14</f>
        <v/>
      </c>
      <c r="G15" s="12">
        <f>IF(E15="",1,IF(E15=0,1,(E15-SUM(L15:AA15)+SUMPRODUCT(L15:AA15,$N$5:$N$20))/E15))</f>
        <v/>
      </c>
      <c r="H15" s="14">
        <f>IF(E15="",0,E15*G15)</f>
        <v/>
      </c>
      <c r="I15" s="15">
        <f>IF(H15="",0,H15*Inputs!$C$42)</f>
        <v/>
      </c>
      <c r="J15" s="14">
        <f>IF(E15="",1,1 + (Inputs!$C$95-1)*IF((1-Inputs!$C$94)=0,0,(1-G15)/(1-Inputs!$C$94)))</f>
        <v/>
      </c>
      <c r="K15" s="12">
        <f>IF(I15=0,"",B15/I15)</f>
        <v/>
      </c>
      <c r="L15" s="15">
        <f>IF(F15="",0,F15)</f>
        <v/>
      </c>
      <c r="M15" s="15">
        <f>IF(A15&lt;=1,0,L14)</f>
        <v/>
      </c>
      <c r="N15" s="15">
        <f>IF(A15&lt;=1,0,M14)</f>
        <v/>
      </c>
      <c r="O15" s="15">
        <f>IF(A15&lt;=1,0,N14)</f>
        <v/>
      </c>
      <c r="P15" s="15">
        <f>IF(A15&lt;=1,0,O14)</f>
        <v/>
      </c>
      <c r="Q15" s="15">
        <f>IF(A15&lt;=1,0,P14)</f>
        <v/>
      </c>
      <c r="R15" s="15">
        <f>IF(A15&lt;=1,0,Q14)</f>
        <v/>
      </c>
      <c r="S15" s="15">
        <f>IF(A15&lt;=1,0,R14)</f>
        <v/>
      </c>
      <c r="T15" s="15">
        <f>IF(A15&lt;=1,0,S14)</f>
        <v/>
      </c>
      <c r="U15" s="15">
        <f>IF(A15&lt;=1,0,T14)</f>
        <v/>
      </c>
      <c r="V15" s="15">
        <f>IF(A15&lt;=1,0,U14)</f>
        <v/>
      </c>
      <c r="W15" s="15">
        <f>IF(A15&lt;=1,0,V14)</f>
        <v/>
      </c>
      <c r="X15" s="15">
        <f>IF(A15&lt;=1,0,W14)</f>
        <v/>
      </c>
      <c r="Y15" s="15">
        <f>IF(A15&lt;=1,0,X14)</f>
        <v/>
      </c>
      <c r="Z15" s="15">
        <f>IF(A15&lt;=1,0,Y14)</f>
        <v/>
      </c>
      <c r="AA15" s="15">
        <f>IF(A15&lt;=1,0,Z14)</f>
        <v/>
      </c>
    </row>
    <row r="16">
      <c r="A16" s="55" t="n">
        <v>10</v>
      </c>
      <c r="B16" s="15">
        <f>IF(A16&gt;Inputs!$C$62,"",INDEX(Trajectory!$G$23:$G$2000,A16))</f>
        <v/>
      </c>
      <c r="C16" s="15">
        <f>IF(B16="","",IF(A16&lt;=Inputs!$C$75,INDEX(Trajectory!$G$23:$G$2000,1),INDEX(Trajectory!$G$23:$G$2000,MAX(1,A16-Inputs!$C$75))))</f>
        <v/>
      </c>
      <c r="D16" s="15">
        <f>IF(C16="","",MAX(Inputs!$C$76,CEILING(C16/(Inputs!$C$42*Inputs!$C$92),1)))</f>
        <v/>
      </c>
      <c r="E16" s="15">
        <f>IF(D16="","",MAX(E15,D16))</f>
        <v/>
      </c>
      <c r="F16" s="15">
        <f>E16-E15</f>
        <v/>
      </c>
      <c r="G16" s="12">
        <f>IF(E16="",1,IF(E16=0,1,(E16-SUM(L16:AA16)+SUMPRODUCT(L16:AA16,$N$5:$N$20))/E16))</f>
        <v/>
      </c>
      <c r="H16" s="14">
        <f>IF(E16="",0,E16*G16)</f>
        <v/>
      </c>
      <c r="I16" s="15">
        <f>IF(H16="",0,H16*Inputs!$C$42)</f>
        <v/>
      </c>
      <c r="J16" s="14">
        <f>IF(E16="",1,1 + (Inputs!$C$95-1)*IF((1-Inputs!$C$94)=0,0,(1-G16)/(1-Inputs!$C$94)))</f>
        <v/>
      </c>
      <c r="K16" s="12">
        <f>IF(I16=0,"",B16/I16)</f>
        <v/>
      </c>
      <c r="L16" s="15">
        <f>IF(F16="",0,F16)</f>
        <v/>
      </c>
      <c r="M16" s="15">
        <f>IF(A16&lt;=1,0,L15)</f>
        <v/>
      </c>
      <c r="N16" s="15">
        <f>IF(A16&lt;=1,0,M15)</f>
        <v/>
      </c>
      <c r="O16" s="15">
        <f>IF(A16&lt;=1,0,N15)</f>
        <v/>
      </c>
      <c r="P16" s="15">
        <f>IF(A16&lt;=1,0,O15)</f>
        <v/>
      </c>
      <c r="Q16" s="15">
        <f>IF(A16&lt;=1,0,P15)</f>
        <v/>
      </c>
      <c r="R16" s="15">
        <f>IF(A16&lt;=1,0,Q15)</f>
        <v/>
      </c>
      <c r="S16" s="15">
        <f>IF(A16&lt;=1,0,R15)</f>
        <v/>
      </c>
      <c r="T16" s="15">
        <f>IF(A16&lt;=1,0,S15)</f>
        <v/>
      </c>
      <c r="U16" s="15">
        <f>IF(A16&lt;=1,0,T15)</f>
        <v/>
      </c>
      <c r="V16" s="15">
        <f>IF(A16&lt;=1,0,U15)</f>
        <v/>
      </c>
      <c r="W16" s="15">
        <f>IF(A16&lt;=1,0,V15)</f>
        <v/>
      </c>
      <c r="X16" s="15">
        <f>IF(A16&lt;=1,0,W15)</f>
        <v/>
      </c>
      <c r="Y16" s="15">
        <f>IF(A16&lt;=1,0,X15)</f>
        <v/>
      </c>
      <c r="Z16" s="15">
        <f>IF(A16&lt;=1,0,Y15)</f>
        <v/>
      </c>
      <c r="AA16" s="15">
        <f>IF(A16&lt;=1,0,Z15)</f>
        <v/>
      </c>
    </row>
    <row r="17">
      <c r="A17" s="55" t="n">
        <v>11</v>
      </c>
      <c r="B17" s="15">
        <f>IF(A17&gt;Inputs!$C$62,"",INDEX(Trajectory!$G$23:$G$2000,A17))</f>
        <v/>
      </c>
      <c r="C17" s="15">
        <f>IF(B17="","",IF(A17&lt;=Inputs!$C$75,INDEX(Trajectory!$G$23:$G$2000,1),INDEX(Trajectory!$G$23:$G$2000,MAX(1,A17-Inputs!$C$75))))</f>
        <v/>
      </c>
      <c r="D17" s="15">
        <f>IF(C17="","",MAX(Inputs!$C$76,CEILING(C17/(Inputs!$C$42*Inputs!$C$92),1)))</f>
        <v/>
      </c>
      <c r="E17" s="15">
        <f>IF(D17="","",MAX(E16,D17))</f>
        <v/>
      </c>
      <c r="F17" s="15">
        <f>E17-E16</f>
        <v/>
      </c>
      <c r="G17" s="12">
        <f>IF(E17="",1,IF(E17=0,1,(E17-SUM(L17:AA17)+SUMPRODUCT(L17:AA17,$N$5:$N$20))/E17))</f>
        <v/>
      </c>
      <c r="H17" s="14">
        <f>IF(E17="",0,E17*G17)</f>
        <v/>
      </c>
      <c r="I17" s="15">
        <f>IF(H17="",0,H17*Inputs!$C$42)</f>
        <v/>
      </c>
      <c r="J17" s="14">
        <f>IF(E17="",1,1 + (Inputs!$C$95-1)*IF((1-Inputs!$C$94)=0,0,(1-G17)/(1-Inputs!$C$94)))</f>
        <v/>
      </c>
      <c r="K17" s="12">
        <f>IF(I17=0,"",B17/I17)</f>
        <v/>
      </c>
      <c r="L17" s="15">
        <f>IF(F17="",0,F17)</f>
        <v/>
      </c>
      <c r="M17" s="15">
        <f>IF(A17&lt;=1,0,L16)</f>
        <v/>
      </c>
      <c r="N17" s="15">
        <f>IF(A17&lt;=1,0,M16)</f>
        <v/>
      </c>
      <c r="O17" s="15">
        <f>IF(A17&lt;=1,0,N16)</f>
        <v/>
      </c>
      <c r="P17" s="15">
        <f>IF(A17&lt;=1,0,O16)</f>
        <v/>
      </c>
      <c r="Q17" s="15">
        <f>IF(A17&lt;=1,0,P16)</f>
        <v/>
      </c>
      <c r="R17" s="15">
        <f>IF(A17&lt;=1,0,Q16)</f>
        <v/>
      </c>
      <c r="S17" s="15">
        <f>IF(A17&lt;=1,0,R16)</f>
        <v/>
      </c>
      <c r="T17" s="15">
        <f>IF(A17&lt;=1,0,S16)</f>
        <v/>
      </c>
      <c r="U17" s="15">
        <f>IF(A17&lt;=1,0,T16)</f>
        <v/>
      </c>
      <c r="V17" s="15">
        <f>IF(A17&lt;=1,0,U16)</f>
        <v/>
      </c>
      <c r="W17" s="15">
        <f>IF(A17&lt;=1,0,V16)</f>
        <v/>
      </c>
      <c r="X17" s="15">
        <f>IF(A17&lt;=1,0,W16)</f>
        <v/>
      </c>
      <c r="Y17" s="15">
        <f>IF(A17&lt;=1,0,X16)</f>
        <v/>
      </c>
      <c r="Z17" s="15">
        <f>IF(A17&lt;=1,0,Y16)</f>
        <v/>
      </c>
      <c r="AA17" s="15">
        <f>IF(A17&lt;=1,0,Z16)</f>
        <v/>
      </c>
    </row>
    <row r="18">
      <c r="A18" s="55" t="n">
        <v>12</v>
      </c>
      <c r="B18" s="15">
        <f>IF(A18&gt;Inputs!$C$62,"",INDEX(Trajectory!$G$23:$G$2000,A18))</f>
        <v/>
      </c>
      <c r="C18" s="15">
        <f>IF(B18="","",IF(A18&lt;=Inputs!$C$75,INDEX(Trajectory!$G$23:$G$2000,1),INDEX(Trajectory!$G$23:$G$2000,MAX(1,A18-Inputs!$C$75))))</f>
        <v/>
      </c>
      <c r="D18" s="15">
        <f>IF(C18="","",MAX(Inputs!$C$76,CEILING(C18/(Inputs!$C$42*Inputs!$C$92),1)))</f>
        <v/>
      </c>
      <c r="E18" s="15">
        <f>IF(D18="","",MAX(E17,D18))</f>
        <v/>
      </c>
      <c r="F18" s="15">
        <f>E18-E17</f>
        <v/>
      </c>
      <c r="G18" s="12">
        <f>IF(E18="",1,IF(E18=0,1,(E18-SUM(L18:AA18)+SUMPRODUCT(L18:AA18,$N$5:$N$20))/E18))</f>
        <v/>
      </c>
      <c r="H18" s="14">
        <f>IF(E18="",0,E18*G18)</f>
        <v/>
      </c>
      <c r="I18" s="15">
        <f>IF(H18="",0,H18*Inputs!$C$42)</f>
        <v/>
      </c>
      <c r="J18" s="14">
        <f>IF(E18="",1,1 + (Inputs!$C$95-1)*IF((1-Inputs!$C$94)=0,0,(1-G18)/(1-Inputs!$C$94)))</f>
        <v/>
      </c>
      <c r="K18" s="12">
        <f>IF(I18=0,"",B18/I18)</f>
        <v/>
      </c>
      <c r="L18" s="15">
        <f>IF(F18="",0,F18)</f>
        <v/>
      </c>
      <c r="M18" s="15">
        <f>IF(A18&lt;=1,0,L17)</f>
        <v/>
      </c>
      <c r="N18" s="15">
        <f>IF(A18&lt;=1,0,M17)</f>
        <v/>
      </c>
      <c r="O18" s="15">
        <f>IF(A18&lt;=1,0,N17)</f>
        <v/>
      </c>
      <c r="P18" s="15">
        <f>IF(A18&lt;=1,0,O17)</f>
        <v/>
      </c>
      <c r="Q18" s="15">
        <f>IF(A18&lt;=1,0,P17)</f>
        <v/>
      </c>
      <c r="R18" s="15">
        <f>IF(A18&lt;=1,0,Q17)</f>
        <v/>
      </c>
      <c r="S18" s="15">
        <f>IF(A18&lt;=1,0,R17)</f>
        <v/>
      </c>
      <c r="T18" s="15">
        <f>IF(A18&lt;=1,0,S17)</f>
        <v/>
      </c>
      <c r="U18" s="15">
        <f>IF(A18&lt;=1,0,T17)</f>
        <v/>
      </c>
      <c r="V18" s="15">
        <f>IF(A18&lt;=1,0,U17)</f>
        <v/>
      </c>
      <c r="W18" s="15">
        <f>IF(A18&lt;=1,0,V17)</f>
        <v/>
      </c>
      <c r="X18" s="15">
        <f>IF(A18&lt;=1,0,W17)</f>
        <v/>
      </c>
      <c r="Y18" s="15">
        <f>IF(A18&lt;=1,0,X17)</f>
        <v/>
      </c>
      <c r="Z18" s="15">
        <f>IF(A18&lt;=1,0,Y17)</f>
        <v/>
      </c>
      <c r="AA18" s="15">
        <f>IF(A18&lt;=1,0,Z17)</f>
        <v/>
      </c>
    </row>
    <row r="19">
      <c r="A19" s="55" t="n">
        <v>13</v>
      </c>
      <c r="B19" s="15">
        <f>IF(A19&gt;Inputs!$C$62,"",INDEX(Trajectory!$G$23:$G$2000,A19))</f>
        <v/>
      </c>
      <c r="C19" s="15">
        <f>IF(B19="","",IF(A19&lt;=Inputs!$C$75,INDEX(Trajectory!$G$23:$G$2000,1),INDEX(Trajectory!$G$23:$G$2000,MAX(1,A19-Inputs!$C$75))))</f>
        <v/>
      </c>
      <c r="D19" s="15">
        <f>IF(C19="","",MAX(Inputs!$C$76,CEILING(C19/(Inputs!$C$42*Inputs!$C$92),1)))</f>
        <v/>
      </c>
      <c r="E19" s="15">
        <f>IF(D19="","",MAX(E18,D19))</f>
        <v/>
      </c>
      <c r="F19" s="15">
        <f>E19-E18</f>
        <v/>
      </c>
      <c r="G19" s="12">
        <f>IF(E19="",1,IF(E19=0,1,(E19-SUM(L19:AA19)+SUMPRODUCT(L19:AA19,$N$5:$N$20))/E19))</f>
        <v/>
      </c>
      <c r="H19" s="14">
        <f>IF(E19="",0,E19*G19)</f>
        <v/>
      </c>
      <c r="I19" s="15">
        <f>IF(H19="",0,H19*Inputs!$C$42)</f>
        <v/>
      </c>
      <c r="J19" s="14">
        <f>IF(E19="",1,1 + (Inputs!$C$95-1)*IF((1-Inputs!$C$94)=0,0,(1-G19)/(1-Inputs!$C$94)))</f>
        <v/>
      </c>
      <c r="K19" s="12">
        <f>IF(I19=0,"",B19/I19)</f>
        <v/>
      </c>
      <c r="L19" s="15">
        <f>IF(F19="",0,F19)</f>
        <v/>
      </c>
      <c r="M19" s="15">
        <f>IF(A19&lt;=1,0,L18)</f>
        <v/>
      </c>
      <c r="N19" s="15">
        <f>IF(A19&lt;=1,0,M18)</f>
        <v/>
      </c>
      <c r="O19" s="15">
        <f>IF(A19&lt;=1,0,N18)</f>
        <v/>
      </c>
      <c r="P19" s="15">
        <f>IF(A19&lt;=1,0,O18)</f>
        <v/>
      </c>
      <c r="Q19" s="15">
        <f>IF(A19&lt;=1,0,P18)</f>
        <v/>
      </c>
      <c r="R19" s="15">
        <f>IF(A19&lt;=1,0,Q18)</f>
        <v/>
      </c>
      <c r="S19" s="15">
        <f>IF(A19&lt;=1,0,R18)</f>
        <v/>
      </c>
      <c r="T19" s="15">
        <f>IF(A19&lt;=1,0,S18)</f>
        <v/>
      </c>
      <c r="U19" s="15">
        <f>IF(A19&lt;=1,0,T18)</f>
        <v/>
      </c>
      <c r="V19" s="15">
        <f>IF(A19&lt;=1,0,U18)</f>
        <v/>
      </c>
      <c r="W19" s="15">
        <f>IF(A19&lt;=1,0,V18)</f>
        <v/>
      </c>
      <c r="X19" s="15">
        <f>IF(A19&lt;=1,0,W18)</f>
        <v/>
      </c>
      <c r="Y19" s="15">
        <f>IF(A19&lt;=1,0,X18)</f>
        <v/>
      </c>
      <c r="Z19" s="15">
        <f>IF(A19&lt;=1,0,Y18)</f>
        <v/>
      </c>
      <c r="AA19" s="15">
        <f>IF(A19&lt;=1,0,Z18)</f>
        <v/>
      </c>
    </row>
    <row r="20">
      <c r="A20" s="55" t="n">
        <v>14</v>
      </c>
      <c r="B20" s="15">
        <f>IF(A20&gt;Inputs!$C$62,"",INDEX(Trajectory!$G$23:$G$2000,A20))</f>
        <v/>
      </c>
      <c r="C20" s="15">
        <f>IF(B20="","",IF(A20&lt;=Inputs!$C$75,INDEX(Trajectory!$G$23:$G$2000,1),INDEX(Trajectory!$G$23:$G$2000,MAX(1,A20-Inputs!$C$75))))</f>
        <v/>
      </c>
      <c r="D20" s="15">
        <f>IF(C20="","",MAX(Inputs!$C$76,CEILING(C20/(Inputs!$C$42*Inputs!$C$92),1)))</f>
        <v/>
      </c>
      <c r="E20" s="15">
        <f>IF(D20="","",MAX(E19,D20))</f>
        <v/>
      </c>
      <c r="F20" s="15">
        <f>E20-E19</f>
        <v/>
      </c>
      <c r="G20" s="12">
        <f>IF(E20="",1,IF(E20=0,1,(E20-SUM(L20:AA20)+SUMPRODUCT(L20:AA20,$N$5:$N$20))/E20))</f>
        <v/>
      </c>
      <c r="H20" s="14">
        <f>IF(E20="",0,E20*G20)</f>
        <v/>
      </c>
      <c r="I20" s="15">
        <f>IF(H20="",0,H20*Inputs!$C$42)</f>
        <v/>
      </c>
      <c r="J20" s="14">
        <f>IF(E20="",1,1 + (Inputs!$C$95-1)*IF((1-Inputs!$C$94)=0,0,(1-G20)/(1-Inputs!$C$94)))</f>
        <v/>
      </c>
      <c r="K20" s="12">
        <f>IF(I20=0,"",B20/I20)</f>
        <v/>
      </c>
      <c r="L20" s="15">
        <f>IF(F20="",0,F20)</f>
        <v/>
      </c>
      <c r="M20" s="15">
        <f>IF(A20&lt;=1,0,L19)</f>
        <v/>
      </c>
      <c r="N20" s="15">
        <f>IF(A20&lt;=1,0,M19)</f>
        <v/>
      </c>
      <c r="O20" s="15">
        <f>IF(A20&lt;=1,0,N19)</f>
        <v/>
      </c>
      <c r="P20" s="15">
        <f>IF(A20&lt;=1,0,O19)</f>
        <v/>
      </c>
      <c r="Q20" s="15">
        <f>IF(A20&lt;=1,0,P19)</f>
        <v/>
      </c>
      <c r="R20" s="15">
        <f>IF(A20&lt;=1,0,Q19)</f>
        <v/>
      </c>
      <c r="S20" s="15">
        <f>IF(A20&lt;=1,0,R19)</f>
        <v/>
      </c>
      <c r="T20" s="15">
        <f>IF(A20&lt;=1,0,S19)</f>
        <v/>
      </c>
      <c r="U20" s="15">
        <f>IF(A20&lt;=1,0,T19)</f>
        <v/>
      </c>
      <c r="V20" s="15">
        <f>IF(A20&lt;=1,0,U19)</f>
        <v/>
      </c>
      <c r="W20" s="15">
        <f>IF(A20&lt;=1,0,V19)</f>
        <v/>
      </c>
      <c r="X20" s="15">
        <f>IF(A20&lt;=1,0,W19)</f>
        <v/>
      </c>
      <c r="Y20" s="15">
        <f>IF(A20&lt;=1,0,X19)</f>
        <v/>
      </c>
      <c r="Z20" s="15">
        <f>IF(A20&lt;=1,0,Y19)</f>
        <v/>
      </c>
      <c r="AA20" s="15">
        <f>IF(A20&lt;=1,0,Z19)</f>
        <v/>
      </c>
    </row>
    <row r="21">
      <c r="A21" s="55" t="n">
        <v>15</v>
      </c>
      <c r="B21" s="15">
        <f>IF(A21&gt;Inputs!$C$62,"",INDEX(Trajectory!$G$23:$G$2000,A21))</f>
        <v/>
      </c>
      <c r="C21" s="15">
        <f>IF(B21="","",IF(A21&lt;=Inputs!$C$75,INDEX(Trajectory!$G$23:$G$2000,1),INDEX(Trajectory!$G$23:$G$2000,MAX(1,A21-Inputs!$C$75))))</f>
        <v/>
      </c>
      <c r="D21" s="15">
        <f>IF(C21="","",MAX(Inputs!$C$76,CEILING(C21/(Inputs!$C$42*Inputs!$C$92),1)))</f>
        <v/>
      </c>
      <c r="E21" s="15">
        <f>IF(D21="","",MAX(E20,D21))</f>
        <v/>
      </c>
      <c r="F21" s="15">
        <f>E21-E20</f>
        <v/>
      </c>
      <c r="G21" s="12">
        <f>IF(E21="",1,IF(E21=0,1,(E21-SUM(L21:AA21)+SUMPRODUCT(L21:AA21,$N$5:$N$20))/E21))</f>
        <v/>
      </c>
      <c r="H21" s="14">
        <f>IF(E21="",0,E21*G21)</f>
        <v/>
      </c>
      <c r="I21" s="15">
        <f>IF(H21="",0,H21*Inputs!$C$42)</f>
        <v/>
      </c>
      <c r="J21" s="14">
        <f>IF(E21="",1,1 + (Inputs!$C$95-1)*IF((1-Inputs!$C$94)=0,0,(1-G21)/(1-Inputs!$C$94)))</f>
        <v/>
      </c>
      <c r="K21" s="12">
        <f>IF(I21=0,"",B21/I21)</f>
        <v/>
      </c>
      <c r="L21" s="15">
        <f>IF(F21="",0,F21)</f>
        <v/>
      </c>
      <c r="M21" s="15">
        <f>IF(A21&lt;=1,0,L20)</f>
        <v/>
      </c>
      <c r="N21" s="15">
        <f>IF(A21&lt;=1,0,M20)</f>
        <v/>
      </c>
      <c r="O21" s="15">
        <f>IF(A21&lt;=1,0,N20)</f>
        <v/>
      </c>
      <c r="P21" s="15">
        <f>IF(A21&lt;=1,0,O20)</f>
        <v/>
      </c>
      <c r="Q21" s="15">
        <f>IF(A21&lt;=1,0,P20)</f>
        <v/>
      </c>
      <c r="R21" s="15">
        <f>IF(A21&lt;=1,0,Q20)</f>
        <v/>
      </c>
      <c r="S21" s="15">
        <f>IF(A21&lt;=1,0,R20)</f>
        <v/>
      </c>
      <c r="T21" s="15">
        <f>IF(A21&lt;=1,0,S20)</f>
        <v/>
      </c>
      <c r="U21" s="15">
        <f>IF(A21&lt;=1,0,T20)</f>
        <v/>
      </c>
      <c r="V21" s="15">
        <f>IF(A21&lt;=1,0,U20)</f>
        <v/>
      </c>
      <c r="W21" s="15">
        <f>IF(A21&lt;=1,0,V20)</f>
        <v/>
      </c>
      <c r="X21" s="15">
        <f>IF(A21&lt;=1,0,W20)</f>
        <v/>
      </c>
      <c r="Y21" s="15">
        <f>IF(A21&lt;=1,0,X20)</f>
        <v/>
      </c>
      <c r="Z21" s="15">
        <f>IF(A21&lt;=1,0,Y20)</f>
        <v/>
      </c>
      <c r="AA21" s="15">
        <f>IF(A21&lt;=1,0,Z20)</f>
        <v/>
      </c>
    </row>
    <row r="22">
      <c r="A22" s="55" t="n">
        <v>16</v>
      </c>
      <c r="B22" s="15">
        <f>IF(A22&gt;Inputs!$C$62,"",INDEX(Trajectory!$G$23:$G$2000,A22))</f>
        <v/>
      </c>
      <c r="C22" s="15">
        <f>IF(B22="","",IF(A22&lt;=Inputs!$C$75,INDEX(Trajectory!$G$23:$G$2000,1),INDEX(Trajectory!$G$23:$G$2000,MAX(1,A22-Inputs!$C$75))))</f>
        <v/>
      </c>
      <c r="D22" s="15">
        <f>IF(C22="","",MAX(Inputs!$C$76,CEILING(C22/(Inputs!$C$42*Inputs!$C$92),1)))</f>
        <v/>
      </c>
      <c r="E22" s="15">
        <f>IF(D22="","",MAX(E21,D22))</f>
        <v/>
      </c>
      <c r="F22" s="15">
        <f>E22-E21</f>
        <v/>
      </c>
      <c r="G22" s="12">
        <f>IF(E22="",1,IF(E22=0,1,(E22-SUM(L22:AA22)+SUMPRODUCT(L22:AA22,$N$5:$N$20))/E22))</f>
        <v/>
      </c>
      <c r="H22" s="14">
        <f>IF(E22="",0,E22*G22)</f>
        <v/>
      </c>
      <c r="I22" s="15">
        <f>IF(H22="",0,H22*Inputs!$C$42)</f>
        <v/>
      </c>
      <c r="J22" s="14">
        <f>IF(E22="",1,1 + (Inputs!$C$95-1)*IF((1-Inputs!$C$94)=0,0,(1-G22)/(1-Inputs!$C$94)))</f>
        <v/>
      </c>
      <c r="K22" s="12">
        <f>IF(I22=0,"",B22/I22)</f>
        <v/>
      </c>
      <c r="L22" s="15">
        <f>IF(F22="",0,F22)</f>
        <v/>
      </c>
      <c r="M22" s="15">
        <f>IF(A22&lt;=1,0,L21)</f>
        <v/>
      </c>
      <c r="N22" s="15">
        <f>IF(A22&lt;=1,0,M21)</f>
        <v/>
      </c>
      <c r="O22" s="15">
        <f>IF(A22&lt;=1,0,N21)</f>
        <v/>
      </c>
      <c r="P22" s="15">
        <f>IF(A22&lt;=1,0,O21)</f>
        <v/>
      </c>
      <c r="Q22" s="15">
        <f>IF(A22&lt;=1,0,P21)</f>
        <v/>
      </c>
      <c r="R22" s="15">
        <f>IF(A22&lt;=1,0,Q21)</f>
        <v/>
      </c>
      <c r="S22" s="15">
        <f>IF(A22&lt;=1,0,R21)</f>
        <v/>
      </c>
      <c r="T22" s="15">
        <f>IF(A22&lt;=1,0,S21)</f>
        <v/>
      </c>
      <c r="U22" s="15">
        <f>IF(A22&lt;=1,0,T21)</f>
        <v/>
      </c>
      <c r="V22" s="15">
        <f>IF(A22&lt;=1,0,U21)</f>
        <v/>
      </c>
      <c r="W22" s="15">
        <f>IF(A22&lt;=1,0,V21)</f>
        <v/>
      </c>
      <c r="X22" s="15">
        <f>IF(A22&lt;=1,0,W21)</f>
        <v/>
      </c>
      <c r="Y22" s="15">
        <f>IF(A22&lt;=1,0,X21)</f>
        <v/>
      </c>
      <c r="Z22" s="15">
        <f>IF(A22&lt;=1,0,Y21)</f>
        <v/>
      </c>
      <c r="AA22" s="15">
        <f>IF(A22&lt;=1,0,Z21)</f>
        <v/>
      </c>
    </row>
    <row r="23">
      <c r="A23" s="55" t="n">
        <v>17</v>
      </c>
      <c r="B23" s="15">
        <f>IF(A23&gt;Inputs!$C$62,"",INDEX(Trajectory!$G$23:$G$2000,A23))</f>
        <v/>
      </c>
      <c r="C23" s="15">
        <f>IF(B23="","",IF(A23&lt;=Inputs!$C$75,INDEX(Trajectory!$G$23:$G$2000,1),INDEX(Trajectory!$G$23:$G$2000,MAX(1,A23-Inputs!$C$75))))</f>
        <v/>
      </c>
      <c r="D23" s="15">
        <f>IF(C23="","",MAX(Inputs!$C$76,CEILING(C23/(Inputs!$C$42*Inputs!$C$92),1)))</f>
        <v/>
      </c>
      <c r="E23" s="15">
        <f>IF(D23="","",MAX(E22,D23))</f>
        <v/>
      </c>
      <c r="F23" s="15">
        <f>E23-E22</f>
        <v/>
      </c>
      <c r="G23" s="12">
        <f>IF(E23="",1,IF(E23=0,1,(E23-SUM(L23:AA23)+SUMPRODUCT(L23:AA23,$N$5:$N$20))/E23))</f>
        <v/>
      </c>
      <c r="H23" s="14">
        <f>IF(E23="",0,E23*G23)</f>
        <v/>
      </c>
      <c r="I23" s="15">
        <f>IF(H23="",0,H23*Inputs!$C$42)</f>
        <v/>
      </c>
      <c r="J23" s="14">
        <f>IF(E23="",1,1 + (Inputs!$C$95-1)*IF((1-Inputs!$C$94)=0,0,(1-G23)/(1-Inputs!$C$94)))</f>
        <v/>
      </c>
      <c r="K23" s="12">
        <f>IF(I23=0,"",B23/I23)</f>
        <v/>
      </c>
      <c r="L23" s="15">
        <f>IF(F23="",0,F23)</f>
        <v/>
      </c>
      <c r="M23" s="15">
        <f>IF(A23&lt;=1,0,L22)</f>
        <v/>
      </c>
      <c r="N23" s="15">
        <f>IF(A23&lt;=1,0,M22)</f>
        <v/>
      </c>
      <c r="O23" s="15">
        <f>IF(A23&lt;=1,0,N22)</f>
        <v/>
      </c>
      <c r="P23" s="15">
        <f>IF(A23&lt;=1,0,O22)</f>
        <v/>
      </c>
      <c r="Q23" s="15">
        <f>IF(A23&lt;=1,0,P22)</f>
        <v/>
      </c>
      <c r="R23" s="15">
        <f>IF(A23&lt;=1,0,Q22)</f>
        <v/>
      </c>
      <c r="S23" s="15">
        <f>IF(A23&lt;=1,0,R22)</f>
        <v/>
      </c>
      <c r="T23" s="15">
        <f>IF(A23&lt;=1,0,S22)</f>
        <v/>
      </c>
      <c r="U23" s="15">
        <f>IF(A23&lt;=1,0,T22)</f>
        <v/>
      </c>
      <c r="V23" s="15">
        <f>IF(A23&lt;=1,0,U22)</f>
        <v/>
      </c>
      <c r="W23" s="15">
        <f>IF(A23&lt;=1,0,V22)</f>
        <v/>
      </c>
      <c r="X23" s="15">
        <f>IF(A23&lt;=1,0,W22)</f>
        <v/>
      </c>
      <c r="Y23" s="15">
        <f>IF(A23&lt;=1,0,X22)</f>
        <v/>
      </c>
      <c r="Z23" s="15">
        <f>IF(A23&lt;=1,0,Y22)</f>
        <v/>
      </c>
      <c r="AA23" s="15">
        <f>IF(A23&lt;=1,0,Z22)</f>
        <v/>
      </c>
    </row>
    <row r="24">
      <c r="A24" s="55" t="n">
        <v>18</v>
      </c>
      <c r="B24" s="15">
        <f>IF(A24&gt;Inputs!$C$62,"",INDEX(Trajectory!$G$23:$G$2000,A24))</f>
        <v/>
      </c>
      <c r="C24" s="15">
        <f>IF(B24="","",IF(A24&lt;=Inputs!$C$75,INDEX(Trajectory!$G$23:$G$2000,1),INDEX(Trajectory!$G$23:$G$2000,MAX(1,A24-Inputs!$C$75))))</f>
        <v/>
      </c>
      <c r="D24" s="15">
        <f>IF(C24="","",MAX(Inputs!$C$76,CEILING(C24/(Inputs!$C$42*Inputs!$C$92),1)))</f>
        <v/>
      </c>
      <c r="E24" s="15">
        <f>IF(D24="","",MAX(E23,D24))</f>
        <v/>
      </c>
      <c r="F24" s="15">
        <f>E24-E23</f>
        <v/>
      </c>
      <c r="G24" s="12">
        <f>IF(E24="",1,IF(E24=0,1,(E24-SUM(L24:AA24)+SUMPRODUCT(L24:AA24,$N$5:$N$20))/E24))</f>
        <v/>
      </c>
      <c r="H24" s="14">
        <f>IF(E24="",0,E24*G24)</f>
        <v/>
      </c>
      <c r="I24" s="15">
        <f>IF(H24="",0,H24*Inputs!$C$42)</f>
        <v/>
      </c>
      <c r="J24" s="14">
        <f>IF(E24="",1,1 + (Inputs!$C$95-1)*IF((1-Inputs!$C$94)=0,0,(1-G24)/(1-Inputs!$C$94)))</f>
        <v/>
      </c>
      <c r="K24" s="12">
        <f>IF(I24=0,"",B24/I24)</f>
        <v/>
      </c>
      <c r="L24" s="15">
        <f>IF(F24="",0,F24)</f>
        <v/>
      </c>
      <c r="M24" s="15">
        <f>IF(A24&lt;=1,0,L23)</f>
        <v/>
      </c>
      <c r="N24" s="15">
        <f>IF(A24&lt;=1,0,M23)</f>
        <v/>
      </c>
      <c r="O24" s="15">
        <f>IF(A24&lt;=1,0,N23)</f>
        <v/>
      </c>
      <c r="P24" s="15">
        <f>IF(A24&lt;=1,0,O23)</f>
        <v/>
      </c>
      <c r="Q24" s="15">
        <f>IF(A24&lt;=1,0,P23)</f>
        <v/>
      </c>
      <c r="R24" s="15">
        <f>IF(A24&lt;=1,0,Q23)</f>
        <v/>
      </c>
      <c r="S24" s="15">
        <f>IF(A24&lt;=1,0,R23)</f>
        <v/>
      </c>
      <c r="T24" s="15">
        <f>IF(A24&lt;=1,0,S23)</f>
        <v/>
      </c>
      <c r="U24" s="15">
        <f>IF(A24&lt;=1,0,T23)</f>
        <v/>
      </c>
      <c r="V24" s="15">
        <f>IF(A24&lt;=1,0,U23)</f>
        <v/>
      </c>
      <c r="W24" s="15">
        <f>IF(A24&lt;=1,0,V23)</f>
        <v/>
      </c>
      <c r="X24" s="15">
        <f>IF(A24&lt;=1,0,W23)</f>
        <v/>
      </c>
      <c r="Y24" s="15">
        <f>IF(A24&lt;=1,0,X23)</f>
        <v/>
      </c>
      <c r="Z24" s="15">
        <f>IF(A24&lt;=1,0,Y23)</f>
        <v/>
      </c>
      <c r="AA24" s="15">
        <f>IF(A24&lt;=1,0,Z23)</f>
        <v/>
      </c>
    </row>
    <row r="25">
      <c r="A25" s="55" t="n">
        <v>19</v>
      </c>
      <c r="B25" s="15">
        <f>IF(A25&gt;Inputs!$C$62,"",INDEX(Trajectory!$G$23:$G$2000,A25))</f>
        <v/>
      </c>
      <c r="C25" s="15">
        <f>IF(B25="","",IF(A25&lt;=Inputs!$C$75,INDEX(Trajectory!$G$23:$G$2000,1),INDEX(Trajectory!$G$23:$G$2000,MAX(1,A25-Inputs!$C$75))))</f>
        <v/>
      </c>
      <c r="D25" s="15">
        <f>IF(C25="","",MAX(Inputs!$C$76,CEILING(C25/(Inputs!$C$42*Inputs!$C$92),1)))</f>
        <v/>
      </c>
      <c r="E25" s="15">
        <f>IF(D25="","",MAX(E24,D25))</f>
        <v/>
      </c>
      <c r="F25" s="15">
        <f>E25-E24</f>
        <v/>
      </c>
      <c r="G25" s="12">
        <f>IF(E25="",1,IF(E25=0,1,(E25-SUM(L25:AA25)+SUMPRODUCT(L25:AA25,$N$5:$N$20))/E25))</f>
        <v/>
      </c>
      <c r="H25" s="14">
        <f>IF(E25="",0,E25*G25)</f>
        <v/>
      </c>
      <c r="I25" s="15">
        <f>IF(H25="",0,H25*Inputs!$C$42)</f>
        <v/>
      </c>
      <c r="J25" s="14">
        <f>IF(E25="",1,1 + (Inputs!$C$95-1)*IF((1-Inputs!$C$94)=0,0,(1-G25)/(1-Inputs!$C$94)))</f>
        <v/>
      </c>
      <c r="K25" s="12">
        <f>IF(I25=0,"",B25/I25)</f>
        <v/>
      </c>
      <c r="L25" s="15">
        <f>IF(F25="",0,F25)</f>
        <v/>
      </c>
      <c r="M25" s="15">
        <f>IF(A25&lt;=1,0,L24)</f>
        <v/>
      </c>
      <c r="N25" s="15">
        <f>IF(A25&lt;=1,0,M24)</f>
        <v/>
      </c>
      <c r="O25" s="15">
        <f>IF(A25&lt;=1,0,N24)</f>
        <v/>
      </c>
      <c r="P25" s="15">
        <f>IF(A25&lt;=1,0,O24)</f>
        <v/>
      </c>
      <c r="Q25" s="15">
        <f>IF(A25&lt;=1,0,P24)</f>
        <v/>
      </c>
      <c r="R25" s="15">
        <f>IF(A25&lt;=1,0,Q24)</f>
        <v/>
      </c>
      <c r="S25" s="15">
        <f>IF(A25&lt;=1,0,R24)</f>
        <v/>
      </c>
      <c r="T25" s="15">
        <f>IF(A25&lt;=1,0,S24)</f>
        <v/>
      </c>
      <c r="U25" s="15">
        <f>IF(A25&lt;=1,0,T24)</f>
        <v/>
      </c>
      <c r="V25" s="15">
        <f>IF(A25&lt;=1,0,U24)</f>
        <v/>
      </c>
      <c r="W25" s="15">
        <f>IF(A25&lt;=1,0,V24)</f>
        <v/>
      </c>
      <c r="X25" s="15">
        <f>IF(A25&lt;=1,0,W24)</f>
        <v/>
      </c>
      <c r="Y25" s="15">
        <f>IF(A25&lt;=1,0,X24)</f>
        <v/>
      </c>
      <c r="Z25" s="15">
        <f>IF(A25&lt;=1,0,Y24)</f>
        <v/>
      </c>
      <c r="AA25" s="15">
        <f>IF(A25&lt;=1,0,Z24)</f>
        <v/>
      </c>
    </row>
    <row r="26">
      <c r="A26" s="55" t="n">
        <v>20</v>
      </c>
      <c r="B26" s="15">
        <f>IF(A26&gt;Inputs!$C$62,"",INDEX(Trajectory!$G$23:$G$2000,A26))</f>
        <v/>
      </c>
      <c r="C26" s="15">
        <f>IF(B26="","",IF(A26&lt;=Inputs!$C$75,INDEX(Trajectory!$G$23:$G$2000,1),INDEX(Trajectory!$G$23:$G$2000,MAX(1,A26-Inputs!$C$75))))</f>
        <v/>
      </c>
      <c r="D26" s="15">
        <f>IF(C26="","",MAX(Inputs!$C$76,CEILING(C26/(Inputs!$C$42*Inputs!$C$92),1)))</f>
        <v/>
      </c>
      <c r="E26" s="15">
        <f>IF(D26="","",MAX(E25,D26))</f>
        <v/>
      </c>
      <c r="F26" s="15">
        <f>E26-E25</f>
        <v/>
      </c>
      <c r="G26" s="12">
        <f>IF(E26="",1,IF(E26=0,1,(E26-SUM(L26:AA26)+SUMPRODUCT(L26:AA26,$N$5:$N$20))/E26))</f>
        <v/>
      </c>
      <c r="H26" s="14">
        <f>IF(E26="",0,E26*G26)</f>
        <v/>
      </c>
      <c r="I26" s="15">
        <f>IF(H26="",0,H26*Inputs!$C$42)</f>
        <v/>
      </c>
      <c r="J26" s="14">
        <f>IF(E26="",1,1 + (Inputs!$C$95-1)*IF((1-Inputs!$C$94)=0,0,(1-G26)/(1-Inputs!$C$94)))</f>
        <v/>
      </c>
      <c r="K26" s="12">
        <f>IF(I26=0,"",B26/I26)</f>
        <v/>
      </c>
      <c r="L26" s="15">
        <f>IF(F26="",0,F26)</f>
        <v/>
      </c>
      <c r="M26" s="15">
        <f>IF(A26&lt;=1,0,L25)</f>
        <v/>
      </c>
      <c r="N26" s="15">
        <f>IF(A26&lt;=1,0,M25)</f>
        <v/>
      </c>
      <c r="O26" s="15">
        <f>IF(A26&lt;=1,0,N25)</f>
        <v/>
      </c>
      <c r="P26" s="15">
        <f>IF(A26&lt;=1,0,O25)</f>
        <v/>
      </c>
      <c r="Q26" s="15">
        <f>IF(A26&lt;=1,0,P25)</f>
        <v/>
      </c>
      <c r="R26" s="15">
        <f>IF(A26&lt;=1,0,Q25)</f>
        <v/>
      </c>
      <c r="S26" s="15">
        <f>IF(A26&lt;=1,0,R25)</f>
        <v/>
      </c>
      <c r="T26" s="15">
        <f>IF(A26&lt;=1,0,S25)</f>
        <v/>
      </c>
      <c r="U26" s="15">
        <f>IF(A26&lt;=1,0,T25)</f>
        <v/>
      </c>
      <c r="V26" s="15">
        <f>IF(A26&lt;=1,0,U25)</f>
        <v/>
      </c>
      <c r="W26" s="15">
        <f>IF(A26&lt;=1,0,V25)</f>
        <v/>
      </c>
      <c r="X26" s="15">
        <f>IF(A26&lt;=1,0,W25)</f>
        <v/>
      </c>
      <c r="Y26" s="15">
        <f>IF(A26&lt;=1,0,X25)</f>
        <v/>
      </c>
      <c r="Z26" s="15">
        <f>IF(A26&lt;=1,0,Y25)</f>
        <v/>
      </c>
      <c r="AA26" s="15">
        <f>IF(A26&lt;=1,0,Z25)</f>
        <v/>
      </c>
    </row>
    <row r="27">
      <c r="A27" s="55" t="n">
        <v>21</v>
      </c>
      <c r="B27" s="15">
        <f>IF(A27&gt;Inputs!$C$62,"",INDEX(Trajectory!$G$23:$G$2000,A27))</f>
        <v/>
      </c>
      <c r="C27" s="15">
        <f>IF(B27="","",IF(A27&lt;=Inputs!$C$75,INDEX(Trajectory!$G$23:$G$2000,1),INDEX(Trajectory!$G$23:$G$2000,MAX(1,A27-Inputs!$C$75))))</f>
        <v/>
      </c>
      <c r="D27" s="15">
        <f>IF(C27="","",MAX(Inputs!$C$76,CEILING(C27/(Inputs!$C$42*Inputs!$C$92),1)))</f>
        <v/>
      </c>
      <c r="E27" s="15">
        <f>IF(D27="","",MAX(E26,D27))</f>
        <v/>
      </c>
      <c r="F27" s="15">
        <f>E27-E26</f>
        <v/>
      </c>
      <c r="G27" s="12">
        <f>IF(E27="",1,IF(E27=0,1,(E27-SUM(L27:AA27)+SUMPRODUCT(L27:AA27,$N$5:$N$20))/E27))</f>
        <v/>
      </c>
      <c r="H27" s="14">
        <f>IF(E27="",0,E27*G27)</f>
        <v/>
      </c>
      <c r="I27" s="15">
        <f>IF(H27="",0,H27*Inputs!$C$42)</f>
        <v/>
      </c>
      <c r="J27" s="14">
        <f>IF(E27="",1,1 + (Inputs!$C$95-1)*IF((1-Inputs!$C$94)=0,0,(1-G27)/(1-Inputs!$C$94)))</f>
        <v/>
      </c>
      <c r="K27" s="12">
        <f>IF(I27=0,"",B27/I27)</f>
        <v/>
      </c>
      <c r="L27" s="15">
        <f>IF(F27="",0,F27)</f>
        <v/>
      </c>
      <c r="M27" s="15">
        <f>IF(A27&lt;=1,0,L26)</f>
        <v/>
      </c>
      <c r="N27" s="15">
        <f>IF(A27&lt;=1,0,M26)</f>
        <v/>
      </c>
      <c r="O27" s="15">
        <f>IF(A27&lt;=1,0,N26)</f>
        <v/>
      </c>
      <c r="P27" s="15">
        <f>IF(A27&lt;=1,0,O26)</f>
        <v/>
      </c>
      <c r="Q27" s="15">
        <f>IF(A27&lt;=1,0,P26)</f>
        <v/>
      </c>
      <c r="R27" s="15">
        <f>IF(A27&lt;=1,0,Q26)</f>
        <v/>
      </c>
      <c r="S27" s="15">
        <f>IF(A27&lt;=1,0,R26)</f>
        <v/>
      </c>
      <c r="T27" s="15">
        <f>IF(A27&lt;=1,0,S26)</f>
        <v/>
      </c>
      <c r="U27" s="15">
        <f>IF(A27&lt;=1,0,T26)</f>
        <v/>
      </c>
      <c r="V27" s="15">
        <f>IF(A27&lt;=1,0,U26)</f>
        <v/>
      </c>
      <c r="W27" s="15">
        <f>IF(A27&lt;=1,0,V26)</f>
        <v/>
      </c>
      <c r="X27" s="15">
        <f>IF(A27&lt;=1,0,W26)</f>
        <v/>
      </c>
      <c r="Y27" s="15">
        <f>IF(A27&lt;=1,0,X26)</f>
        <v/>
      </c>
      <c r="Z27" s="15">
        <f>IF(A27&lt;=1,0,Y26)</f>
        <v/>
      </c>
      <c r="AA27" s="15">
        <f>IF(A27&lt;=1,0,Z26)</f>
        <v/>
      </c>
    </row>
    <row r="28">
      <c r="A28" s="55" t="n">
        <v>22</v>
      </c>
      <c r="B28" s="15">
        <f>IF(A28&gt;Inputs!$C$62,"",INDEX(Trajectory!$G$23:$G$2000,A28))</f>
        <v/>
      </c>
      <c r="C28" s="15">
        <f>IF(B28="","",IF(A28&lt;=Inputs!$C$75,INDEX(Trajectory!$G$23:$G$2000,1),INDEX(Trajectory!$G$23:$G$2000,MAX(1,A28-Inputs!$C$75))))</f>
        <v/>
      </c>
      <c r="D28" s="15">
        <f>IF(C28="","",MAX(Inputs!$C$76,CEILING(C28/(Inputs!$C$42*Inputs!$C$92),1)))</f>
        <v/>
      </c>
      <c r="E28" s="15">
        <f>IF(D28="","",MAX(E27,D28))</f>
        <v/>
      </c>
      <c r="F28" s="15">
        <f>E28-E27</f>
        <v/>
      </c>
      <c r="G28" s="12">
        <f>IF(E28="",1,IF(E28=0,1,(E28-SUM(L28:AA28)+SUMPRODUCT(L28:AA28,$N$5:$N$20))/E28))</f>
        <v/>
      </c>
      <c r="H28" s="14">
        <f>IF(E28="",0,E28*G28)</f>
        <v/>
      </c>
      <c r="I28" s="15">
        <f>IF(H28="",0,H28*Inputs!$C$42)</f>
        <v/>
      </c>
      <c r="J28" s="14">
        <f>IF(E28="",1,1 + (Inputs!$C$95-1)*IF((1-Inputs!$C$94)=0,0,(1-G28)/(1-Inputs!$C$94)))</f>
        <v/>
      </c>
      <c r="K28" s="12">
        <f>IF(I28=0,"",B28/I28)</f>
        <v/>
      </c>
      <c r="L28" s="15">
        <f>IF(F28="",0,F28)</f>
        <v/>
      </c>
      <c r="M28" s="15">
        <f>IF(A28&lt;=1,0,L27)</f>
        <v/>
      </c>
      <c r="N28" s="15">
        <f>IF(A28&lt;=1,0,M27)</f>
        <v/>
      </c>
      <c r="O28" s="15">
        <f>IF(A28&lt;=1,0,N27)</f>
        <v/>
      </c>
      <c r="P28" s="15">
        <f>IF(A28&lt;=1,0,O27)</f>
        <v/>
      </c>
      <c r="Q28" s="15">
        <f>IF(A28&lt;=1,0,P27)</f>
        <v/>
      </c>
      <c r="R28" s="15">
        <f>IF(A28&lt;=1,0,Q27)</f>
        <v/>
      </c>
      <c r="S28" s="15">
        <f>IF(A28&lt;=1,0,R27)</f>
        <v/>
      </c>
      <c r="T28" s="15">
        <f>IF(A28&lt;=1,0,S27)</f>
        <v/>
      </c>
      <c r="U28" s="15">
        <f>IF(A28&lt;=1,0,T27)</f>
        <v/>
      </c>
      <c r="V28" s="15">
        <f>IF(A28&lt;=1,0,U27)</f>
        <v/>
      </c>
      <c r="W28" s="15">
        <f>IF(A28&lt;=1,0,V27)</f>
        <v/>
      </c>
      <c r="X28" s="15">
        <f>IF(A28&lt;=1,0,W27)</f>
        <v/>
      </c>
      <c r="Y28" s="15">
        <f>IF(A28&lt;=1,0,X27)</f>
        <v/>
      </c>
      <c r="Z28" s="15">
        <f>IF(A28&lt;=1,0,Y27)</f>
        <v/>
      </c>
      <c r="AA28" s="15">
        <f>IF(A28&lt;=1,0,Z27)</f>
        <v/>
      </c>
    </row>
    <row r="29">
      <c r="A29" s="55" t="n">
        <v>23</v>
      </c>
      <c r="B29" s="15">
        <f>IF(A29&gt;Inputs!$C$62,"",INDEX(Trajectory!$G$23:$G$2000,A29))</f>
        <v/>
      </c>
      <c r="C29" s="15">
        <f>IF(B29="","",IF(A29&lt;=Inputs!$C$75,INDEX(Trajectory!$G$23:$G$2000,1),INDEX(Trajectory!$G$23:$G$2000,MAX(1,A29-Inputs!$C$75))))</f>
        <v/>
      </c>
      <c r="D29" s="15">
        <f>IF(C29="","",MAX(Inputs!$C$76,CEILING(C29/(Inputs!$C$42*Inputs!$C$92),1)))</f>
        <v/>
      </c>
      <c r="E29" s="15">
        <f>IF(D29="","",MAX(E28,D29))</f>
        <v/>
      </c>
      <c r="F29" s="15">
        <f>E29-E28</f>
        <v/>
      </c>
      <c r="G29" s="12">
        <f>IF(E29="",1,IF(E29=0,1,(E29-SUM(L29:AA29)+SUMPRODUCT(L29:AA29,$N$5:$N$20))/E29))</f>
        <v/>
      </c>
      <c r="H29" s="14">
        <f>IF(E29="",0,E29*G29)</f>
        <v/>
      </c>
      <c r="I29" s="15">
        <f>IF(H29="",0,H29*Inputs!$C$42)</f>
        <v/>
      </c>
      <c r="J29" s="14">
        <f>IF(E29="",1,1 + (Inputs!$C$95-1)*IF((1-Inputs!$C$94)=0,0,(1-G29)/(1-Inputs!$C$94)))</f>
        <v/>
      </c>
      <c r="K29" s="12">
        <f>IF(I29=0,"",B29/I29)</f>
        <v/>
      </c>
      <c r="L29" s="15">
        <f>IF(F29="",0,F29)</f>
        <v/>
      </c>
      <c r="M29" s="15">
        <f>IF(A29&lt;=1,0,L28)</f>
        <v/>
      </c>
      <c r="N29" s="15">
        <f>IF(A29&lt;=1,0,M28)</f>
        <v/>
      </c>
      <c r="O29" s="15">
        <f>IF(A29&lt;=1,0,N28)</f>
        <v/>
      </c>
      <c r="P29" s="15">
        <f>IF(A29&lt;=1,0,O28)</f>
        <v/>
      </c>
      <c r="Q29" s="15">
        <f>IF(A29&lt;=1,0,P28)</f>
        <v/>
      </c>
      <c r="R29" s="15">
        <f>IF(A29&lt;=1,0,Q28)</f>
        <v/>
      </c>
      <c r="S29" s="15">
        <f>IF(A29&lt;=1,0,R28)</f>
        <v/>
      </c>
      <c r="T29" s="15">
        <f>IF(A29&lt;=1,0,S28)</f>
        <v/>
      </c>
      <c r="U29" s="15">
        <f>IF(A29&lt;=1,0,T28)</f>
        <v/>
      </c>
      <c r="V29" s="15">
        <f>IF(A29&lt;=1,0,U28)</f>
        <v/>
      </c>
      <c r="W29" s="15">
        <f>IF(A29&lt;=1,0,V28)</f>
        <v/>
      </c>
      <c r="X29" s="15">
        <f>IF(A29&lt;=1,0,W28)</f>
        <v/>
      </c>
      <c r="Y29" s="15">
        <f>IF(A29&lt;=1,0,X28)</f>
        <v/>
      </c>
      <c r="Z29" s="15">
        <f>IF(A29&lt;=1,0,Y28)</f>
        <v/>
      </c>
      <c r="AA29" s="15">
        <f>IF(A29&lt;=1,0,Z28)</f>
        <v/>
      </c>
    </row>
    <row r="30">
      <c r="A30" s="55" t="n">
        <v>24</v>
      </c>
      <c r="B30" s="15">
        <f>IF(A30&gt;Inputs!$C$62,"",INDEX(Trajectory!$G$23:$G$2000,A30))</f>
        <v/>
      </c>
      <c r="C30" s="15">
        <f>IF(B30="","",IF(A30&lt;=Inputs!$C$75,INDEX(Trajectory!$G$23:$G$2000,1),INDEX(Trajectory!$G$23:$G$2000,MAX(1,A30-Inputs!$C$75))))</f>
        <v/>
      </c>
      <c r="D30" s="15">
        <f>IF(C30="","",MAX(Inputs!$C$76,CEILING(C30/(Inputs!$C$42*Inputs!$C$92),1)))</f>
        <v/>
      </c>
      <c r="E30" s="15">
        <f>IF(D30="","",MAX(E29,D30))</f>
        <v/>
      </c>
      <c r="F30" s="15">
        <f>E30-E29</f>
        <v/>
      </c>
      <c r="G30" s="12">
        <f>IF(E30="",1,IF(E30=0,1,(E30-SUM(L30:AA30)+SUMPRODUCT(L30:AA30,$N$5:$N$20))/E30))</f>
        <v/>
      </c>
      <c r="H30" s="14">
        <f>IF(E30="",0,E30*G30)</f>
        <v/>
      </c>
      <c r="I30" s="15">
        <f>IF(H30="",0,H30*Inputs!$C$42)</f>
        <v/>
      </c>
      <c r="J30" s="14">
        <f>IF(E30="",1,1 + (Inputs!$C$95-1)*IF((1-Inputs!$C$94)=0,0,(1-G30)/(1-Inputs!$C$94)))</f>
        <v/>
      </c>
      <c r="K30" s="12">
        <f>IF(I30=0,"",B30/I30)</f>
        <v/>
      </c>
      <c r="L30" s="15">
        <f>IF(F30="",0,F30)</f>
        <v/>
      </c>
      <c r="M30" s="15">
        <f>IF(A30&lt;=1,0,L29)</f>
        <v/>
      </c>
      <c r="N30" s="15">
        <f>IF(A30&lt;=1,0,M29)</f>
        <v/>
      </c>
      <c r="O30" s="15">
        <f>IF(A30&lt;=1,0,N29)</f>
        <v/>
      </c>
      <c r="P30" s="15">
        <f>IF(A30&lt;=1,0,O29)</f>
        <v/>
      </c>
      <c r="Q30" s="15">
        <f>IF(A30&lt;=1,0,P29)</f>
        <v/>
      </c>
      <c r="R30" s="15">
        <f>IF(A30&lt;=1,0,Q29)</f>
        <v/>
      </c>
      <c r="S30" s="15">
        <f>IF(A30&lt;=1,0,R29)</f>
        <v/>
      </c>
      <c r="T30" s="15">
        <f>IF(A30&lt;=1,0,S29)</f>
        <v/>
      </c>
      <c r="U30" s="15">
        <f>IF(A30&lt;=1,0,T29)</f>
        <v/>
      </c>
      <c r="V30" s="15">
        <f>IF(A30&lt;=1,0,U29)</f>
        <v/>
      </c>
      <c r="W30" s="15">
        <f>IF(A30&lt;=1,0,V29)</f>
        <v/>
      </c>
      <c r="X30" s="15">
        <f>IF(A30&lt;=1,0,W29)</f>
        <v/>
      </c>
      <c r="Y30" s="15">
        <f>IF(A30&lt;=1,0,X29)</f>
        <v/>
      </c>
      <c r="Z30" s="15">
        <f>IF(A30&lt;=1,0,Y29)</f>
        <v/>
      </c>
      <c r="AA30" s="15">
        <f>IF(A30&lt;=1,0,Z29)</f>
        <v/>
      </c>
    </row>
    <row r="31">
      <c r="A31" s="55" t="n">
        <v>25</v>
      </c>
      <c r="B31" s="15">
        <f>IF(A31&gt;Inputs!$C$62,"",INDEX(Trajectory!$G$23:$G$2000,A31))</f>
        <v/>
      </c>
      <c r="C31" s="15">
        <f>IF(B31="","",IF(A31&lt;=Inputs!$C$75,INDEX(Trajectory!$G$23:$G$2000,1),INDEX(Trajectory!$G$23:$G$2000,MAX(1,A31-Inputs!$C$75))))</f>
        <v/>
      </c>
      <c r="D31" s="15">
        <f>IF(C31="","",MAX(Inputs!$C$76,CEILING(C31/(Inputs!$C$42*Inputs!$C$92),1)))</f>
        <v/>
      </c>
      <c r="E31" s="15">
        <f>IF(D31="","",MAX(E30,D31))</f>
        <v/>
      </c>
      <c r="F31" s="15">
        <f>E31-E30</f>
        <v/>
      </c>
      <c r="G31" s="12">
        <f>IF(E31="",1,IF(E31=0,1,(E31-SUM(L31:AA31)+SUMPRODUCT(L31:AA31,$N$5:$N$20))/E31))</f>
        <v/>
      </c>
      <c r="H31" s="14">
        <f>IF(E31="",0,E31*G31)</f>
        <v/>
      </c>
      <c r="I31" s="15">
        <f>IF(H31="",0,H31*Inputs!$C$42)</f>
        <v/>
      </c>
      <c r="J31" s="14">
        <f>IF(E31="",1,1 + (Inputs!$C$95-1)*IF((1-Inputs!$C$94)=0,0,(1-G31)/(1-Inputs!$C$94)))</f>
        <v/>
      </c>
      <c r="K31" s="12">
        <f>IF(I31=0,"",B31/I31)</f>
        <v/>
      </c>
      <c r="L31" s="15">
        <f>IF(F31="",0,F31)</f>
        <v/>
      </c>
      <c r="M31" s="15">
        <f>IF(A31&lt;=1,0,L30)</f>
        <v/>
      </c>
      <c r="N31" s="15">
        <f>IF(A31&lt;=1,0,M30)</f>
        <v/>
      </c>
      <c r="O31" s="15">
        <f>IF(A31&lt;=1,0,N30)</f>
        <v/>
      </c>
      <c r="P31" s="15">
        <f>IF(A31&lt;=1,0,O30)</f>
        <v/>
      </c>
      <c r="Q31" s="15">
        <f>IF(A31&lt;=1,0,P30)</f>
        <v/>
      </c>
      <c r="R31" s="15">
        <f>IF(A31&lt;=1,0,Q30)</f>
        <v/>
      </c>
      <c r="S31" s="15">
        <f>IF(A31&lt;=1,0,R30)</f>
        <v/>
      </c>
      <c r="T31" s="15">
        <f>IF(A31&lt;=1,0,S30)</f>
        <v/>
      </c>
      <c r="U31" s="15">
        <f>IF(A31&lt;=1,0,T30)</f>
        <v/>
      </c>
      <c r="V31" s="15">
        <f>IF(A31&lt;=1,0,U30)</f>
        <v/>
      </c>
      <c r="W31" s="15">
        <f>IF(A31&lt;=1,0,V30)</f>
        <v/>
      </c>
      <c r="X31" s="15">
        <f>IF(A31&lt;=1,0,W30)</f>
        <v/>
      </c>
      <c r="Y31" s="15">
        <f>IF(A31&lt;=1,0,X30)</f>
        <v/>
      </c>
      <c r="Z31" s="15">
        <f>IF(A31&lt;=1,0,Y30)</f>
        <v/>
      </c>
      <c r="AA31" s="15">
        <f>IF(A31&lt;=1,0,Z30)</f>
        <v/>
      </c>
    </row>
    <row r="32">
      <c r="A32" s="55" t="n">
        <v>26</v>
      </c>
      <c r="B32" s="15">
        <f>IF(A32&gt;Inputs!$C$62,"",INDEX(Trajectory!$G$23:$G$2000,A32))</f>
        <v/>
      </c>
      <c r="C32" s="15">
        <f>IF(B32="","",IF(A32&lt;=Inputs!$C$75,INDEX(Trajectory!$G$23:$G$2000,1),INDEX(Trajectory!$G$23:$G$2000,MAX(1,A32-Inputs!$C$75))))</f>
        <v/>
      </c>
      <c r="D32" s="15">
        <f>IF(C32="","",MAX(Inputs!$C$76,CEILING(C32/(Inputs!$C$42*Inputs!$C$92),1)))</f>
        <v/>
      </c>
      <c r="E32" s="15">
        <f>IF(D32="","",MAX(E31,D32))</f>
        <v/>
      </c>
      <c r="F32" s="15">
        <f>E32-E31</f>
        <v/>
      </c>
      <c r="G32" s="12">
        <f>IF(E32="",1,IF(E32=0,1,(E32-SUM(L32:AA32)+SUMPRODUCT(L32:AA32,$N$5:$N$20))/E32))</f>
        <v/>
      </c>
      <c r="H32" s="14">
        <f>IF(E32="",0,E32*G32)</f>
        <v/>
      </c>
      <c r="I32" s="15">
        <f>IF(H32="",0,H32*Inputs!$C$42)</f>
        <v/>
      </c>
      <c r="J32" s="14">
        <f>IF(E32="",1,1 + (Inputs!$C$95-1)*IF((1-Inputs!$C$94)=0,0,(1-G32)/(1-Inputs!$C$94)))</f>
        <v/>
      </c>
      <c r="K32" s="12">
        <f>IF(I32=0,"",B32/I32)</f>
        <v/>
      </c>
      <c r="L32" s="15">
        <f>IF(F32="",0,F32)</f>
        <v/>
      </c>
      <c r="M32" s="15">
        <f>IF(A32&lt;=1,0,L31)</f>
        <v/>
      </c>
      <c r="N32" s="15">
        <f>IF(A32&lt;=1,0,M31)</f>
        <v/>
      </c>
      <c r="O32" s="15">
        <f>IF(A32&lt;=1,0,N31)</f>
        <v/>
      </c>
      <c r="P32" s="15">
        <f>IF(A32&lt;=1,0,O31)</f>
        <v/>
      </c>
      <c r="Q32" s="15">
        <f>IF(A32&lt;=1,0,P31)</f>
        <v/>
      </c>
      <c r="R32" s="15">
        <f>IF(A32&lt;=1,0,Q31)</f>
        <v/>
      </c>
      <c r="S32" s="15">
        <f>IF(A32&lt;=1,0,R31)</f>
        <v/>
      </c>
      <c r="T32" s="15">
        <f>IF(A32&lt;=1,0,S31)</f>
        <v/>
      </c>
      <c r="U32" s="15">
        <f>IF(A32&lt;=1,0,T31)</f>
        <v/>
      </c>
      <c r="V32" s="15">
        <f>IF(A32&lt;=1,0,U31)</f>
        <v/>
      </c>
      <c r="W32" s="15">
        <f>IF(A32&lt;=1,0,V31)</f>
        <v/>
      </c>
      <c r="X32" s="15">
        <f>IF(A32&lt;=1,0,W31)</f>
        <v/>
      </c>
      <c r="Y32" s="15">
        <f>IF(A32&lt;=1,0,X31)</f>
        <v/>
      </c>
      <c r="Z32" s="15">
        <f>IF(A32&lt;=1,0,Y31)</f>
        <v/>
      </c>
      <c r="AA32" s="15">
        <f>IF(A32&lt;=1,0,Z31)</f>
        <v/>
      </c>
    </row>
    <row r="33">
      <c r="A33" s="55" t="n">
        <v>27</v>
      </c>
      <c r="B33" s="15">
        <f>IF(A33&gt;Inputs!$C$62,"",INDEX(Trajectory!$G$23:$G$2000,A33))</f>
        <v/>
      </c>
      <c r="C33" s="15">
        <f>IF(B33="","",IF(A33&lt;=Inputs!$C$75,INDEX(Trajectory!$G$23:$G$2000,1),INDEX(Trajectory!$G$23:$G$2000,MAX(1,A33-Inputs!$C$75))))</f>
        <v/>
      </c>
      <c r="D33" s="15">
        <f>IF(C33="","",MAX(Inputs!$C$76,CEILING(C33/(Inputs!$C$42*Inputs!$C$92),1)))</f>
        <v/>
      </c>
      <c r="E33" s="15">
        <f>IF(D33="","",MAX(E32,D33))</f>
        <v/>
      </c>
      <c r="F33" s="15">
        <f>E33-E32</f>
        <v/>
      </c>
      <c r="G33" s="12">
        <f>IF(E33="",1,IF(E33=0,1,(E33-SUM(L33:AA33)+SUMPRODUCT(L33:AA33,$N$5:$N$20))/E33))</f>
        <v/>
      </c>
      <c r="H33" s="14">
        <f>IF(E33="",0,E33*G33)</f>
        <v/>
      </c>
      <c r="I33" s="15">
        <f>IF(H33="",0,H33*Inputs!$C$42)</f>
        <v/>
      </c>
      <c r="J33" s="14">
        <f>IF(E33="",1,1 + (Inputs!$C$95-1)*IF((1-Inputs!$C$94)=0,0,(1-G33)/(1-Inputs!$C$94)))</f>
        <v/>
      </c>
      <c r="K33" s="12">
        <f>IF(I33=0,"",B33/I33)</f>
        <v/>
      </c>
      <c r="L33" s="15">
        <f>IF(F33="",0,F33)</f>
        <v/>
      </c>
      <c r="M33" s="15">
        <f>IF(A33&lt;=1,0,L32)</f>
        <v/>
      </c>
      <c r="N33" s="15">
        <f>IF(A33&lt;=1,0,M32)</f>
        <v/>
      </c>
      <c r="O33" s="15">
        <f>IF(A33&lt;=1,0,N32)</f>
        <v/>
      </c>
      <c r="P33" s="15">
        <f>IF(A33&lt;=1,0,O32)</f>
        <v/>
      </c>
      <c r="Q33" s="15">
        <f>IF(A33&lt;=1,0,P32)</f>
        <v/>
      </c>
      <c r="R33" s="15">
        <f>IF(A33&lt;=1,0,Q32)</f>
        <v/>
      </c>
      <c r="S33" s="15">
        <f>IF(A33&lt;=1,0,R32)</f>
        <v/>
      </c>
      <c r="T33" s="15">
        <f>IF(A33&lt;=1,0,S32)</f>
        <v/>
      </c>
      <c r="U33" s="15">
        <f>IF(A33&lt;=1,0,T32)</f>
        <v/>
      </c>
      <c r="V33" s="15">
        <f>IF(A33&lt;=1,0,U32)</f>
        <v/>
      </c>
      <c r="W33" s="15">
        <f>IF(A33&lt;=1,0,V32)</f>
        <v/>
      </c>
      <c r="X33" s="15">
        <f>IF(A33&lt;=1,0,W32)</f>
        <v/>
      </c>
      <c r="Y33" s="15">
        <f>IF(A33&lt;=1,0,X32)</f>
        <v/>
      </c>
      <c r="Z33" s="15">
        <f>IF(A33&lt;=1,0,Y32)</f>
        <v/>
      </c>
      <c r="AA33" s="15">
        <f>IF(A33&lt;=1,0,Z32)</f>
        <v/>
      </c>
    </row>
    <row r="34">
      <c r="A34" s="55" t="n">
        <v>28</v>
      </c>
      <c r="B34" s="15">
        <f>IF(A34&gt;Inputs!$C$62,"",INDEX(Trajectory!$G$23:$G$2000,A34))</f>
        <v/>
      </c>
      <c r="C34" s="15">
        <f>IF(B34="","",IF(A34&lt;=Inputs!$C$75,INDEX(Trajectory!$G$23:$G$2000,1),INDEX(Trajectory!$G$23:$G$2000,MAX(1,A34-Inputs!$C$75))))</f>
        <v/>
      </c>
      <c r="D34" s="15">
        <f>IF(C34="","",MAX(Inputs!$C$76,CEILING(C34/(Inputs!$C$42*Inputs!$C$92),1)))</f>
        <v/>
      </c>
      <c r="E34" s="15">
        <f>IF(D34="","",MAX(E33,D34))</f>
        <v/>
      </c>
      <c r="F34" s="15">
        <f>E34-E33</f>
        <v/>
      </c>
      <c r="G34" s="12">
        <f>IF(E34="",1,IF(E34=0,1,(E34-SUM(L34:AA34)+SUMPRODUCT(L34:AA34,$N$5:$N$20))/E34))</f>
        <v/>
      </c>
      <c r="H34" s="14">
        <f>IF(E34="",0,E34*G34)</f>
        <v/>
      </c>
      <c r="I34" s="15">
        <f>IF(H34="",0,H34*Inputs!$C$42)</f>
        <v/>
      </c>
      <c r="J34" s="14">
        <f>IF(E34="",1,1 + (Inputs!$C$95-1)*IF((1-Inputs!$C$94)=0,0,(1-G34)/(1-Inputs!$C$94)))</f>
        <v/>
      </c>
      <c r="K34" s="12">
        <f>IF(I34=0,"",B34/I34)</f>
        <v/>
      </c>
      <c r="L34" s="15">
        <f>IF(F34="",0,F34)</f>
        <v/>
      </c>
      <c r="M34" s="15">
        <f>IF(A34&lt;=1,0,L33)</f>
        <v/>
      </c>
      <c r="N34" s="15">
        <f>IF(A34&lt;=1,0,M33)</f>
        <v/>
      </c>
      <c r="O34" s="15">
        <f>IF(A34&lt;=1,0,N33)</f>
        <v/>
      </c>
      <c r="P34" s="15">
        <f>IF(A34&lt;=1,0,O33)</f>
        <v/>
      </c>
      <c r="Q34" s="15">
        <f>IF(A34&lt;=1,0,P33)</f>
        <v/>
      </c>
      <c r="R34" s="15">
        <f>IF(A34&lt;=1,0,Q33)</f>
        <v/>
      </c>
      <c r="S34" s="15">
        <f>IF(A34&lt;=1,0,R33)</f>
        <v/>
      </c>
      <c r="T34" s="15">
        <f>IF(A34&lt;=1,0,S33)</f>
        <v/>
      </c>
      <c r="U34" s="15">
        <f>IF(A34&lt;=1,0,T33)</f>
        <v/>
      </c>
      <c r="V34" s="15">
        <f>IF(A34&lt;=1,0,U33)</f>
        <v/>
      </c>
      <c r="W34" s="15">
        <f>IF(A34&lt;=1,0,V33)</f>
        <v/>
      </c>
      <c r="X34" s="15">
        <f>IF(A34&lt;=1,0,W33)</f>
        <v/>
      </c>
      <c r="Y34" s="15">
        <f>IF(A34&lt;=1,0,X33)</f>
        <v/>
      </c>
      <c r="Z34" s="15">
        <f>IF(A34&lt;=1,0,Y33)</f>
        <v/>
      </c>
      <c r="AA34" s="15">
        <f>IF(A34&lt;=1,0,Z33)</f>
        <v/>
      </c>
    </row>
    <row r="35">
      <c r="A35" s="55" t="n">
        <v>29</v>
      </c>
      <c r="B35" s="15">
        <f>IF(A35&gt;Inputs!$C$62,"",INDEX(Trajectory!$G$23:$G$2000,A35))</f>
        <v/>
      </c>
      <c r="C35" s="15">
        <f>IF(B35="","",IF(A35&lt;=Inputs!$C$75,INDEX(Trajectory!$G$23:$G$2000,1),INDEX(Trajectory!$G$23:$G$2000,MAX(1,A35-Inputs!$C$75))))</f>
        <v/>
      </c>
      <c r="D35" s="15">
        <f>IF(C35="","",MAX(Inputs!$C$76,CEILING(C35/(Inputs!$C$42*Inputs!$C$92),1)))</f>
        <v/>
      </c>
      <c r="E35" s="15">
        <f>IF(D35="","",MAX(E34,D35))</f>
        <v/>
      </c>
      <c r="F35" s="15">
        <f>E35-E34</f>
        <v/>
      </c>
      <c r="G35" s="12">
        <f>IF(E35="",1,IF(E35=0,1,(E35-SUM(L35:AA35)+SUMPRODUCT(L35:AA35,$N$5:$N$20))/E35))</f>
        <v/>
      </c>
      <c r="H35" s="14">
        <f>IF(E35="",0,E35*G35)</f>
        <v/>
      </c>
      <c r="I35" s="15">
        <f>IF(H35="",0,H35*Inputs!$C$42)</f>
        <v/>
      </c>
      <c r="J35" s="14">
        <f>IF(E35="",1,1 + (Inputs!$C$95-1)*IF((1-Inputs!$C$94)=0,0,(1-G35)/(1-Inputs!$C$94)))</f>
        <v/>
      </c>
      <c r="K35" s="12">
        <f>IF(I35=0,"",B35/I35)</f>
        <v/>
      </c>
      <c r="L35" s="15">
        <f>IF(F35="",0,F35)</f>
        <v/>
      </c>
      <c r="M35" s="15">
        <f>IF(A35&lt;=1,0,L34)</f>
        <v/>
      </c>
      <c r="N35" s="15">
        <f>IF(A35&lt;=1,0,M34)</f>
        <v/>
      </c>
      <c r="O35" s="15">
        <f>IF(A35&lt;=1,0,N34)</f>
        <v/>
      </c>
      <c r="P35" s="15">
        <f>IF(A35&lt;=1,0,O34)</f>
        <v/>
      </c>
      <c r="Q35" s="15">
        <f>IF(A35&lt;=1,0,P34)</f>
        <v/>
      </c>
      <c r="R35" s="15">
        <f>IF(A35&lt;=1,0,Q34)</f>
        <v/>
      </c>
      <c r="S35" s="15">
        <f>IF(A35&lt;=1,0,R34)</f>
        <v/>
      </c>
      <c r="T35" s="15">
        <f>IF(A35&lt;=1,0,S34)</f>
        <v/>
      </c>
      <c r="U35" s="15">
        <f>IF(A35&lt;=1,0,T34)</f>
        <v/>
      </c>
      <c r="V35" s="15">
        <f>IF(A35&lt;=1,0,U34)</f>
        <v/>
      </c>
      <c r="W35" s="15">
        <f>IF(A35&lt;=1,0,V34)</f>
        <v/>
      </c>
      <c r="X35" s="15">
        <f>IF(A35&lt;=1,0,W34)</f>
        <v/>
      </c>
      <c r="Y35" s="15">
        <f>IF(A35&lt;=1,0,X34)</f>
        <v/>
      </c>
      <c r="Z35" s="15">
        <f>IF(A35&lt;=1,0,Y34)</f>
        <v/>
      </c>
      <c r="AA35" s="15">
        <f>IF(A35&lt;=1,0,Z34)</f>
        <v/>
      </c>
    </row>
    <row r="36">
      <c r="A36" s="55" t="n">
        <v>30</v>
      </c>
      <c r="B36" s="15">
        <f>IF(A36&gt;Inputs!$C$62,"",INDEX(Trajectory!$G$23:$G$2000,A36))</f>
        <v/>
      </c>
      <c r="C36" s="15">
        <f>IF(B36="","",IF(A36&lt;=Inputs!$C$75,INDEX(Trajectory!$G$23:$G$2000,1),INDEX(Trajectory!$G$23:$G$2000,MAX(1,A36-Inputs!$C$75))))</f>
        <v/>
      </c>
      <c r="D36" s="15">
        <f>IF(C36="","",MAX(Inputs!$C$76,CEILING(C36/(Inputs!$C$42*Inputs!$C$92),1)))</f>
        <v/>
      </c>
      <c r="E36" s="15">
        <f>IF(D36="","",MAX(E35,D36))</f>
        <v/>
      </c>
      <c r="F36" s="15">
        <f>E36-E35</f>
        <v/>
      </c>
      <c r="G36" s="12">
        <f>IF(E36="",1,IF(E36=0,1,(E36-SUM(L36:AA36)+SUMPRODUCT(L36:AA36,$N$5:$N$20))/E36))</f>
        <v/>
      </c>
      <c r="H36" s="14">
        <f>IF(E36="",0,E36*G36)</f>
        <v/>
      </c>
      <c r="I36" s="15">
        <f>IF(H36="",0,H36*Inputs!$C$42)</f>
        <v/>
      </c>
      <c r="J36" s="14">
        <f>IF(E36="",1,1 + (Inputs!$C$95-1)*IF((1-Inputs!$C$94)=0,0,(1-G36)/(1-Inputs!$C$94)))</f>
        <v/>
      </c>
      <c r="K36" s="12">
        <f>IF(I36=0,"",B36/I36)</f>
        <v/>
      </c>
      <c r="L36" s="15">
        <f>IF(F36="",0,F36)</f>
        <v/>
      </c>
      <c r="M36" s="15">
        <f>IF(A36&lt;=1,0,L35)</f>
        <v/>
      </c>
      <c r="N36" s="15">
        <f>IF(A36&lt;=1,0,M35)</f>
        <v/>
      </c>
      <c r="O36" s="15">
        <f>IF(A36&lt;=1,0,N35)</f>
        <v/>
      </c>
      <c r="P36" s="15">
        <f>IF(A36&lt;=1,0,O35)</f>
        <v/>
      </c>
      <c r="Q36" s="15">
        <f>IF(A36&lt;=1,0,P35)</f>
        <v/>
      </c>
      <c r="R36" s="15">
        <f>IF(A36&lt;=1,0,Q35)</f>
        <v/>
      </c>
      <c r="S36" s="15">
        <f>IF(A36&lt;=1,0,R35)</f>
        <v/>
      </c>
      <c r="T36" s="15">
        <f>IF(A36&lt;=1,0,S35)</f>
        <v/>
      </c>
      <c r="U36" s="15">
        <f>IF(A36&lt;=1,0,T35)</f>
        <v/>
      </c>
      <c r="V36" s="15">
        <f>IF(A36&lt;=1,0,U35)</f>
        <v/>
      </c>
      <c r="W36" s="15">
        <f>IF(A36&lt;=1,0,V35)</f>
        <v/>
      </c>
      <c r="X36" s="15">
        <f>IF(A36&lt;=1,0,W35)</f>
        <v/>
      </c>
      <c r="Y36" s="15">
        <f>IF(A36&lt;=1,0,X35)</f>
        <v/>
      </c>
      <c r="Z36" s="15">
        <f>IF(A36&lt;=1,0,Y35)</f>
        <v/>
      </c>
      <c r="AA36" s="15">
        <f>IF(A36&lt;=1,0,Z35)</f>
        <v/>
      </c>
    </row>
    <row r="37">
      <c r="A37" s="55" t="n">
        <v>31</v>
      </c>
      <c r="B37" s="15">
        <f>IF(A37&gt;Inputs!$C$62,"",INDEX(Trajectory!$G$23:$G$2000,A37))</f>
        <v/>
      </c>
      <c r="C37" s="15">
        <f>IF(B37="","",IF(A37&lt;=Inputs!$C$75,INDEX(Trajectory!$G$23:$G$2000,1),INDEX(Trajectory!$G$23:$G$2000,MAX(1,A37-Inputs!$C$75))))</f>
        <v/>
      </c>
      <c r="D37" s="15">
        <f>IF(C37="","",MAX(Inputs!$C$76,CEILING(C37/(Inputs!$C$42*Inputs!$C$92),1)))</f>
        <v/>
      </c>
      <c r="E37" s="15">
        <f>IF(D37="","",MAX(E36,D37))</f>
        <v/>
      </c>
      <c r="F37" s="15">
        <f>E37-E36</f>
        <v/>
      </c>
      <c r="G37" s="12">
        <f>IF(E37="",1,IF(E37=0,1,(E37-SUM(L37:AA37)+SUMPRODUCT(L37:AA37,$N$5:$N$20))/E37))</f>
        <v/>
      </c>
      <c r="H37" s="14">
        <f>IF(E37="",0,E37*G37)</f>
        <v/>
      </c>
      <c r="I37" s="15">
        <f>IF(H37="",0,H37*Inputs!$C$42)</f>
        <v/>
      </c>
      <c r="J37" s="14">
        <f>IF(E37="",1,1 + (Inputs!$C$95-1)*IF((1-Inputs!$C$94)=0,0,(1-G37)/(1-Inputs!$C$94)))</f>
        <v/>
      </c>
      <c r="K37" s="12">
        <f>IF(I37=0,"",B37/I37)</f>
        <v/>
      </c>
      <c r="L37" s="15">
        <f>IF(F37="",0,F37)</f>
        <v/>
      </c>
      <c r="M37" s="15">
        <f>IF(A37&lt;=1,0,L36)</f>
        <v/>
      </c>
      <c r="N37" s="15">
        <f>IF(A37&lt;=1,0,M36)</f>
        <v/>
      </c>
      <c r="O37" s="15">
        <f>IF(A37&lt;=1,0,N36)</f>
        <v/>
      </c>
      <c r="P37" s="15">
        <f>IF(A37&lt;=1,0,O36)</f>
        <v/>
      </c>
      <c r="Q37" s="15">
        <f>IF(A37&lt;=1,0,P36)</f>
        <v/>
      </c>
      <c r="R37" s="15">
        <f>IF(A37&lt;=1,0,Q36)</f>
        <v/>
      </c>
      <c r="S37" s="15">
        <f>IF(A37&lt;=1,0,R36)</f>
        <v/>
      </c>
      <c r="T37" s="15">
        <f>IF(A37&lt;=1,0,S36)</f>
        <v/>
      </c>
      <c r="U37" s="15">
        <f>IF(A37&lt;=1,0,T36)</f>
        <v/>
      </c>
      <c r="V37" s="15">
        <f>IF(A37&lt;=1,0,U36)</f>
        <v/>
      </c>
      <c r="W37" s="15">
        <f>IF(A37&lt;=1,0,V36)</f>
        <v/>
      </c>
      <c r="X37" s="15">
        <f>IF(A37&lt;=1,0,W36)</f>
        <v/>
      </c>
      <c r="Y37" s="15">
        <f>IF(A37&lt;=1,0,X36)</f>
        <v/>
      </c>
      <c r="Z37" s="15">
        <f>IF(A37&lt;=1,0,Y36)</f>
        <v/>
      </c>
      <c r="AA37" s="15">
        <f>IF(A37&lt;=1,0,Z36)</f>
        <v/>
      </c>
    </row>
    <row r="38">
      <c r="A38" s="55" t="n">
        <v>32</v>
      </c>
      <c r="B38" s="15">
        <f>IF(A38&gt;Inputs!$C$62,"",INDEX(Trajectory!$G$23:$G$2000,A38))</f>
        <v/>
      </c>
      <c r="C38" s="15">
        <f>IF(B38="","",IF(A38&lt;=Inputs!$C$75,INDEX(Trajectory!$G$23:$G$2000,1),INDEX(Trajectory!$G$23:$G$2000,MAX(1,A38-Inputs!$C$75))))</f>
        <v/>
      </c>
      <c r="D38" s="15">
        <f>IF(C38="","",MAX(Inputs!$C$76,CEILING(C38/(Inputs!$C$42*Inputs!$C$92),1)))</f>
        <v/>
      </c>
      <c r="E38" s="15">
        <f>IF(D38="","",MAX(E37,D38))</f>
        <v/>
      </c>
      <c r="F38" s="15">
        <f>E38-E37</f>
        <v/>
      </c>
      <c r="G38" s="12">
        <f>IF(E38="",1,IF(E38=0,1,(E38-SUM(L38:AA38)+SUMPRODUCT(L38:AA38,$N$5:$N$20))/E38))</f>
        <v/>
      </c>
      <c r="H38" s="14">
        <f>IF(E38="",0,E38*G38)</f>
        <v/>
      </c>
      <c r="I38" s="15">
        <f>IF(H38="",0,H38*Inputs!$C$42)</f>
        <v/>
      </c>
      <c r="J38" s="14">
        <f>IF(E38="",1,1 + (Inputs!$C$95-1)*IF((1-Inputs!$C$94)=0,0,(1-G38)/(1-Inputs!$C$94)))</f>
        <v/>
      </c>
      <c r="K38" s="12">
        <f>IF(I38=0,"",B38/I38)</f>
        <v/>
      </c>
      <c r="L38" s="15">
        <f>IF(F38="",0,F38)</f>
        <v/>
      </c>
      <c r="M38" s="15">
        <f>IF(A38&lt;=1,0,L37)</f>
        <v/>
      </c>
      <c r="N38" s="15">
        <f>IF(A38&lt;=1,0,M37)</f>
        <v/>
      </c>
      <c r="O38" s="15">
        <f>IF(A38&lt;=1,0,N37)</f>
        <v/>
      </c>
      <c r="P38" s="15">
        <f>IF(A38&lt;=1,0,O37)</f>
        <v/>
      </c>
      <c r="Q38" s="15">
        <f>IF(A38&lt;=1,0,P37)</f>
        <v/>
      </c>
      <c r="R38" s="15">
        <f>IF(A38&lt;=1,0,Q37)</f>
        <v/>
      </c>
      <c r="S38" s="15">
        <f>IF(A38&lt;=1,0,R37)</f>
        <v/>
      </c>
      <c r="T38" s="15">
        <f>IF(A38&lt;=1,0,S37)</f>
        <v/>
      </c>
      <c r="U38" s="15">
        <f>IF(A38&lt;=1,0,T37)</f>
        <v/>
      </c>
      <c r="V38" s="15">
        <f>IF(A38&lt;=1,0,U37)</f>
        <v/>
      </c>
      <c r="W38" s="15">
        <f>IF(A38&lt;=1,0,V37)</f>
        <v/>
      </c>
      <c r="X38" s="15">
        <f>IF(A38&lt;=1,0,W37)</f>
        <v/>
      </c>
      <c r="Y38" s="15">
        <f>IF(A38&lt;=1,0,X37)</f>
        <v/>
      </c>
      <c r="Z38" s="15">
        <f>IF(A38&lt;=1,0,Y37)</f>
        <v/>
      </c>
      <c r="AA38" s="15">
        <f>IF(A38&lt;=1,0,Z37)</f>
        <v/>
      </c>
    </row>
    <row r="39">
      <c r="A39" s="55" t="n">
        <v>33</v>
      </c>
      <c r="B39" s="15">
        <f>IF(A39&gt;Inputs!$C$62,"",INDEX(Trajectory!$G$23:$G$2000,A39))</f>
        <v/>
      </c>
      <c r="C39" s="15">
        <f>IF(B39="","",IF(A39&lt;=Inputs!$C$75,INDEX(Trajectory!$G$23:$G$2000,1),INDEX(Trajectory!$G$23:$G$2000,MAX(1,A39-Inputs!$C$75))))</f>
        <v/>
      </c>
      <c r="D39" s="15">
        <f>IF(C39="","",MAX(Inputs!$C$76,CEILING(C39/(Inputs!$C$42*Inputs!$C$92),1)))</f>
        <v/>
      </c>
      <c r="E39" s="15">
        <f>IF(D39="","",MAX(E38,D39))</f>
        <v/>
      </c>
      <c r="F39" s="15">
        <f>E39-E38</f>
        <v/>
      </c>
      <c r="G39" s="12">
        <f>IF(E39="",1,IF(E39=0,1,(E39-SUM(L39:AA39)+SUMPRODUCT(L39:AA39,$N$5:$N$20))/E39))</f>
        <v/>
      </c>
      <c r="H39" s="14">
        <f>IF(E39="",0,E39*G39)</f>
        <v/>
      </c>
      <c r="I39" s="15">
        <f>IF(H39="",0,H39*Inputs!$C$42)</f>
        <v/>
      </c>
      <c r="J39" s="14">
        <f>IF(E39="",1,1 + (Inputs!$C$95-1)*IF((1-Inputs!$C$94)=0,0,(1-G39)/(1-Inputs!$C$94)))</f>
        <v/>
      </c>
      <c r="K39" s="12">
        <f>IF(I39=0,"",B39/I39)</f>
        <v/>
      </c>
      <c r="L39" s="15">
        <f>IF(F39="",0,F39)</f>
        <v/>
      </c>
      <c r="M39" s="15">
        <f>IF(A39&lt;=1,0,L38)</f>
        <v/>
      </c>
      <c r="N39" s="15">
        <f>IF(A39&lt;=1,0,M38)</f>
        <v/>
      </c>
      <c r="O39" s="15">
        <f>IF(A39&lt;=1,0,N38)</f>
        <v/>
      </c>
      <c r="P39" s="15">
        <f>IF(A39&lt;=1,0,O38)</f>
        <v/>
      </c>
      <c r="Q39" s="15">
        <f>IF(A39&lt;=1,0,P38)</f>
        <v/>
      </c>
      <c r="R39" s="15">
        <f>IF(A39&lt;=1,0,Q38)</f>
        <v/>
      </c>
      <c r="S39" s="15">
        <f>IF(A39&lt;=1,0,R38)</f>
        <v/>
      </c>
      <c r="T39" s="15">
        <f>IF(A39&lt;=1,0,S38)</f>
        <v/>
      </c>
      <c r="U39" s="15">
        <f>IF(A39&lt;=1,0,T38)</f>
        <v/>
      </c>
      <c r="V39" s="15">
        <f>IF(A39&lt;=1,0,U38)</f>
        <v/>
      </c>
      <c r="W39" s="15">
        <f>IF(A39&lt;=1,0,V38)</f>
        <v/>
      </c>
      <c r="X39" s="15">
        <f>IF(A39&lt;=1,0,W38)</f>
        <v/>
      </c>
      <c r="Y39" s="15">
        <f>IF(A39&lt;=1,0,X38)</f>
        <v/>
      </c>
      <c r="Z39" s="15">
        <f>IF(A39&lt;=1,0,Y38)</f>
        <v/>
      </c>
      <c r="AA39" s="15">
        <f>IF(A39&lt;=1,0,Z38)</f>
        <v/>
      </c>
    </row>
    <row r="40">
      <c r="A40" s="55" t="n">
        <v>34</v>
      </c>
      <c r="B40" s="15">
        <f>IF(A40&gt;Inputs!$C$62,"",INDEX(Trajectory!$G$23:$G$2000,A40))</f>
        <v/>
      </c>
      <c r="C40" s="15">
        <f>IF(B40="","",IF(A40&lt;=Inputs!$C$75,INDEX(Trajectory!$G$23:$G$2000,1),INDEX(Trajectory!$G$23:$G$2000,MAX(1,A40-Inputs!$C$75))))</f>
        <v/>
      </c>
      <c r="D40" s="15">
        <f>IF(C40="","",MAX(Inputs!$C$76,CEILING(C40/(Inputs!$C$42*Inputs!$C$92),1)))</f>
        <v/>
      </c>
      <c r="E40" s="15">
        <f>IF(D40="","",MAX(E39,D40))</f>
        <v/>
      </c>
      <c r="F40" s="15">
        <f>E40-E39</f>
        <v/>
      </c>
      <c r="G40" s="12">
        <f>IF(E40="",1,IF(E40=0,1,(E40-SUM(L40:AA40)+SUMPRODUCT(L40:AA40,$N$5:$N$20))/E40))</f>
        <v/>
      </c>
      <c r="H40" s="14">
        <f>IF(E40="",0,E40*G40)</f>
        <v/>
      </c>
      <c r="I40" s="15">
        <f>IF(H40="",0,H40*Inputs!$C$42)</f>
        <v/>
      </c>
      <c r="J40" s="14">
        <f>IF(E40="",1,1 + (Inputs!$C$95-1)*IF((1-Inputs!$C$94)=0,0,(1-G40)/(1-Inputs!$C$94)))</f>
        <v/>
      </c>
      <c r="K40" s="12">
        <f>IF(I40=0,"",B40/I40)</f>
        <v/>
      </c>
      <c r="L40" s="15">
        <f>IF(F40="",0,F40)</f>
        <v/>
      </c>
      <c r="M40" s="15">
        <f>IF(A40&lt;=1,0,L39)</f>
        <v/>
      </c>
      <c r="N40" s="15">
        <f>IF(A40&lt;=1,0,M39)</f>
        <v/>
      </c>
      <c r="O40" s="15">
        <f>IF(A40&lt;=1,0,N39)</f>
        <v/>
      </c>
      <c r="P40" s="15">
        <f>IF(A40&lt;=1,0,O39)</f>
        <v/>
      </c>
      <c r="Q40" s="15">
        <f>IF(A40&lt;=1,0,P39)</f>
        <v/>
      </c>
      <c r="R40" s="15">
        <f>IF(A40&lt;=1,0,Q39)</f>
        <v/>
      </c>
      <c r="S40" s="15">
        <f>IF(A40&lt;=1,0,R39)</f>
        <v/>
      </c>
      <c r="T40" s="15">
        <f>IF(A40&lt;=1,0,S39)</f>
        <v/>
      </c>
      <c r="U40" s="15">
        <f>IF(A40&lt;=1,0,T39)</f>
        <v/>
      </c>
      <c r="V40" s="15">
        <f>IF(A40&lt;=1,0,U39)</f>
        <v/>
      </c>
      <c r="W40" s="15">
        <f>IF(A40&lt;=1,0,V39)</f>
        <v/>
      </c>
      <c r="X40" s="15">
        <f>IF(A40&lt;=1,0,W39)</f>
        <v/>
      </c>
      <c r="Y40" s="15">
        <f>IF(A40&lt;=1,0,X39)</f>
        <v/>
      </c>
      <c r="Z40" s="15">
        <f>IF(A40&lt;=1,0,Y39)</f>
        <v/>
      </c>
      <c r="AA40" s="15">
        <f>IF(A40&lt;=1,0,Z39)</f>
        <v/>
      </c>
    </row>
    <row r="41">
      <c r="A41" s="55" t="n">
        <v>35</v>
      </c>
      <c r="B41" s="15">
        <f>IF(A41&gt;Inputs!$C$62,"",INDEX(Trajectory!$G$23:$G$2000,A41))</f>
        <v/>
      </c>
      <c r="C41" s="15">
        <f>IF(B41="","",IF(A41&lt;=Inputs!$C$75,INDEX(Trajectory!$G$23:$G$2000,1),INDEX(Trajectory!$G$23:$G$2000,MAX(1,A41-Inputs!$C$75))))</f>
        <v/>
      </c>
      <c r="D41" s="15">
        <f>IF(C41="","",MAX(Inputs!$C$76,CEILING(C41/(Inputs!$C$42*Inputs!$C$92),1)))</f>
        <v/>
      </c>
      <c r="E41" s="15">
        <f>IF(D41="","",MAX(E40,D41))</f>
        <v/>
      </c>
      <c r="F41" s="15">
        <f>E41-E40</f>
        <v/>
      </c>
      <c r="G41" s="12">
        <f>IF(E41="",1,IF(E41=0,1,(E41-SUM(L41:AA41)+SUMPRODUCT(L41:AA41,$N$5:$N$20))/E41))</f>
        <v/>
      </c>
      <c r="H41" s="14">
        <f>IF(E41="",0,E41*G41)</f>
        <v/>
      </c>
      <c r="I41" s="15">
        <f>IF(H41="",0,H41*Inputs!$C$42)</f>
        <v/>
      </c>
      <c r="J41" s="14">
        <f>IF(E41="",1,1 + (Inputs!$C$95-1)*IF((1-Inputs!$C$94)=0,0,(1-G41)/(1-Inputs!$C$94)))</f>
        <v/>
      </c>
      <c r="K41" s="12">
        <f>IF(I41=0,"",B41/I41)</f>
        <v/>
      </c>
      <c r="L41" s="15">
        <f>IF(F41="",0,F41)</f>
        <v/>
      </c>
      <c r="M41" s="15">
        <f>IF(A41&lt;=1,0,L40)</f>
        <v/>
      </c>
      <c r="N41" s="15">
        <f>IF(A41&lt;=1,0,M40)</f>
        <v/>
      </c>
      <c r="O41" s="15">
        <f>IF(A41&lt;=1,0,N40)</f>
        <v/>
      </c>
      <c r="P41" s="15">
        <f>IF(A41&lt;=1,0,O40)</f>
        <v/>
      </c>
      <c r="Q41" s="15">
        <f>IF(A41&lt;=1,0,P40)</f>
        <v/>
      </c>
      <c r="R41" s="15">
        <f>IF(A41&lt;=1,0,Q40)</f>
        <v/>
      </c>
      <c r="S41" s="15">
        <f>IF(A41&lt;=1,0,R40)</f>
        <v/>
      </c>
      <c r="T41" s="15">
        <f>IF(A41&lt;=1,0,S40)</f>
        <v/>
      </c>
      <c r="U41" s="15">
        <f>IF(A41&lt;=1,0,T40)</f>
        <v/>
      </c>
      <c r="V41" s="15">
        <f>IF(A41&lt;=1,0,U40)</f>
        <v/>
      </c>
      <c r="W41" s="15">
        <f>IF(A41&lt;=1,0,V40)</f>
        <v/>
      </c>
      <c r="X41" s="15">
        <f>IF(A41&lt;=1,0,W40)</f>
        <v/>
      </c>
      <c r="Y41" s="15">
        <f>IF(A41&lt;=1,0,X40)</f>
        <v/>
      </c>
      <c r="Z41" s="15">
        <f>IF(A41&lt;=1,0,Y40)</f>
        <v/>
      </c>
      <c r="AA41" s="15">
        <f>IF(A41&lt;=1,0,Z40)</f>
        <v/>
      </c>
    </row>
    <row r="42">
      <c r="A42" s="55" t="n">
        <v>36</v>
      </c>
      <c r="B42" s="15">
        <f>IF(A42&gt;Inputs!$C$62,"",INDEX(Trajectory!$G$23:$G$2000,A42))</f>
        <v/>
      </c>
      <c r="C42" s="15">
        <f>IF(B42="","",IF(A42&lt;=Inputs!$C$75,INDEX(Trajectory!$G$23:$G$2000,1),INDEX(Trajectory!$G$23:$G$2000,MAX(1,A42-Inputs!$C$75))))</f>
        <v/>
      </c>
      <c r="D42" s="15">
        <f>IF(C42="","",MAX(Inputs!$C$76,CEILING(C42/(Inputs!$C$42*Inputs!$C$92),1)))</f>
        <v/>
      </c>
      <c r="E42" s="15">
        <f>IF(D42="","",MAX(E41,D42))</f>
        <v/>
      </c>
      <c r="F42" s="15">
        <f>E42-E41</f>
        <v/>
      </c>
      <c r="G42" s="12">
        <f>IF(E42="",1,IF(E42=0,1,(E42-SUM(L42:AA42)+SUMPRODUCT(L42:AA42,$N$5:$N$20))/E42))</f>
        <v/>
      </c>
      <c r="H42" s="14">
        <f>IF(E42="",0,E42*G42)</f>
        <v/>
      </c>
      <c r="I42" s="15">
        <f>IF(H42="",0,H42*Inputs!$C$42)</f>
        <v/>
      </c>
      <c r="J42" s="14">
        <f>IF(E42="",1,1 + (Inputs!$C$95-1)*IF((1-Inputs!$C$94)=0,0,(1-G42)/(1-Inputs!$C$94)))</f>
        <v/>
      </c>
      <c r="K42" s="12">
        <f>IF(I42=0,"",B42/I42)</f>
        <v/>
      </c>
      <c r="L42" s="15">
        <f>IF(F42="",0,F42)</f>
        <v/>
      </c>
      <c r="M42" s="15">
        <f>IF(A42&lt;=1,0,L41)</f>
        <v/>
      </c>
      <c r="N42" s="15">
        <f>IF(A42&lt;=1,0,M41)</f>
        <v/>
      </c>
      <c r="O42" s="15">
        <f>IF(A42&lt;=1,0,N41)</f>
        <v/>
      </c>
      <c r="P42" s="15">
        <f>IF(A42&lt;=1,0,O41)</f>
        <v/>
      </c>
      <c r="Q42" s="15">
        <f>IF(A42&lt;=1,0,P41)</f>
        <v/>
      </c>
      <c r="R42" s="15">
        <f>IF(A42&lt;=1,0,Q41)</f>
        <v/>
      </c>
      <c r="S42" s="15">
        <f>IF(A42&lt;=1,0,R41)</f>
        <v/>
      </c>
      <c r="T42" s="15">
        <f>IF(A42&lt;=1,0,S41)</f>
        <v/>
      </c>
      <c r="U42" s="15">
        <f>IF(A42&lt;=1,0,T41)</f>
        <v/>
      </c>
      <c r="V42" s="15">
        <f>IF(A42&lt;=1,0,U41)</f>
        <v/>
      </c>
      <c r="W42" s="15">
        <f>IF(A42&lt;=1,0,V41)</f>
        <v/>
      </c>
      <c r="X42" s="15">
        <f>IF(A42&lt;=1,0,W41)</f>
        <v/>
      </c>
      <c r="Y42" s="15">
        <f>IF(A42&lt;=1,0,X41)</f>
        <v/>
      </c>
      <c r="Z42" s="15">
        <f>IF(A42&lt;=1,0,Y41)</f>
        <v/>
      </c>
      <c r="AA42" s="15">
        <f>IF(A42&lt;=1,0,Z41)</f>
        <v/>
      </c>
    </row>
    <row r="43">
      <c r="A43" s="55" t="n">
        <v>37</v>
      </c>
      <c r="B43" s="15">
        <f>IF(A43&gt;Inputs!$C$62,"",INDEX(Trajectory!$G$23:$G$2000,A43))</f>
        <v/>
      </c>
      <c r="C43" s="15">
        <f>IF(B43="","",IF(A43&lt;=Inputs!$C$75,INDEX(Trajectory!$G$23:$G$2000,1),INDEX(Trajectory!$G$23:$G$2000,MAX(1,A43-Inputs!$C$75))))</f>
        <v/>
      </c>
      <c r="D43" s="15">
        <f>IF(C43="","",MAX(Inputs!$C$76,CEILING(C43/(Inputs!$C$42*Inputs!$C$92),1)))</f>
        <v/>
      </c>
      <c r="E43" s="15">
        <f>IF(D43="","",MAX(E42,D43))</f>
        <v/>
      </c>
      <c r="F43" s="15">
        <f>E43-E42</f>
        <v/>
      </c>
      <c r="G43" s="12">
        <f>IF(E43="",1,IF(E43=0,1,(E43-SUM(L43:AA43)+SUMPRODUCT(L43:AA43,$N$5:$N$20))/E43))</f>
        <v/>
      </c>
      <c r="H43" s="14">
        <f>IF(E43="",0,E43*G43)</f>
        <v/>
      </c>
      <c r="I43" s="15">
        <f>IF(H43="",0,H43*Inputs!$C$42)</f>
        <v/>
      </c>
      <c r="J43" s="14">
        <f>IF(E43="",1,1 + (Inputs!$C$95-1)*IF((1-Inputs!$C$94)=0,0,(1-G43)/(1-Inputs!$C$94)))</f>
        <v/>
      </c>
      <c r="K43" s="12">
        <f>IF(I43=0,"",B43/I43)</f>
        <v/>
      </c>
      <c r="L43" s="15">
        <f>IF(F43="",0,F43)</f>
        <v/>
      </c>
      <c r="M43" s="15">
        <f>IF(A43&lt;=1,0,L42)</f>
        <v/>
      </c>
      <c r="N43" s="15">
        <f>IF(A43&lt;=1,0,M42)</f>
        <v/>
      </c>
      <c r="O43" s="15">
        <f>IF(A43&lt;=1,0,N42)</f>
        <v/>
      </c>
      <c r="P43" s="15">
        <f>IF(A43&lt;=1,0,O42)</f>
        <v/>
      </c>
      <c r="Q43" s="15">
        <f>IF(A43&lt;=1,0,P42)</f>
        <v/>
      </c>
      <c r="R43" s="15">
        <f>IF(A43&lt;=1,0,Q42)</f>
        <v/>
      </c>
      <c r="S43" s="15">
        <f>IF(A43&lt;=1,0,R42)</f>
        <v/>
      </c>
      <c r="T43" s="15">
        <f>IF(A43&lt;=1,0,S42)</f>
        <v/>
      </c>
      <c r="U43" s="15">
        <f>IF(A43&lt;=1,0,T42)</f>
        <v/>
      </c>
      <c r="V43" s="15">
        <f>IF(A43&lt;=1,0,U42)</f>
        <v/>
      </c>
      <c r="W43" s="15">
        <f>IF(A43&lt;=1,0,V42)</f>
        <v/>
      </c>
      <c r="X43" s="15">
        <f>IF(A43&lt;=1,0,W42)</f>
        <v/>
      </c>
      <c r="Y43" s="15">
        <f>IF(A43&lt;=1,0,X42)</f>
        <v/>
      </c>
      <c r="Z43" s="15">
        <f>IF(A43&lt;=1,0,Y42)</f>
        <v/>
      </c>
      <c r="AA43" s="15">
        <f>IF(A43&lt;=1,0,Z42)</f>
        <v/>
      </c>
    </row>
    <row r="44">
      <c r="A44" s="55" t="n">
        <v>38</v>
      </c>
      <c r="B44" s="15">
        <f>IF(A44&gt;Inputs!$C$62,"",INDEX(Trajectory!$G$23:$G$2000,A44))</f>
        <v/>
      </c>
      <c r="C44" s="15">
        <f>IF(B44="","",IF(A44&lt;=Inputs!$C$75,INDEX(Trajectory!$G$23:$G$2000,1),INDEX(Trajectory!$G$23:$G$2000,MAX(1,A44-Inputs!$C$75))))</f>
        <v/>
      </c>
      <c r="D44" s="15">
        <f>IF(C44="","",MAX(Inputs!$C$76,CEILING(C44/(Inputs!$C$42*Inputs!$C$92),1)))</f>
        <v/>
      </c>
      <c r="E44" s="15">
        <f>IF(D44="","",MAX(E43,D44))</f>
        <v/>
      </c>
      <c r="F44" s="15">
        <f>E44-E43</f>
        <v/>
      </c>
      <c r="G44" s="12">
        <f>IF(E44="",1,IF(E44=0,1,(E44-SUM(L44:AA44)+SUMPRODUCT(L44:AA44,$N$5:$N$20))/E44))</f>
        <v/>
      </c>
      <c r="H44" s="14">
        <f>IF(E44="",0,E44*G44)</f>
        <v/>
      </c>
      <c r="I44" s="15">
        <f>IF(H44="",0,H44*Inputs!$C$42)</f>
        <v/>
      </c>
      <c r="J44" s="14">
        <f>IF(E44="",1,1 + (Inputs!$C$95-1)*IF((1-Inputs!$C$94)=0,0,(1-G44)/(1-Inputs!$C$94)))</f>
        <v/>
      </c>
      <c r="K44" s="12">
        <f>IF(I44=0,"",B44/I44)</f>
        <v/>
      </c>
      <c r="L44" s="15">
        <f>IF(F44="",0,F44)</f>
        <v/>
      </c>
      <c r="M44" s="15">
        <f>IF(A44&lt;=1,0,L43)</f>
        <v/>
      </c>
      <c r="N44" s="15">
        <f>IF(A44&lt;=1,0,M43)</f>
        <v/>
      </c>
      <c r="O44" s="15">
        <f>IF(A44&lt;=1,0,N43)</f>
        <v/>
      </c>
      <c r="P44" s="15">
        <f>IF(A44&lt;=1,0,O43)</f>
        <v/>
      </c>
      <c r="Q44" s="15">
        <f>IF(A44&lt;=1,0,P43)</f>
        <v/>
      </c>
      <c r="R44" s="15">
        <f>IF(A44&lt;=1,0,Q43)</f>
        <v/>
      </c>
      <c r="S44" s="15">
        <f>IF(A44&lt;=1,0,R43)</f>
        <v/>
      </c>
      <c r="T44" s="15">
        <f>IF(A44&lt;=1,0,S43)</f>
        <v/>
      </c>
      <c r="U44" s="15">
        <f>IF(A44&lt;=1,0,T43)</f>
        <v/>
      </c>
      <c r="V44" s="15">
        <f>IF(A44&lt;=1,0,U43)</f>
        <v/>
      </c>
      <c r="W44" s="15">
        <f>IF(A44&lt;=1,0,V43)</f>
        <v/>
      </c>
      <c r="X44" s="15">
        <f>IF(A44&lt;=1,0,W43)</f>
        <v/>
      </c>
      <c r="Y44" s="15">
        <f>IF(A44&lt;=1,0,X43)</f>
        <v/>
      </c>
      <c r="Z44" s="15">
        <f>IF(A44&lt;=1,0,Y43)</f>
        <v/>
      </c>
      <c r="AA44" s="15">
        <f>IF(A44&lt;=1,0,Z43)</f>
        <v/>
      </c>
    </row>
    <row r="45">
      <c r="A45" s="55" t="n">
        <v>39</v>
      </c>
      <c r="B45" s="15">
        <f>IF(A45&gt;Inputs!$C$62,"",INDEX(Trajectory!$G$23:$G$2000,A45))</f>
        <v/>
      </c>
      <c r="C45" s="15">
        <f>IF(B45="","",IF(A45&lt;=Inputs!$C$75,INDEX(Trajectory!$G$23:$G$2000,1),INDEX(Trajectory!$G$23:$G$2000,MAX(1,A45-Inputs!$C$75))))</f>
        <v/>
      </c>
      <c r="D45" s="15">
        <f>IF(C45="","",MAX(Inputs!$C$76,CEILING(C45/(Inputs!$C$42*Inputs!$C$92),1)))</f>
        <v/>
      </c>
      <c r="E45" s="15">
        <f>IF(D45="","",MAX(E44,D45))</f>
        <v/>
      </c>
      <c r="F45" s="15">
        <f>E45-E44</f>
        <v/>
      </c>
      <c r="G45" s="12">
        <f>IF(E45="",1,IF(E45=0,1,(E45-SUM(L45:AA45)+SUMPRODUCT(L45:AA45,$N$5:$N$20))/E45))</f>
        <v/>
      </c>
      <c r="H45" s="14">
        <f>IF(E45="",0,E45*G45)</f>
        <v/>
      </c>
      <c r="I45" s="15">
        <f>IF(H45="",0,H45*Inputs!$C$42)</f>
        <v/>
      </c>
      <c r="J45" s="14">
        <f>IF(E45="",1,1 + (Inputs!$C$95-1)*IF((1-Inputs!$C$94)=0,0,(1-G45)/(1-Inputs!$C$94)))</f>
        <v/>
      </c>
      <c r="K45" s="12">
        <f>IF(I45=0,"",B45/I45)</f>
        <v/>
      </c>
      <c r="L45" s="15">
        <f>IF(F45="",0,F45)</f>
        <v/>
      </c>
      <c r="M45" s="15">
        <f>IF(A45&lt;=1,0,L44)</f>
        <v/>
      </c>
      <c r="N45" s="15">
        <f>IF(A45&lt;=1,0,M44)</f>
        <v/>
      </c>
      <c r="O45" s="15">
        <f>IF(A45&lt;=1,0,N44)</f>
        <v/>
      </c>
      <c r="P45" s="15">
        <f>IF(A45&lt;=1,0,O44)</f>
        <v/>
      </c>
      <c r="Q45" s="15">
        <f>IF(A45&lt;=1,0,P44)</f>
        <v/>
      </c>
      <c r="R45" s="15">
        <f>IF(A45&lt;=1,0,Q44)</f>
        <v/>
      </c>
      <c r="S45" s="15">
        <f>IF(A45&lt;=1,0,R44)</f>
        <v/>
      </c>
      <c r="T45" s="15">
        <f>IF(A45&lt;=1,0,S44)</f>
        <v/>
      </c>
      <c r="U45" s="15">
        <f>IF(A45&lt;=1,0,T44)</f>
        <v/>
      </c>
      <c r="V45" s="15">
        <f>IF(A45&lt;=1,0,U44)</f>
        <v/>
      </c>
      <c r="W45" s="15">
        <f>IF(A45&lt;=1,0,V44)</f>
        <v/>
      </c>
      <c r="X45" s="15">
        <f>IF(A45&lt;=1,0,W44)</f>
        <v/>
      </c>
      <c r="Y45" s="15">
        <f>IF(A45&lt;=1,0,X44)</f>
        <v/>
      </c>
      <c r="Z45" s="15">
        <f>IF(A45&lt;=1,0,Y44)</f>
        <v/>
      </c>
      <c r="AA45" s="15">
        <f>IF(A45&lt;=1,0,Z44)</f>
        <v/>
      </c>
    </row>
    <row r="46">
      <c r="A46" s="55" t="n">
        <v>40</v>
      </c>
      <c r="B46" s="15">
        <f>IF(A46&gt;Inputs!$C$62,"",INDEX(Trajectory!$G$23:$G$2000,A46))</f>
        <v/>
      </c>
      <c r="C46" s="15">
        <f>IF(B46="","",IF(A46&lt;=Inputs!$C$75,INDEX(Trajectory!$G$23:$G$2000,1),INDEX(Trajectory!$G$23:$G$2000,MAX(1,A46-Inputs!$C$75))))</f>
        <v/>
      </c>
      <c r="D46" s="15">
        <f>IF(C46="","",MAX(Inputs!$C$76,CEILING(C46/(Inputs!$C$42*Inputs!$C$92),1)))</f>
        <v/>
      </c>
      <c r="E46" s="15">
        <f>IF(D46="","",MAX(E45,D46))</f>
        <v/>
      </c>
      <c r="F46" s="15">
        <f>E46-E45</f>
        <v/>
      </c>
      <c r="G46" s="12">
        <f>IF(E46="",1,IF(E46=0,1,(E46-SUM(L46:AA46)+SUMPRODUCT(L46:AA46,$N$5:$N$20))/E46))</f>
        <v/>
      </c>
      <c r="H46" s="14">
        <f>IF(E46="",0,E46*G46)</f>
        <v/>
      </c>
      <c r="I46" s="15">
        <f>IF(H46="",0,H46*Inputs!$C$42)</f>
        <v/>
      </c>
      <c r="J46" s="14">
        <f>IF(E46="",1,1 + (Inputs!$C$95-1)*IF((1-Inputs!$C$94)=0,0,(1-G46)/(1-Inputs!$C$94)))</f>
        <v/>
      </c>
      <c r="K46" s="12">
        <f>IF(I46=0,"",B46/I46)</f>
        <v/>
      </c>
      <c r="L46" s="15">
        <f>IF(F46="",0,F46)</f>
        <v/>
      </c>
      <c r="M46" s="15">
        <f>IF(A46&lt;=1,0,L45)</f>
        <v/>
      </c>
      <c r="N46" s="15">
        <f>IF(A46&lt;=1,0,M45)</f>
        <v/>
      </c>
      <c r="O46" s="15">
        <f>IF(A46&lt;=1,0,N45)</f>
        <v/>
      </c>
      <c r="P46" s="15">
        <f>IF(A46&lt;=1,0,O45)</f>
        <v/>
      </c>
      <c r="Q46" s="15">
        <f>IF(A46&lt;=1,0,P45)</f>
        <v/>
      </c>
      <c r="R46" s="15">
        <f>IF(A46&lt;=1,0,Q45)</f>
        <v/>
      </c>
      <c r="S46" s="15">
        <f>IF(A46&lt;=1,0,R45)</f>
        <v/>
      </c>
      <c r="T46" s="15">
        <f>IF(A46&lt;=1,0,S45)</f>
        <v/>
      </c>
      <c r="U46" s="15">
        <f>IF(A46&lt;=1,0,T45)</f>
        <v/>
      </c>
      <c r="V46" s="15">
        <f>IF(A46&lt;=1,0,U45)</f>
        <v/>
      </c>
      <c r="W46" s="15">
        <f>IF(A46&lt;=1,0,V45)</f>
        <v/>
      </c>
      <c r="X46" s="15">
        <f>IF(A46&lt;=1,0,W45)</f>
        <v/>
      </c>
      <c r="Y46" s="15">
        <f>IF(A46&lt;=1,0,X45)</f>
        <v/>
      </c>
      <c r="Z46" s="15">
        <f>IF(A46&lt;=1,0,Y45)</f>
        <v/>
      </c>
      <c r="AA46" s="15">
        <f>IF(A46&lt;=1,0,Z45)</f>
        <v/>
      </c>
    </row>
    <row r="47">
      <c r="A47" s="55" t="n">
        <v>41</v>
      </c>
      <c r="B47" s="15">
        <f>IF(A47&gt;Inputs!$C$62,"",INDEX(Trajectory!$G$23:$G$2000,A47))</f>
        <v/>
      </c>
      <c r="C47" s="15">
        <f>IF(B47="","",IF(A47&lt;=Inputs!$C$75,INDEX(Trajectory!$G$23:$G$2000,1),INDEX(Trajectory!$G$23:$G$2000,MAX(1,A47-Inputs!$C$75))))</f>
        <v/>
      </c>
      <c r="D47" s="15">
        <f>IF(C47="","",MAX(Inputs!$C$76,CEILING(C47/(Inputs!$C$42*Inputs!$C$92),1)))</f>
        <v/>
      </c>
      <c r="E47" s="15">
        <f>IF(D47="","",MAX(E46,D47))</f>
        <v/>
      </c>
      <c r="F47" s="15">
        <f>E47-E46</f>
        <v/>
      </c>
      <c r="G47" s="12">
        <f>IF(E47="",1,IF(E47=0,1,(E47-SUM(L47:AA47)+SUMPRODUCT(L47:AA47,$N$5:$N$20))/E47))</f>
        <v/>
      </c>
      <c r="H47" s="14">
        <f>IF(E47="",0,E47*G47)</f>
        <v/>
      </c>
      <c r="I47" s="15">
        <f>IF(H47="",0,H47*Inputs!$C$42)</f>
        <v/>
      </c>
      <c r="J47" s="14">
        <f>IF(E47="",1,1 + (Inputs!$C$95-1)*IF((1-Inputs!$C$94)=0,0,(1-G47)/(1-Inputs!$C$94)))</f>
        <v/>
      </c>
      <c r="K47" s="12">
        <f>IF(I47=0,"",B47/I47)</f>
        <v/>
      </c>
      <c r="L47" s="15">
        <f>IF(F47="",0,F47)</f>
        <v/>
      </c>
      <c r="M47" s="15">
        <f>IF(A47&lt;=1,0,L46)</f>
        <v/>
      </c>
      <c r="N47" s="15">
        <f>IF(A47&lt;=1,0,M46)</f>
        <v/>
      </c>
      <c r="O47" s="15">
        <f>IF(A47&lt;=1,0,N46)</f>
        <v/>
      </c>
      <c r="P47" s="15">
        <f>IF(A47&lt;=1,0,O46)</f>
        <v/>
      </c>
      <c r="Q47" s="15">
        <f>IF(A47&lt;=1,0,P46)</f>
        <v/>
      </c>
      <c r="R47" s="15">
        <f>IF(A47&lt;=1,0,Q46)</f>
        <v/>
      </c>
      <c r="S47" s="15">
        <f>IF(A47&lt;=1,0,R46)</f>
        <v/>
      </c>
      <c r="T47" s="15">
        <f>IF(A47&lt;=1,0,S46)</f>
        <v/>
      </c>
      <c r="U47" s="15">
        <f>IF(A47&lt;=1,0,T46)</f>
        <v/>
      </c>
      <c r="V47" s="15">
        <f>IF(A47&lt;=1,0,U46)</f>
        <v/>
      </c>
      <c r="W47" s="15">
        <f>IF(A47&lt;=1,0,V46)</f>
        <v/>
      </c>
      <c r="X47" s="15">
        <f>IF(A47&lt;=1,0,W46)</f>
        <v/>
      </c>
      <c r="Y47" s="15">
        <f>IF(A47&lt;=1,0,X46)</f>
        <v/>
      </c>
      <c r="Z47" s="15">
        <f>IF(A47&lt;=1,0,Y46)</f>
        <v/>
      </c>
      <c r="AA47" s="15">
        <f>IF(A47&lt;=1,0,Z46)</f>
        <v/>
      </c>
    </row>
    <row r="48">
      <c r="A48" s="55" t="n">
        <v>42</v>
      </c>
      <c r="B48" s="15">
        <f>IF(A48&gt;Inputs!$C$62,"",INDEX(Trajectory!$G$23:$G$2000,A48))</f>
        <v/>
      </c>
      <c r="C48" s="15">
        <f>IF(B48="","",IF(A48&lt;=Inputs!$C$75,INDEX(Trajectory!$G$23:$G$2000,1),INDEX(Trajectory!$G$23:$G$2000,MAX(1,A48-Inputs!$C$75))))</f>
        <v/>
      </c>
      <c r="D48" s="15">
        <f>IF(C48="","",MAX(Inputs!$C$76,CEILING(C48/(Inputs!$C$42*Inputs!$C$92),1)))</f>
        <v/>
      </c>
      <c r="E48" s="15">
        <f>IF(D48="","",MAX(E47,D48))</f>
        <v/>
      </c>
      <c r="F48" s="15">
        <f>E48-E47</f>
        <v/>
      </c>
      <c r="G48" s="12">
        <f>IF(E48="",1,IF(E48=0,1,(E48-SUM(L48:AA48)+SUMPRODUCT(L48:AA48,$N$5:$N$20))/E48))</f>
        <v/>
      </c>
      <c r="H48" s="14">
        <f>IF(E48="",0,E48*G48)</f>
        <v/>
      </c>
      <c r="I48" s="15">
        <f>IF(H48="",0,H48*Inputs!$C$42)</f>
        <v/>
      </c>
      <c r="J48" s="14">
        <f>IF(E48="",1,1 + (Inputs!$C$95-1)*IF((1-Inputs!$C$94)=0,0,(1-G48)/(1-Inputs!$C$94)))</f>
        <v/>
      </c>
      <c r="K48" s="12">
        <f>IF(I48=0,"",B48/I48)</f>
        <v/>
      </c>
      <c r="L48" s="15">
        <f>IF(F48="",0,F48)</f>
        <v/>
      </c>
      <c r="M48" s="15">
        <f>IF(A48&lt;=1,0,L47)</f>
        <v/>
      </c>
      <c r="N48" s="15">
        <f>IF(A48&lt;=1,0,M47)</f>
        <v/>
      </c>
      <c r="O48" s="15">
        <f>IF(A48&lt;=1,0,N47)</f>
        <v/>
      </c>
      <c r="P48" s="15">
        <f>IF(A48&lt;=1,0,O47)</f>
        <v/>
      </c>
      <c r="Q48" s="15">
        <f>IF(A48&lt;=1,0,P47)</f>
        <v/>
      </c>
      <c r="R48" s="15">
        <f>IF(A48&lt;=1,0,Q47)</f>
        <v/>
      </c>
      <c r="S48" s="15">
        <f>IF(A48&lt;=1,0,R47)</f>
        <v/>
      </c>
      <c r="T48" s="15">
        <f>IF(A48&lt;=1,0,S47)</f>
        <v/>
      </c>
      <c r="U48" s="15">
        <f>IF(A48&lt;=1,0,T47)</f>
        <v/>
      </c>
      <c r="V48" s="15">
        <f>IF(A48&lt;=1,0,U47)</f>
        <v/>
      </c>
      <c r="W48" s="15">
        <f>IF(A48&lt;=1,0,V47)</f>
        <v/>
      </c>
      <c r="X48" s="15">
        <f>IF(A48&lt;=1,0,W47)</f>
        <v/>
      </c>
      <c r="Y48" s="15">
        <f>IF(A48&lt;=1,0,X47)</f>
        <v/>
      </c>
      <c r="Z48" s="15">
        <f>IF(A48&lt;=1,0,Y47)</f>
        <v/>
      </c>
      <c r="AA48" s="15">
        <f>IF(A48&lt;=1,0,Z47)</f>
        <v/>
      </c>
    </row>
    <row r="49">
      <c r="A49" s="55" t="n">
        <v>43</v>
      </c>
      <c r="B49" s="15">
        <f>IF(A49&gt;Inputs!$C$62,"",INDEX(Trajectory!$G$23:$G$2000,A49))</f>
        <v/>
      </c>
      <c r="C49" s="15">
        <f>IF(B49="","",IF(A49&lt;=Inputs!$C$75,INDEX(Trajectory!$G$23:$G$2000,1),INDEX(Trajectory!$G$23:$G$2000,MAX(1,A49-Inputs!$C$75))))</f>
        <v/>
      </c>
      <c r="D49" s="15">
        <f>IF(C49="","",MAX(Inputs!$C$76,CEILING(C49/(Inputs!$C$42*Inputs!$C$92),1)))</f>
        <v/>
      </c>
      <c r="E49" s="15">
        <f>IF(D49="","",MAX(E48,D49))</f>
        <v/>
      </c>
      <c r="F49" s="15">
        <f>E49-E48</f>
        <v/>
      </c>
      <c r="G49" s="12">
        <f>IF(E49="",1,IF(E49=0,1,(E49-SUM(L49:AA49)+SUMPRODUCT(L49:AA49,$N$5:$N$20))/E49))</f>
        <v/>
      </c>
      <c r="H49" s="14">
        <f>IF(E49="",0,E49*G49)</f>
        <v/>
      </c>
      <c r="I49" s="15">
        <f>IF(H49="",0,H49*Inputs!$C$42)</f>
        <v/>
      </c>
      <c r="J49" s="14">
        <f>IF(E49="",1,1 + (Inputs!$C$95-1)*IF((1-Inputs!$C$94)=0,0,(1-G49)/(1-Inputs!$C$94)))</f>
        <v/>
      </c>
      <c r="K49" s="12">
        <f>IF(I49=0,"",B49/I49)</f>
        <v/>
      </c>
      <c r="L49" s="15">
        <f>IF(F49="",0,F49)</f>
        <v/>
      </c>
      <c r="M49" s="15">
        <f>IF(A49&lt;=1,0,L48)</f>
        <v/>
      </c>
      <c r="N49" s="15">
        <f>IF(A49&lt;=1,0,M48)</f>
        <v/>
      </c>
      <c r="O49" s="15">
        <f>IF(A49&lt;=1,0,N48)</f>
        <v/>
      </c>
      <c r="P49" s="15">
        <f>IF(A49&lt;=1,0,O48)</f>
        <v/>
      </c>
      <c r="Q49" s="15">
        <f>IF(A49&lt;=1,0,P48)</f>
        <v/>
      </c>
      <c r="R49" s="15">
        <f>IF(A49&lt;=1,0,Q48)</f>
        <v/>
      </c>
      <c r="S49" s="15">
        <f>IF(A49&lt;=1,0,R48)</f>
        <v/>
      </c>
      <c r="T49" s="15">
        <f>IF(A49&lt;=1,0,S48)</f>
        <v/>
      </c>
      <c r="U49" s="15">
        <f>IF(A49&lt;=1,0,T48)</f>
        <v/>
      </c>
      <c r="V49" s="15">
        <f>IF(A49&lt;=1,0,U48)</f>
        <v/>
      </c>
      <c r="W49" s="15">
        <f>IF(A49&lt;=1,0,V48)</f>
        <v/>
      </c>
      <c r="X49" s="15">
        <f>IF(A49&lt;=1,0,W48)</f>
        <v/>
      </c>
      <c r="Y49" s="15">
        <f>IF(A49&lt;=1,0,X48)</f>
        <v/>
      </c>
      <c r="Z49" s="15">
        <f>IF(A49&lt;=1,0,Y48)</f>
        <v/>
      </c>
      <c r="AA49" s="15">
        <f>IF(A49&lt;=1,0,Z48)</f>
        <v/>
      </c>
    </row>
    <row r="50">
      <c r="A50" s="55" t="n">
        <v>44</v>
      </c>
      <c r="B50" s="15">
        <f>IF(A50&gt;Inputs!$C$62,"",INDEX(Trajectory!$G$23:$G$2000,A50))</f>
        <v/>
      </c>
      <c r="C50" s="15">
        <f>IF(B50="","",IF(A50&lt;=Inputs!$C$75,INDEX(Trajectory!$G$23:$G$2000,1),INDEX(Trajectory!$G$23:$G$2000,MAX(1,A50-Inputs!$C$75))))</f>
        <v/>
      </c>
      <c r="D50" s="15">
        <f>IF(C50="","",MAX(Inputs!$C$76,CEILING(C50/(Inputs!$C$42*Inputs!$C$92),1)))</f>
        <v/>
      </c>
      <c r="E50" s="15">
        <f>IF(D50="","",MAX(E49,D50))</f>
        <v/>
      </c>
      <c r="F50" s="15">
        <f>E50-E49</f>
        <v/>
      </c>
      <c r="G50" s="12">
        <f>IF(E50="",1,IF(E50=0,1,(E50-SUM(L50:AA50)+SUMPRODUCT(L50:AA50,$N$5:$N$20))/E50))</f>
        <v/>
      </c>
      <c r="H50" s="14">
        <f>IF(E50="",0,E50*G50)</f>
        <v/>
      </c>
      <c r="I50" s="15">
        <f>IF(H50="",0,H50*Inputs!$C$42)</f>
        <v/>
      </c>
      <c r="J50" s="14">
        <f>IF(E50="",1,1 + (Inputs!$C$95-1)*IF((1-Inputs!$C$94)=0,0,(1-G50)/(1-Inputs!$C$94)))</f>
        <v/>
      </c>
      <c r="K50" s="12">
        <f>IF(I50=0,"",B50/I50)</f>
        <v/>
      </c>
      <c r="L50" s="15">
        <f>IF(F50="",0,F50)</f>
        <v/>
      </c>
      <c r="M50" s="15">
        <f>IF(A50&lt;=1,0,L49)</f>
        <v/>
      </c>
      <c r="N50" s="15">
        <f>IF(A50&lt;=1,0,M49)</f>
        <v/>
      </c>
      <c r="O50" s="15">
        <f>IF(A50&lt;=1,0,N49)</f>
        <v/>
      </c>
      <c r="P50" s="15">
        <f>IF(A50&lt;=1,0,O49)</f>
        <v/>
      </c>
      <c r="Q50" s="15">
        <f>IF(A50&lt;=1,0,P49)</f>
        <v/>
      </c>
      <c r="R50" s="15">
        <f>IF(A50&lt;=1,0,Q49)</f>
        <v/>
      </c>
      <c r="S50" s="15">
        <f>IF(A50&lt;=1,0,R49)</f>
        <v/>
      </c>
      <c r="T50" s="15">
        <f>IF(A50&lt;=1,0,S49)</f>
        <v/>
      </c>
      <c r="U50" s="15">
        <f>IF(A50&lt;=1,0,T49)</f>
        <v/>
      </c>
      <c r="V50" s="15">
        <f>IF(A50&lt;=1,0,U49)</f>
        <v/>
      </c>
      <c r="W50" s="15">
        <f>IF(A50&lt;=1,0,V49)</f>
        <v/>
      </c>
      <c r="X50" s="15">
        <f>IF(A50&lt;=1,0,W49)</f>
        <v/>
      </c>
      <c r="Y50" s="15">
        <f>IF(A50&lt;=1,0,X49)</f>
        <v/>
      </c>
      <c r="Z50" s="15">
        <f>IF(A50&lt;=1,0,Y49)</f>
        <v/>
      </c>
      <c r="AA50" s="15">
        <f>IF(A50&lt;=1,0,Z49)</f>
        <v/>
      </c>
    </row>
    <row r="51">
      <c r="A51" s="55" t="n">
        <v>45</v>
      </c>
      <c r="B51" s="15">
        <f>IF(A51&gt;Inputs!$C$62,"",INDEX(Trajectory!$G$23:$G$2000,A51))</f>
        <v/>
      </c>
      <c r="C51" s="15">
        <f>IF(B51="","",IF(A51&lt;=Inputs!$C$75,INDEX(Trajectory!$G$23:$G$2000,1),INDEX(Trajectory!$G$23:$G$2000,MAX(1,A51-Inputs!$C$75))))</f>
        <v/>
      </c>
      <c r="D51" s="15">
        <f>IF(C51="","",MAX(Inputs!$C$76,CEILING(C51/(Inputs!$C$42*Inputs!$C$92),1)))</f>
        <v/>
      </c>
      <c r="E51" s="15">
        <f>IF(D51="","",MAX(E50,D51))</f>
        <v/>
      </c>
      <c r="F51" s="15">
        <f>E51-E50</f>
        <v/>
      </c>
      <c r="G51" s="12">
        <f>IF(E51="",1,IF(E51=0,1,(E51-SUM(L51:AA51)+SUMPRODUCT(L51:AA51,$N$5:$N$20))/E51))</f>
        <v/>
      </c>
      <c r="H51" s="14">
        <f>IF(E51="",0,E51*G51)</f>
        <v/>
      </c>
      <c r="I51" s="15">
        <f>IF(H51="",0,H51*Inputs!$C$42)</f>
        <v/>
      </c>
      <c r="J51" s="14">
        <f>IF(E51="",1,1 + (Inputs!$C$95-1)*IF((1-Inputs!$C$94)=0,0,(1-G51)/(1-Inputs!$C$94)))</f>
        <v/>
      </c>
      <c r="K51" s="12">
        <f>IF(I51=0,"",B51/I51)</f>
        <v/>
      </c>
      <c r="L51" s="15">
        <f>IF(F51="",0,F51)</f>
        <v/>
      </c>
      <c r="M51" s="15">
        <f>IF(A51&lt;=1,0,L50)</f>
        <v/>
      </c>
      <c r="N51" s="15">
        <f>IF(A51&lt;=1,0,M50)</f>
        <v/>
      </c>
      <c r="O51" s="15">
        <f>IF(A51&lt;=1,0,N50)</f>
        <v/>
      </c>
      <c r="P51" s="15">
        <f>IF(A51&lt;=1,0,O50)</f>
        <v/>
      </c>
      <c r="Q51" s="15">
        <f>IF(A51&lt;=1,0,P50)</f>
        <v/>
      </c>
      <c r="R51" s="15">
        <f>IF(A51&lt;=1,0,Q50)</f>
        <v/>
      </c>
      <c r="S51" s="15">
        <f>IF(A51&lt;=1,0,R50)</f>
        <v/>
      </c>
      <c r="T51" s="15">
        <f>IF(A51&lt;=1,0,S50)</f>
        <v/>
      </c>
      <c r="U51" s="15">
        <f>IF(A51&lt;=1,0,T50)</f>
        <v/>
      </c>
      <c r="V51" s="15">
        <f>IF(A51&lt;=1,0,U50)</f>
        <v/>
      </c>
      <c r="W51" s="15">
        <f>IF(A51&lt;=1,0,V50)</f>
        <v/>
      </c>
      <c r="X51" s="15">
        <f>IF(A51&lt;=1,0,W50)</f>
        <v/>
      </c>
      <c r="Y51" s="15">
        <f>IF(A51&lt;=1,0,X50)</f>
        <v/>
      </c>
      <c r="Z51" s="15">
        <f>IF(A51&lt;=1,0,Y50)</f>
        <v/>
      </c>
      <c r="AA51" s="15">
        <f>IF(A51&lt;=1,0,Z50)</f>
        <v/>
      </c>
    </row>
    <row r="52">
      <c r="A52" s="55" t="n">
        <v>46</v>
      </c>
      <c r="B52" s="15">
        <f>IF(A52&gt;Inputs!$C$62,"",INDEX(Trajectory!$G$23:$G$2000,A52))</f>
        <v/>
      </c>
      <c r="C52" s="15">
        <f>IF(B52="","",IF(A52&lt;=Inputs!$C$75,INDEX(Trajectory!$G$23:$G$2000,1),INDEX(Trajectory!$G$23:$G$2000,MAX(1,A52-Inputs!$C$75))))</f>
        <v/>
      </c>
      <c r="D52" s="15">
        <f>IF(C52="","",MAX(Inputs!$C$76,CEILING(C52/(Inputs!$C$42*Inputs!$C$92),1)))</f>
        <v/>
      </c>
      <c r="E52" s="15">
        <f>IF(D52="","",MAX(E51,D52))</f>
        <v/>
      </c>
      <c r="F52" s="15">
        <f>E52-E51</f>
        <v/>
      </c>
      <c r="G52" s="12">
        <f>IF(E52="",1,IF(E52=0,1,(E52-SUM(L52:AA52)+SUMPRODUCT(L52:AA52,$N$5:$N$20))/E52))</f>
        <v/>
      </c>
      <c r="H52" s="14">
        <f>IF(E52="",0,E52*G52)</f>
        <v/>
      </c>
      <c r="I52" s="15">
        <f>IF(H52="",0,H52*Inputs!$C$42)</f>
        <v/>
      </c>
      <c r="J52" s="14">
        <f>IF(E52="",1,1 + (Inputs!$C$95-1)*IF((1-Inputs!$C$94)=0,0,(1-G52)/(1-Inputs!$C$94)))</f>
        <v/>
      </c>
      <c r="K52" s="12">
        <f>IF(I52=0,"",B52/I52)</f>
        <v/>
      </c>
      <c r="L52" s="15">
        <f>IF(F52="",0,F52)</f>
        <v/>
      </c>
      <c r="M52" s="15">
        <f>IF(A52&lt;=1,0,L51)</f>
        <v/>
      </c>
      <c r="N52" s="15">
        <f>IF(A52&lt;=1,0,M51)</f>
        <v/>
      </c>
      <c r="O52" s="15">
        <f>IF(A52&lt;=1,0,N51)</f>
        <v/>
      </c>
      <c r="P52" s="15">
        <f>IF(A52&lt;=1,0,O51)</f>
        <v/>
      </c>
      <c r="Q52" s="15">
        <f>IF(A52&lt;=1,0,P51)</f>
        <v/>
      </c>
      <c r="R52" s="15">
        <f>IF(A52&lt;=1,0,Q51)</f>
        <v/>
      </c>
      <c r="S52" s="15">
        <f>IF(A52&lt;=1,0,R51)</f>
        <v/>
      </c>
      <c r="T52" s="15">
        <f>IF(A52&lt;=1,0,S51)</f>
        <v/>
      </c>
      <c r="U52" s="15">
        <f>IF(A52&lt;=1,0,T51)</f>
        <v/>
      </c>
      <c r="V52" s="15">
        <f>IF(A52&lt;=1,0,U51)</f>
        <v/>
      </c>
      <c r="W52" s="15">
        <f>IF(A52&lt;=1,0,V51)</f>
        <v/>
      </c>
      <c r="X52" s="15">
        <f>IF(A52&lt;=1,0,W51)</f>
        <v/>
      </c>
      <c r="Y52" s="15">
        <f>IF(A52&lt;=1,0,X51)</f>
        <v/>
      </c>
      <c r="Z52" s="15">
        <f>IF(A52&lt;=1,0,Y51)</f>
        <v/>
      </c>
      <c r="AA52" s="15">
        <f>IF(A52&lt;=1,0,Z51)</f>
        <v/>
      </c>
    </row>
    <row r="53">
      <c r="A53" s="55" t="n">
        <v>47</v>
      </c>
      <c r="B53" s="15">
        <f>IF(A53&gt;Inputs!$C$62,"",INDEX(Trajectory!$G$23:$G$2000,A53))</f>
        <v/>
      </c>
      <c r="C53" s="15">
        <f>IF(B53="","",IF(A53&lt;=Inputs!$C$75,INDEX(Trajectory!$G$23:$G$2000,1),INDEX(Trajectory!$G$23:$G$2000,MAX(1,A53-Inputs!$C$75))))</f>
        <v/>
      </c>
      <c r="D53" s="15">
        <f>IF(C53="","",MAX(Inputs!$C$76,CEILING(C53/(Inputs!$C$42*Inputs!$C$92),1)))</f>
        <v/>
      </c>
      <c r="E53" s="15">
        <f>IF(D53="","",MAX(E52,D53))</f>
        <v/>
      </c>
      <c r="F53" s="15">
        <f>E53-E52</f>
        <v/>
      </c>
      <c r="G53" s="12">
        <f>IF(E53="",1,IF(E53=0,1,(E53-SUM(L53:AA53)+SUMPRODUCT(L53:AA53,$N$5:$N$20))/E53))</f>
        <v/>
      </c>
      <c r="H53" s="14">
        <f>IF(E53="",0,E53*G53)</f>
        <v/>
      </c>
      <c r="I53" s="15">
        <f>IF(H53="",0,H53*Inputs!$C$42)</f>
        <v/>
      </c>
      <c r="J53" s="14">
        <f>IF(E53="",1,1 + (Inputs!$C$95-1)*IF((1-Inputs!$C$94)=0,0,(1-G53)/(1-Inputs!$C$94)))</f>
        <v/>
      </c>
      <c r="K53" s="12">
        <f>IF(I53=0,"",B53/I53)</f>
        <v/>
      </c>
      <c r="L53" s="15">
        <f>IF(F53="",0,F53)</f>
        <v/>
      </c>
      <c r="M53" s="15">
        <f>IF(A53&lt;=1,0,L52)</f>
        <v/>
      </c>
      <c r="N53" s="15">
        <f>IF(A53&lt;=1,0,M52)</f>
        <v/>
      </c>
      <c r="O53" s="15">
        <f>IF(A53&lt;=1,0,N52)</f>
        <v/>
      </c>
      <c r="P53" s="15">
        <f>IF(A53&lt;=1,0,O52)</f>
        <v/>
      </c>
      <c r="Q53" s="15">
        <f>IF(A53&lt;=1,0,P52)</f>
        <v/>
      </c>
      <c r="R53" s="15">
        <f>IF(A53&lt;=1,0,Q52)</f>
        <v/>
      </c>
      <c r="S53" s="15">
        <f>IF(A53&lt;=1,0,R52)</f>
        <v/>
      </c>
      <c r="T53" s="15">
        <f>IF(A53&lt;=1,0,S52)</f>
        <v/>
      </c>
      <c r="U53" s="15">
        <f>IF(A53&lt;=1,0,T52)</f>
        <v/>
      </c>
      <c r="V53" s="15">
        <f>IF(A53&lt;=1,0,U52)</f>
        <v/>
      </c>
      <c r="W53" s="15">
        <f>IF(A53&lt;=1,0,V52)</f>
        <v/>
      </c>
      <c r="X53" s="15">
        <f>IF(A53&lt;=1,0,W52)</f>
        <v/>
      </c>
      <c r="Y53" s="15">
        <f>IF(A53&lt;=1,0,X52)</f>
        <v/>
      </c>
      <c r="Z53" s="15">
        <f>IF(A53&lt;=1,0,Y52)</f>
        <v/>
      </c>
      <c r="AA53" s="15">
        <f>IF(A53&lt;=1,0,Z52)</f>
        <v/>
      </c>
    </row>
    <row r="54">
      <c r="A54" s="55" t="n">
        <v>48</v>
      </c>
      <c r="B54" s="15">
        <f>IF(A54&gt;Inputs!$C$62,"",INDEX(Trajectory!$G$23:$G$2000,A54))</f>
        <v/>
      </c>
      <c r="C54" s="15">
        <f>IF(B54="","",IF(A54&lt;=Inputs!$C$75,INDEX(Trajectory!$G$23:$G$2000,1),INDEX(Trajectory!$G$23:$G$2000,MAX(1,A54-Inputs!$C$75))))</f>
        <v/>
      </c>
      <c r="D54" s="15">
        <f>IF(C54="","",MAX(Inputs!$C$76,CEILING(C54/(Inputs!$C$42*Inputs!$C$92),1)))</f>
        <v/>
      </c>
      <c r="E54" s="15">
        <f>IF(D54="","",MAX(E53,D54))</f>
        <v/>
      </c>
      <c r="F54" s="15">
        <f>E54-E53</f>
        <v/>
      </c>
      <c r="G54" s="12">
        <f>IF(E54="",1,IF(E54=0,1,(E54-SUM(L54:AA54)+SUMPRODUCT(L54:AA54,$N$5:$N$20))/E54))</f>
        <v/>
      </c>
      <c r="H54" s="14">
        <f>IF(E54="",0,E54*G54)</f>
        <v/>
      </c>
      <c r="I54" s="15">
        <f>IF(H54="",0,H54*Inputs!$C$42)</f>
        <v/>
      </c>
      <c r="J54" s="14">
        <f>IF(E54="",1,1 + (Inputs!$C$95-1)*IF((1-Inputs!$C$94)=0,0,(1-G54)/(1-Inputs!$C$94)))</f>
        <v/>
      </c>
      <c r="K54" s="12">
        <f>IF(I54=0,"",B54/I54)</f>
        <v/>
      </c>
      <c r="L54" s="15">
        <f>IF(F54="",0,F54)</f>
        <v/>
      </c>
      <c r="M54" s="15">
        <f>IF(A54&lt;=1,0,L53)</f>
        <v/>
      </c>
      <c r="N54" s="15">
        <f>IF(A54&lt;=1,0,M53)</f>
        <v/>
      </c>
      <c r="O54" s="15">
        <f>IF(A54&lt;=1,0,N53)</f>
        <v/>
      </c>
      <c r="P54" s="15">
        <f>IF(A54&lt;=1,0,O53)</f>
        <v/>
      </c>
      <c r="Q54" s="15">
        <f>IF(A54&lt;=1,0,P53)</f>
        <v/>
      </c>
      <c r="R54" s="15">
        <f>IF(A54&lt;=1,0,Q53)</f>
        <v/>
      </c>
      <c r="S54" s="15">
        <f>IF(A54&lt;=1,0,R53)</f>
        <v/>
      </c>
      <c r="T54" s="15">
        <f>IF(A54&lt;=1,0,S53)</f>
        <v/>
      </c>
      <c r="U54" s="15">
        <f>IF(A54&lt;=1,0,T53)</f>
        <v/>
      </c>
      <c r="V54" s="15">
        <f>IF(A54&lt;=1,0,U53)</f>
        <v/>
      </c>
      <c r="W54" s="15">
        <f>IF(A54&lt;=1,0,V53)</f>
        <v/>
      </c>
      <c r="X54" s="15">
        <f>IF(A54&lt;=1,0,W53)</f>
        <v/>
      </c>
      <c r="Y54" s="15">
        <f>IF(A54&lt;=1,0,X53)</f>
        <v/>
      </c>
      <c r="Z54" s="15">
        <f>IF(A54&lt;=1,0,Y53)</f>
        <v/>
      </c>
      <c r="AA54" s="15">
        <f>IF(A54&lt;=1,0,Z53)</f>
        <v/>
      </c>
    </row>
    <row r="55">
      <c r="A55" s="55" t="n">
        <v>49</v>
      </c>
      <c r="B55" s="15">
        <f>IF(A55&gt;Inputs!$C$62,"",INDEX(Trajectory!$G$23:$G$2000,A55))</f>
        <v/>
      </c>
      <c r="C55" s="15">
        <f>IF(B55="","",IF(A55&lt;=Inputs!$C$75,INDEX(Trajectory!$G$23:$G$2000,1),INDEX(Trajectory!$G$23:$G$2000,MAX(1,A55-Inputs!$C$75))))</f>
        <v/>
      </c>
      <c r="D55" s="15">
        <f>IF(C55="","",MAX(Inputs!$C$76,CEILING(C55/(Inputs!$C$42*Inputs!$C$92),1)))</f>
        <v/>
      </c>
      <c r="E55" s="15">
        <f>IF(D55="","",MAX(E54,D55))</f>
        <v/>
      </c>
      <c r="F55" s="15">
        <f>E55-E54</f>
        <v/>
      </c>
      <c r="G55" s="12">
        <f>IF(E55="",1,IF(E55=0,1,(E55-SUM(L55:AA55)+SUMPRODUCT(L55:AA55,$N$5:$N$20))/E55))</f>
        <v/>
      </c>
      <c r="H55" s="14">
        <f>IF(E55="",0,E55*G55)</f>
        <v/>
      </c>
      <c r="I55" s="15">
        <f>IF(H55="",0,H55*Inputs!$C$42)</f>
        <v/>
      </c>
      <c r="J55" s="14">
        <f>IF(E55="",1,1 + (Inputs!$C$95-1)*IF((1-Inputs!$C$94)=0,0,(1-G55)/(1-Inputs!$C$94)))</f>
        <v/>
      </c>
      <c r="K55" s="12">
        <f>IF(I55=0,"",B55/I55)</f>
        <v/>
      </c>
      <c r="L55" s="15">
        <f>IF(F55="",0,F55)</f>
        <v/>
      </c>
      <c r="M55" s="15">
        <f>IF(A55&lt;=1,0,L54)</f>
        <v/>
      </c>
      <c r="N55" s="15">
        <f>IF(A55&lt;=1,0,M54)</f>
        <v/>
      </c>
      <c r="O55" s="15">
        <f>IF(A55&lt;=1,0,N54)</f>
        <v/>
      </c>
      <c r="P55" s="15">
        <f>IF(A55&lt;=1,0,O54)</f>
        <v/>
      </c>
      <c r="Q55" s="15">
        <f>IF(A55&lt;=1,0,P54)</f>
        <v/>
      </c>
      <c r="R55" s="15">
        <f>IF(A55&lt;=1,0,Q54)</f>
        <v/>
      </c>
      <c r="S55" s="15">
        <f>IF(A55&lt;=1,0,R54)</f>
        <v/>
      </c>
      <c r="T55" s="15">
        <f>IF(A55&lt;=1,0,S54)</f>
        <v/>
      </c>
      <c r="U55" s="15">
        <f>IF(A55&lt;=1,0,T54)</f>
        <v/>
      </c>
      <c r="V55" s="15">
        <f>IF(A55&lt;=1,0,U54)</f>
        <v/>
      </c>
      <c r="W55" s="15">
        <f>IF(A55&lt;=1,0,V54)</f>
        <v/>
      </c>
      <c r="X55" s="15">
        <f>IF(A55&lt;=1,0,W54)</f>
        <v/>
      </c>
      <c r="Y55" s="15">
        <f>IF(A55&lt;=1,0,X54)</f>
        <v/>
      </c>
      <c r="Z55" s="15">
        <f>IF(A55&lt;=1,0,Y54)</f>
        <v/>
      </c>
      <c r="AA55" s="15">
        <f>IF(A55&lt;=1,0,Z54)</f>
        <v/>
      </c>
    </row>
    <row r="56">
      <c r="A56" s="55" t="n">
        <v>50</v>
      </c>
      <c r="B56" s="15">
        <f>IF(A56&gt;Inputs!$C$62,"",INDEX(Trajectory!$G$23:$G$2000,A56))</f>
        <v/>
      </c>
      <c r="C56" s="15">
        <f>IF(B56="","",IF(A56&lt;=Inputs!$C$75,INDEX(Trajectory!$G$23:$G$2000,1),INDEX(Trajectory!$G$23:$G$2000,MAX(1,A56-Inputs!$C$75))))</f>
        <v/>
      </c>
      <c r="D56" s="15">
        <f>IF(C56="","",MAX(Inputs!$C$76,CEILING(C56/(Inputs!$C$42*Inputs!$C$92),1)))</f>
        <v/>
      </c>
      <c r="E56" s="15">
        <f>IF(D56="","",MAX(E55,D56))</f>
        <v/>
      </c>
      <c r="F56" s="15">
        <f>E56-E55</f>
        <v/>
      </c>
      <c r="G56" s="12">
        <f>IF(E56="",1,IF(E56=0,1,(E56-SUM(L56:AA56)+SUMPRODUCT(L56:AA56,$N$5:$N$20))/E56))</f>
        <v/>
      </c>
      <c r="H56" s="14">
        <f>IF(E56="",0,E56*G56)</f>
        <v/>
      </c>
      <c r="I56" s="15">
        <f>IF(H56="",0,H56*Inputs!$C$42)</f>
        <v/>
      </c>
      <c r="J56" s="14">
        <f>IF(E56="",1,1 + (Inputs!$C$95-1)*IF((1-Inputs!$C$94)=0,0,(1-G56)/(1-Inputs!$C$94)))</f>
        <v/>
      </c>
      <c r="K56" s="12">
        <f>IF(I56=0,"",B56/I56)</f>
        <v/>
      </c>
      <c r="L56" s="15">
        <f>IF(F56="",0,F56)</f>
        <v/>
      </c>
      <c r="M56" s="15">
        <f>IF(A56&lt;=1,0,L55)</f>
        <v/>
      </c>
      <c r="N56" s="15">
        <f>IF(A56&lt;=1,0,M55)</f>
        <v/>
      </c>
      <c r="O56" s="15">
        <f>IF(A56&lt;=1,0,N55)</f>
        <v/>
      </c>
      <c r="P56" s="15">
        <f>IF(A56&lt;=1,0,O55)</f>
        <v/>
      </c>
      <c r="Q56" s="15">
        <f>IF(A56&lt;=1,0,P55)</f>
        <v/>
      </c>
      <c r="R56" s="15">
        <f>IF(A56&lt;=1,0,Q55)</f>
        <v/>
      </c>
      <c r="S56" s="15">
        <f>IF(A56&lt;=1,0,R55)</f>
        <v/>
      </c>
      <c r="T56" s="15">
        <f>IF(A56&lt;=1,0,S55)</f>
        <v/>
      </c>
      <c r="U56" s="15">
        <f>IF(A56&lt;=1,0,T55)</f>
        <v/>
      </c>
      <c r="V56" s="15">
        <f>IF(A56&lt;=1,0,U55)</f>
        <v/>
      </c>
      <c r="W56" s="15">
        <f>IF(A56&lt;=1,0,V55)</f>
        <v/>
      </c>
      <c r="X56" s="15">
        <f>IF(A56&lt;=1,0,W55)</f>
        <v/>
      </c>
      <c r="Y56" s="15">
        <f>IF(A56&lt;=1,0,X55)</f>
        <v/>
      </c>
      <c r="Z56" s="15">
        <f>IF(A56&lt;=1,0,Y55)</f>
        <v/>
      </c>
      <c r="AA56" s="15">
        <f>IF(A56&lt;=1,0,Z55)</f>
        <v/>
      </c>
    </row>
    <row r="57">
      <c r="A57" s="55" t="n">
        <v>51</v>
      </c>
      <c r="B57" s="15">
        <f>IF(A57&gt;Inputs!$C$62,"",INDEX(Trajectory!$G$23:$G$2000,A57))</f>
        <v/>
      </c>
      <c r="C57" s="15">
        <f>IF(B57="","",IF(A57&lt;=Inputs!$C$75,INDEX(Trajectory!$G$23:$G$2000,1),INDEX(Trajectory!$G$23:$G$2000,MAX(1,A57-Inputs!$C$75))))</f>
        <v/>
      </c>
      <c r="D57" s="15">
        <f>IF(C57="","",MAX(Inputs!$C$76,CEILING(C57/(Inputs!$C$42*Inputs!$C$92),1)))</f>
        <v/>
      </c>
      <c r="E57" s="15">
        <f>IF(D57="","",MAX(E56,D57))</f>
        <v/>
      </c>
      <c r="F57" s="15">
        <f>E57-E56</f>
        <v/>
      </c>
      <c r="G57" s="12">
        <f>IF(E57="",1,IF(E57=0,1,(E57-SUM(L57:AA57)+SUMPRODUCT(L57:AA57,$N$5:$N$20))/E57))</f>
        <v/>
      </c>
      <c r="H57" s="14">
        <f>IF(E57="",0,E57*G57)</f>
        <v/>
      </c>
      <c r="I57" s="15">
        <f>IF(H57="",0,H57*Inputs!$C$42)</f>
        <v/>
      </c>
      <c r="J57" s="14">
        <f>IF(E57="",1,1 + (Inputs!$C$95-1)*IF((1-Inputs!$C$94)=0,0,(1-G57)/(1-Inputs!$C$94)))</f>
        <v/>
      </c>
      <c r="K57" s="12">
        <f>IF(I57=0,"",B57/I57)</f>
        <v/>
      </c>
      <c r="L57" s="15">
        <f>IF(F57="",0,F57)</f>
        <v/>
      </c>
      <c r="M57" s="15">
        <f>IF(A57&lt;=1,0,L56)</f>
        <v/>
      </c>
      <c r="N57" s="15">
        <f>IF(A57&lt;=1,0,M56)</f>
        <v/>
      </c>
      <c r="O57" s="15">
        <f>IF(A57&lt;=1,0,N56)</f>
        <v/>
      </c>
      <c r="P57" s="15">
        <f>IF(A57&lt;=1,0,O56)</f>
        <v/>
      </c>
      <c r="Q57" s="15">
        <f>IF(A57&lt;=1,0,P56)</f>
        <v/>
      </c>
      <c r="R57" s="15">
        <f>IF(A57&lt;=1,0,Q56)</f>
        <v/>
      </c>
      <c r="S57" s="15">
        <f>IF(A57&lt;=1,0,R56)</f>
        <v/>
      </c>
      <c r="T57" s="15">
        <f>IF(A57&lt;=1,0,S56)</f>
        <v/>
      </c>
      <c r="U57" s="15">
        <f>IF(A57&lt;=1,0,T56)</f>
        <v/>
      </c>
      <c r="V57" s="15">
        <f>IF(A57&lt;=1,0,U56)</f>
        <v/>
      </c>
      <c r="W57" s="15">
        <f>IF(A57&lt;=1,0,V56)</f>
        <v/>
      </c>
      <c r="X57" s="15">
        <f>IF(A57&lt;=1,0,W56)</f>
        <v/>
      </c>
      <c r="Y57" s="15">
        <f>IF(A57&lt;=1,0,X56)</f>
        <v/>
      </c>
      <c r="Z57" s="15">
        <f>IF(A57&lt;=1,0,Y56)</f>
        <v/>
      </c>
      <c r="AA57" s="15">
        <f>IF(A57&lt;=1,0,Z56)</f>
        <v/>
      </c>
    </row>
    <row r="58">
      <c r="A58" s="55" t="n">
        <v>52</v>
      </c>
      <c r="B58" s="15">
        <f>IF(A58&gt;Inputs!$C$62,"",INDEX(Trajectory!$G$23:$G$2000,A58))</f>
        <v/>
      </c>
      <c r="C58" s="15">
        <f>IF(B58="","",IF(A58&lt;=Inputs!$C$75,INDEX(Trajectory!$G$23:$G$2000,1),INDEX(Trajectory!$G$23:$G$2000,MAX(1,A58-Inputs!$C$75))))</f>
        <v/>
      </c>
      <c r="D58" s="15">
        <f>IF(C58="","",MAX(Inputs!$C$76,CEILING(C58/(Inputs!$C$42*Inputs!$C$92),1)))</f>
        <v/>
      </c>
      <c r="E58" s="15">
        <f>IF(D58="","",MAX(E57,D58))</f>
        <v/>
      </c>
      <c r="F58" s="15">
        <f>E58-E57</f>
        <v/>
      </c>
      <c r="G58" s="12">
        <f>IF(E58="",1,IF(E58=0,1,(E58-SUM(L58:AA58)+SUMPRODUCT(L58:AA58,$N$5:$N$20))/E58))</f>
        <v/>
      </c>
      <c r="H58" s="14">
        <f>IF(E58="",0,E58*G58)</f>
        <v/>
      </c>
      <c r="I58" s="15">
        <f>IF(H58="",0,H58*Inputs!$C$42)</f>
        <v/>
      </c>
      <c r="J58" s="14">
        <f>IF(E58="",1,1 + (Inputs!$C$95-1)*IF((1-Inputs!$C$94)=0,0,(1-G58)/(1-Inputs!$C$94)))</f>
        <v/>
      </c>
      <c r="K58" s="12">
        <f>IF(I58=0,"",B58/I58)</f>
        <v/>
      </c>
      <c r="L58" s="15">
        <f>IF(F58="",0,F58)</f>
        <v/>
      </c>
      <c r="M58" s="15">
        <f>IF(A58&lt;=1,0,L57)</f>
        <v/>
      </c>
      <c r="N58" s="15">
        <f>IF(A58&lt;=1,0,M57)</f>
        <v/>
      </c>
      <c r="O58" s="15">
        <f>IF(A58&lt;=1,0,N57)</f>
        <v/>
      </c>
      <c r="P58" s="15">
        <f>IF(A58&lt;=1,0,O57)</f>
        <v/>
      </c>
      <c r="Q58" s="15">
        <f>IF(A58&lt;=1,0,P57)</f>
        <v/>
      </c>
      <c r="R58" s="15">
        <f>IF(A58&lt;=1,0,Q57)</f>
        <v/>
      </c>
      <c r="S58" s="15">
        <f>IF(A58&lt;=1,0,R57)</f>
        <v/>
      </c>
      <c r="T58" s="15">
        <f>IF(A58&lt;=1,0,S57)</f>
        <v/>
      </c>
      <c r="U58" s="15">
        <f>IF(A58&lt;=1,0,T57)</f>
        <v/>
      </c>
      <c r="V58" s="15">
        <f>IF(A58&lt;=1,0,U57)</f>
        <v/>
      </c>
      <c r="W58" s="15">
        <f>IF(A58&lt;=1,0,V57)</f>
        <v/>
      </c>
      <c r="X58" s="15">
        <f>IF(A58&lt;=1,0,W57)</f>
        <v/>
      </c>
      <c r="Y58" s="15">
        <f>IF(A58&lt;=1,0,X57)</f>
        <v/>
      </c>
      <c r="Z58" s="15">
        <f>IF(A58&lt;=1,0,Y57)</f>
        <v/>
      </c>
      <c r="AA58" s="15">
        <f>IF(A58&lt;=1,0,Z57)</f>
        <v/>
      </c>
    </row>
    <row r="59">
      <c r="A59" s="55" t="n">
        <v>53</v>
      </c>
      <c r="B59" s="15">
        <f>IF(A59&gt;Inputs!$C$62,"",INDEX(Trajectory!$G$23:$G$2000,A59))</f>
        <v/>
      </c>
      <c r="C59" s="15">
        <f>IF(B59="","",IF(A59&lt;=Inputs!$C$75,INDEX(Trajectory!$G$23:$G$2000,1),INDEX(Trajectory!$G$23:$G$2000,MAX(1,A59-Inputs!$C$75))))</f>
        <v/>
      </c>
      <c r="D59" s="15">
        <f>IF(C59="","",MAX(Inputs!$C$76,CEILING(C59/(Inputs!$C$42*Inputs!$C$92),1)))</f>
        <v/>
      </c>
      <c r="E59" s="15">
        <f>IF(D59="","",MAX(E58,D59))</f>
        <v/>
      </c>
      <c r="F59" s="15">
        <f>E59-E58</f>
        <v/>
      </c>
      <c r="G59" s="12">
        <f>IF(E59="",1,IF(E59=0,1,(E59-SUM(L59:AA59)+SUMPRODUCT(L59:AA59,$N$5:$N$20))/E59))</f>
        <v/>
      </c>
      <c r="H59" s="14">
        <f>IF(E59="",0,E59*G59)</f>
        <v/>
      </c>
      <c r="I59" s="15">
        <f>IF(H59="",0,H59*Inputs!$C$42)</f>
        <v/>
      </c>
      <c r="J59" s="14">
        <f>IF(E59="",1,1 + (Inputs!$C$95-1)*IF((1-Inputs!$C$94)=0,0,(1-G59)/(1-Inputs!$C$94)))</f>
        <v/>
      </c>
      <c r="K59" s="12">
        <f>IF(I59=0,"",B59/I59)</f>
        <v/>
      </c>
      <c r="L59" s="15">
        <f>IF(F59="",0,F59)</f>
        <v/>
      </c>
      <c r="M59" s="15">
        <f>IF(A59&lt;=1,0,L58)</f>
        <v/>
      </c>
      <c r="N59" s="15">
        <f>IF(A59&lt;=1,0,M58)</f>
        <v/>
      </c>
      <c r="O59" s="15">
        <f>IF(A59&lt;=1,0,N58)</f>
        <v/>
      </c>
      <c r="P59" s="15">
        <f>IF(A59&lt;=1,0,O58)</f>
        <v/>
      </c>
      <c r="Q59" s="15">
        <f>IF(A59&lt;=1,0,P58)</f>
        <v/>
      </c>
      <c r="R59" s="15">
        <f>IF(A59&lt;=1,0,Q58)</f>
        <v/>
      </c>
      <c r="S59" s="15">
        <f>IF(A59&lt;=1,0,R58)</f>
        <v/>
      </c>
      <c r="T59" s="15">
        <f>IF(A59&lt;=1,0,S58)</f>
        <v/>
      </c>
      <c r="U59" s="15">
        <f>IF(A59&lt;=1,0,T58)</f>
        <v/>
      </c>
      <c r="V59" s="15">
        <f>IF(A59&lt;=1,0,U58)</f>
        <v/>
      </c>
      <c r="W59" s="15">
        <f>IF(A59&lt;=1,0,V58)</f>
        <v/>
      </c>
      <c r="X59" s="15">
        <f>IF(A59&lt;=1,0,W58)</f>
        <v/>
      </c>
      <c r="Y59" s="15">
        <f>IF(A59&lt;=1,0,X58)</f>
        <v/>
      </c>
      <c r="Z59" s="15">
        <f>IF(A59&lt;=1,0,Y58)</f>
        <v/>
      </c>
      <c r="AA59" s="15">
        <f>IF(A59&lt;=1,0,Z58)</f>
        <v/>
      </c>
    </row>
    <row r="60">
      <c r="A60" s="55" t="n">
        <v>54</v>
      </c>
      <c r="B60" s="15">
        <f>IF(A60&gt;Inputs!$C$62,"",INDEX(Trajectory!$G$23:$G$2000,A60))</f>
        <v/>
      </c>
      <c r="C60" s="15">
        <f>IF(B60="","",IF(A60&lt;=Inputs!$C$75,INDEX(Trajectory!$G$23:$G$2000,1),INDEX(Trajectory!$G$23:$G$2000,MAX(1,A60-Inputs!$C$75))))</f>
        <v/>
      </c>
      <c r="D60" s="15">
        <f>IF(C60="","",MAX(Inputs!$C$76,CEILING(C60/(Inputs!$C$42*Inputs!$C$92),1)))</f>
        <v/>
      </c>
      <c r="E60" s="15">
        <f>IF(D60="","",MAX(E59,D60))</f>
        <v/>
      </c>
      <c r="F60" s="15">
        <f>E60-E59</f>
        <v/>
      </c>
      <c r="G60" s="12">
        <f>IF(E60="",1,IF(E60=0,1,(E60-SUM(L60:AA60)+SUMPRODUCT(L60:AA60,$N$5:$N$20))/E60))</f>
        <v/>
      </c>
      <c r="H60" s="14">
        <f>IF(E60="",0,E60*G60)</f>
        <v/>
      </c>
      <c r="I60" s="15">
        <f>IF(H60="",0,H60*Inputs!$C$42)</f>
        <v/>
      </c>
      <c r="J60" s="14">
        <f>IF(E60="",1,1 + (Inputs!$C$95-1)*IF((1-Inputs!$C$94)=0,0,(1-G60)/(1-Inputs!$C$94)))</f>
        <v/>
      </c>
      <c r="K60" s="12">
        <f>IF(I60=0,"",B60/I60)</f>
        <v/>
      </c>
      <c r="L60" s="15">
        <f>IF(F60="",0,F60)</f>
        <v/>
      </c>
      <c r="M60" s="15">
        <f>IF(A60&lt;=1,0,L59)</f>
        <v/>
      </c>
      <c r="N60" s="15">
        <f>IF(A60&lt;=1,0,M59)</f>
        <v/>
      </c>
      <c r="O60" s="15">
        <f>IF(A60&lt;=1,0,N59)</f>
        <v/>
      </c>
      <c r="P60" s="15">
        <f>IF(A60&lt;=1,0,O59)</f>
        <v/>
      </c>
      <c r="Q60" s="15">
        <f>IF(A60&lt;=1,0,P59)</f>
        <v/>
      </c>
      <c r="R60" s="15">
        <f>IF(A60&lt;=1,0,Q59)</f>
        <v/>
      </c>
      <c r="S60" s="15">
        <f>IF(A60&lt;=1,0,R59)</f>
        <v/>
      </c>
      <c r="T60" s="15">
        <f>IF(A60&lt;=1,0,S59)</f>
        <v/>
      </c>
      <c r="U60" s="15">
        <f>IF(A60&lt;=1,0,T59)</f>
        <v/>
      </c>
      <c r="V60" s="15">
        <f>IF(A60&lt;=1,0,U59)</f>
        <v/>
      </c>
      <c r="W60" s="15">
        <f>IF(A60&lt;=1,0,V59)</f>
        <v/>
      </c>
      <c r="X60" s="15">
        <f>IF(A60&lt;=1,0,W59)</f>
        <v/>
      </c>
      <c r="Y60" s="15">
        <f>IF(A60&lt;=1,0,X59)</f>
        <v/>
      </c>
      <c r="Z60" s="15">
        <f>IF(A60&lt;=1,0,Y59)</f>
        <v/>
      </c>
      <c r="AA60" s="15">
        <f>IF(A60&lt;=1,0,Z59)</f>
        <v/>
      </c>
    </row>
    <row r="61">
      <c r="A61" s="55" t="n">
        <v>55</v>
      </c>
      <c r="B61" s="15">
        <f>IF(A61&gt;Inputs!$C$62,"",INDEX(Trajectory!$G$23:$G$2000,A61))</f>
        <v/>
      </c>
      <c r="C61" s="15">
        <f>IF(B61="","",IF(A61&lt;=Inputs!$C$75,INDEX(Trajectory!$G$23:$G$2000,1),INDEX(Trajectory!$G$23:$G$2000,MAX(1,A61-Inputs!$C$75))))</f>
        <v/>
      </c>
      <c r="D61" s="15">
        <f>IF(C61="","",MAX(Inputs!$C$76,CEILING(C61/(Inputs!$C$42*Inputs!$C$92),1)))</f>
        <v/>
      </c>
      <c r="E61" s="15">
        <f>IF(D61="","",MAX(E60,D61))</f>
        <v/>
      </c>
      <c r="F61" s="15">
        <f>E61-E60</f>
        <v/>
      </c>
      <c r="G61" s="12">
        <f>IF(E61="",1,IF(E61=0,1,(E61-SUM(L61:AA61)+SUMPRODUCT(L61:AA61,$N$5:$N$20))/E61))</f>
        <v/>
      </c>
      <c r="H61" s="14">
        <f>IF(E61="",0,E61*G61)</f>
        <v/>
      </c>
      <c r="I61" s="15">
        <f>IF(H61="",0,H61*Inputs!$C$42)</f>
        <v/>
      </c>
      <c r="J61" s="14">
        <f>IF(E61="",1,1 + (Inputs!$C$95-1)*IF((1-Inputs!$C$94)=0,0,(1-G61)/(1-Inputs!$C$94)))</f>
        <v/>
      </c>
      <c r="K61" s="12">
        <f>IF(I61=0,"",B61/I61)</f>
        <v/>
      </c>
      <c r="L61" s="15">
        <f>IF(F61="",0,F61)</f>
        <v/>
      </c>
      <c r="M61" s="15">
        <f>IF(A61&lt;=1,0,L60)</f>
        <v/>
      </c>
      <c r="N61" s="15">
        <f>IF(A61&lt;=1,0,M60)</f>
        <v/>
      </c>
      <c r="O61" s="15">
        <f>IF(A61&lt;=1,0,N60)</f>
        <v/>
      </c>
      <c r="P61" s="15">
        <f>IF(A61&lt;=1,0,O60)</f>
        <v/>
      </c>
      <c r="Q61" s="15">
        <f>IF(A61&lt;=1,0,P60)</f>
        <v/>
      </c>
      <c r="R61" s="15">
        <f>IF(A61&lt;=1,0,Q60)</f>
        <v/>
      </c>
      <c r="S61" s="15">
        <f>IF(A61&lt;=1,0,R60)</f>
        <v/>
      </c>
      <c r="T61" s="15">
        <f>IF(A61&lt;=1,0,S60)</f>
        <v/>
      </c>
      <c r="U61" s="15">
        <f>IF(A61&lt;=1,0,T60)</f>
        <v/>
      </c>
      <c r="V61" s="15">
        <f>IF(A61&lt;=1,0,U60)</f>
        <v/>
      </c>
      <c r="W61" s="15">
        <f>IF(A61&lt;=1,0,V60)</f>
        <v/>
      </c>
      <c r="X61" s="15">
        <f>IF(A61&lt;=1,0,W60)</f>
        <v/>
      </c>
      <c r="Y61" s="15">
        <f>IF(A61&lt;=1,0,X60)</f>
        <v/>
      </c>
      <c r="Z61" s="15">
        <f>IF(A61&lt;=1,0,Y60)</f>
        <v/>
      </c>
      <c r="AA61" s="15">
        <f>IF(A61&lt;=1,0,Z60)</f>
        <v/>
      </c>
    </row>
    <row r="62">
      <c r="A62" s="55" t="n">
        <v>56</v>
      </c>
      <c r="B62" s="15">
        <f>IF(A62&gt;Inputs!$C$62,"",INDEX(Trajectory!$G$23:$G$2000,A62))</f>
        <v/>
      </c>
      <c r="C62" s="15">
        <f>IF(B62="","",IF(A62&lt;=Inputs!$C$75,INDEX(Trajectory!$G$23:$G$2000,1),INDEX(Trajectory!$G$23:$G$2000,MAX(1,A62-Inputs!$C$75))))</f>
        <v/>
      </c>
      <c r="D62" s="15">
        <f>IF(C62="","",MAX(Inputs!$C$76,CEILING(C62/(Inputs!$C$42*Inputs!$C$92),1)))</f>
        <v/>
      </c>
      <c r="E62" s="15">
        <f>IF(D62="","",MAX(E61,D62))</f>
        <v/>
      </c>
      <c r="F62" s="15">
        <f>E62-E61</f>
        <v/>
      </c>
      <c r="G62" s="12">
        <f>IF(E62="",1,IF(E62=0,1,(E62-SUM(L62:AA62)+SUMPRODUCT(L62:AA62,$N$5:$N$20))/E62))</f>
        <v/>
      </c>
      <c r="H62" s="14">
        <f>IF(E62="",0,E62*G62)</f>
        <v/>
      </c>
      <c r="I62" s="15">
        <f>IF(H62="",0,H62*Inputs!$C$42)</f>
        <v/>
      </c>
      <c r="J62" s="14">
        <f>IF(E62="",1,1 + (Inputs!$C$95-1)*IF((1-Inputs!$C$94)=0,0,(1-G62)/(1-Inputs!$C$94)))</f>
        <v/>
      </c>
      <c r="K62" s="12">
        <f>IF(I62=0,"",B62/I62)</f>
        <v/>
      </c>
      <c r="L62" s="15">
        <f>IF(F62="",0,F62)</f>
        <v/>
      </c>
      <c r="M62" s="15">
        <f>IF(A62&lt;=1,0,L61)</f>
        <v/>
      </c>
      <c r="N62" s="15">
        <f>IF(A62&lt;=1,0,M61)</f>
        <v/>
      </c>
      <c r="O62" s="15">
        <f>IF(A62&lt;=1,0,N61)</f>
        <v/>
      </c>
      <c r="P62" s="15">
        <f>IF(A62&lt;=1,0,O61)</f>
        <v/>
      </c>
      <c r="Q62" s="15">
        <f>IF(A62&lt;=1,0,P61)</f>
        <v/>
      </c>
      <c r="R62" s="15">
        <f>IF(A62&lt;=1,0,Q61)</f>
        <v/>
      </c>
      <c r="S62" s="15">
        <f>IF(A62&lt;=1,0,R61)</f>
        <v/>
      </c>
      <c r="T62" s="15">
        <f>IF(A62&lt;=1,0,S61)</f>
        <v/>
      </c>
      <c r="U62" s="15">
        <f>IF(A62&lt;=1,0,T61)</f>
        <v/>
      </c>
      <c r="V62" s="15">
        <f>IF(A62&lt;=1,0,U61)</f>
        <v/>
      </c>
      <c r="W62" s="15">
        <f>IF(A62&lt;=1,0,V61)</f>
        <v/>
      </c>
      <c r="X62" s="15">
        <f>IF(A62&lt;=1,0,W61)</f>
        <v/>
      </c>
      <c r="Y62" s="15">
        <f>IF(A62&lt;=1,0,X61)</f>
        <v/>
      </c>
      <c r="Z62" s="15">
        <f>IF(A62&lt;=1,0,Y61)</f>
        <v/>
      </c>
      <c r="AA62" s="15">
        <f>IF(A62&lt;=1,0,Z61)</f>
        <v/>
      </c>
    </row>
    <row r="63">
      <c r="A63" s="55" t="n">
        <v>57</v>
      </c>
      <c r="B63" s="15">
        <f>IF(A63&gt;Inputs!$C$62,"",INDEX(Trajectory!$G$23:$G$2000,A63))</f>
        <v/>
      </c>
      <c r="C63" s="15">
        <f>IF(B63="","",IF(A63&lt;=Inputs!$C$75,INDEX(Trajectory!$G$23:$G$2000,1),INDEX(Trajectory!$G$23:$G$2000,MAX(1,A63-Inputs!$C$75))))</f>
        <v/>
      </c>
      <c r="D63" s="15">
        <f>IF(C63="","",MAX(Inputs!$C$76,CEILING(C63/(Inputs!$C$42*Inputs!$C$92),1)))</f>
        <v/>
      </c>
      <c r="E63" s="15">
        <f>IF(D63="","",MAX(E62,D63))</f>
        <v/>
      </c>
      <c r="F63" s="15">
        <f>E63-E62</f>
        <v/>
      </c>
      <c r="G63" s="12">
        <f>IF(E63="",1,IF(E63=0,1,(E63-SUM(L63:AA63)+SUMPRODUCT(L63:AA63,$N$5:$N$20))/E63))</f>
        <v/>
      </c>
      <c r="H63" s="14">
        <f>IF(E63="",0,E63*G63)</f>
        <v/>
      </c>
      <c r="I63" s="15">
        <f>IF(H63="",0,H63*Inputs!$C$42)</f>
        <v/>
      </c>
      <c r="J63" s="14">
        <f>IF(E63="",1,1 + (Inputs!$C$95-1)*IF((1-Inputs!$C$94)=0,0,(1-G63)/(1-Inputs!$C$94)))</f>
        <v/>
      </c>
      <c r="K63" s="12">
        <f>IF(I63=0,"",B63/I63)</f>
        <v/>
      </c>
      <c r="L63" s="15">
        <f>IF(F63="",0,F63)</f>
        <v/>
      </c>
      <c r="M63" s="15">
        <f>IF(A63&lt;=1,0,L62)</f>
        <v/>
      </c>
      <c r="N63" s="15">
        <f>IF(A63&lt;=1,0,M62)</f>
        <v/>
      </c>
      <c r="O63" s="15">
        <f>IF(A63&lt;=1,0,N62)</f>
        <v/>
      </c>
      <c r="P63" s="15">
        <f>IF(A63&lt;=1,0,O62)</f>
        <v/>
      </c>
      <c r="Q63" s="15">
        <f>IF(A63&lt;=1,0,P62)</f>
        <v/>
      </c>
      <c r="R63" s="15">
        <f>IF(A63&lt;=1,0,Q62)</f>
        <v/>
      </c>
      <c r="S63" s="15">
        <f>IF(A63&lt;=1,0,R62)</f>
        <v/>
      </c>
      <c r="T63" s="15">
        <f>IF(A63&lt;=1,0,S62)</f>
        <v/>
      </c>
      <c r="U63" s="15">
        <f>IF(A63&lt;=1,0,T62)</f>
        <v/>
      </c>
      <c r="V63" s="15">
        <f>IF(A63&lt;=1,0,U62)</f>
        <v/>
      </c>
      <c r="W63" s="15">
        <f>IF(A63&lt;=1,0,V62)</f>
        <v/>
      </c>
      <c r="X63" s="15">
        <f>IF(A63&lt;=1,0,W62)</f>
        <v/>
      </c>
      <c r="Y63" s="15">
        <f>IF(A63&lt;=1,0,X62)</f>
        <v/>
      </c>
      <c r="Z63" s="15">
        <f>IF(A63&lt;=1,0,Y62)</f>
        <v/>
      </c>
      <c r="AA63" s="15">
        <f>IF(A63&lt;=1,0,Z62)</f>
        <v/>
      </c>
    </row>
    <row r="64">
      <c r="A64" s="55" t="n">
        <v>58</v>
      </c>
      <c r="B64" s="15">
        <f>IF(A64&gt;Inputs!$C$62,"",INDEX(Trajectory!$G$23:$G$2000,A64))</f>
        <v/>
      </c>
      <c r="C64" s="15">
        <f>IF(B64="","",IF(A64&lt;=Inputs!$C$75,INDEX(Trajectory!$G$23:$G$2000,1),INDEX(Trajectory!$G$23:$G$2000,MAX(1,A64-Inputs!$C$75))))</f>
        <v/>
      </c>
      <c r="D64" s="15">
        <f>IF(C64="","",MAX(Inputs!$C$76,CEILING(C64/(Inputs!$C$42*Inputs!$C$92),1)))</f>
        <v/>
      </c>
      <c r="E64" s="15">
        <f>IF(D64="","",MAX(E63,D64))</f>
        <v/>
      </c>
      <c r="F64" s="15">
        <f>E64-E63</f>
        <v/>
      </c>
      <c r="G64" s="12">
        <f>IF(E64="",1,IF(E64=0,1,(E64-SUM(L64:AA64)+SUMPRODUCT(L64:AA64,$N$5:$N$20))/E64))</f>
        <v/>
      </c>
      <c r="H64" s="14">
        <f>IF(E64="",0,E64*G64)</f>
        <v/>
      </c>
      <c r="I64" s="15">
        <f>IF(H64="",0,H64*Inputs!$C$42)</f>
        <v/>
      </c>
      <c r="J64" s="14">
        <f>IF(E64="",1,1 + (Inputs!$C$95-1)*IF((1-Inputs!$C$94)=0,0,(1-G64)/(1-Inputs!$C$94)))</f>
        <v/>
      </c>
      <c r="K64" s="12">
        <f>IF(I64=0,"",B64/I64)</f>
        <v/>
      </c>
      <c r="L64" s="15">
        <f>IF(F64="",0,F64)</f>
        <v/>
      </c>
      <c r="M64" s="15">
        <f>IF(A64&lt;=1,0,L63)</f>
        <v/>
      </c>
      <c r="N64" s="15">
        <f>IF(A64&lt;=1,0,M63)</f>
        <v/>
      </c>
      <c r="O64" s="15">
        <f>IF(A64&lt;=1,0,N63)</f>
        <v/>
      </c>
      <c r="P64" s="15">
        <f>IF(A64&lt;=1,0,O63)</f>
        <v/>
      </c>
      <c r="Q64" s="15">
        <f>IF(A64&lt;=1,0,P63)</f>
        <v/>
      </c>
      <c r="R64" s="15">
        <f>IF(A64&lt;=1,0,Q63)</f>
        <v/>
      </c>
      <c r="S64" s="15">
        <f>IF(A64&lt;=1,0,R63)</f>
        <v/>
      </c>
      <c r="T64" s="15">
        <f>IF(A64&lt;=1,0,S63)</f>
        <v/>
      </c>
      <c r="U64" s="15">
        <f>IF(A64&lt;=1,0,T63)</f>
        <v/>
      </c>
      <c r="V64" s="15">
        <f>IF(A64&lt;=1,0,U63)</f>
        <v/>
      </c>
      <c r="W64" s="15">
        <f>IF(A64&lt;=1,0,V63)</f>
        <v/>
      </c>
      <c r="X64" s="15">
        <f>IF(A64&lt;=1,0,W63)</f>
        <v/>
      </c>
      <c r="Y64" s="15">
        <f>IF(A64&lt;=1,0,X63)</f>
        <v/>
      </c>
      <c r="Z64" s="15">
        <f>IF(A64&lt;=1,0,Y63)</f>
        <v/>
      </c>
      <c r="AA64" s="15">
        <f>IF(A64&lt;=1,0,Z63)</f>
        <v/>
      </c>
    </row>
    <row r="65">
      <c r="A65" s="55" t="n">
        <v>59</v>
      </c>
      <c r="B65" s="15">
        <f>IF(A65&gt;Inputs!$C$62,"",INDEX(Trajectory!$G$23:$G$2000,A65))</f>
        <v/>
      </c>
      <c r="C65" s="15">
        <f>IF(B65="","",IF(A65&lt;=Inputs!$C$75,INDEX(Trajectory!$G$23:$G$2000,1),INDEX(Trajectory!$G$23:$G$2000,MAX(1,A65-Inputs!$C$75))))</f>
        <v/>
      </c>
      <c r="D65" s="15">
        <f>IF(C65="","",MAX(Inputs!$C$76,CEILING(C65/(Inputs!$C$42*Inputs!$C$92),1)))</f>
        <v/>
      </c>
      <c r="E65" s="15">
        <f>IF(D65="","",MAX(E64,D65))</f>
        <v/>
      </c>
      <c r="F65" s="15">
        <f>E65-E64</f>
        <v/>
      </c>
      <c r="G65" s="12">
        <f>IF(E65="",1,IF(E65=0,1,(E65-SUM(L65:AA65)+SUMPRODUCT(L65:AA65,$N$5:$N$20))/E65))</f>
        <v/>
      </c>
      <c r="H65" s="14">
        <f>IF(E65="",0,E65*G65)</f>
        <v/>
      </c>
      <c r="I65" s="15">
        <f>IF(H65="",0,H65*Inputs!$C$42)</f>
        <v/>
      </c>
      <c r="J65" s="14">
        <f>IF(E65="",1,1 + (Inputs!$C$95-1)*IF((1-Inputs!$C$94)=0,0,(1-G65)/(1-Inputs!$C$94)))</f>
        <v/>
      </c>
      <c r="K65" s="12">
        <f>IF(I65=0,"",B65/I65)</f>
        <v/>
      </c>
      <c r="L65" s="15">
        <f>IF(F65="",0,F65)</f>
        <v/>
      </c>
      <c r="M65" s="15">
        <f>IF(A65&lt;=1,0,L64)</f>
        <v/>
      </c>
      <c r="N65" s="15">
        <f>IF(A65&lt;=1,0,M64)</f>
        <v/>
      </c>
      <c r="O65" s="15">
        <f>IF(A65&lt;=1,0,N64)</f>
        <v/>
      </c>
      <c r="P65" s="15">
        <f>IF(A65&lt;=1,0,O64)</f>
        <v/>
      </c>
      <c r="Q65" s="15">
        <f>IF(A65&lt;=1,0,P64)</f>
        <v/>
      </c>
      <c r="R65" s="15">
        <f>IF(A65&lt;=1,0,Q64)</f>
        <v/>
      </c>
      <c r="S65" s="15">
        <f>IF(A65&lt;=1,0,R64)</f>
        <v/>
      </c>
      <c r="T65" s="15">
        <f>IF(A65&lt;=1,0,S64)</f>
        <v/>
      </c>
      <c r="U65" s="15">
        <f>IF(A65&lt;=1,0,T64)</f>
        <v/>
      </c>
      <c r="V65" s="15">
        <f>IF(A65&lt;=1,0,U64)</f>
        <v/>
      </c>
      <c r="W65" s="15">
        <f>IF(A65&lt;=1,0,V64)</f>
        <v/>
      </c>
      <c r="X65" s="15">
        <f>IF(A65&lt;=1,0,W64)</f>
        <v/>
      </c>
      <c r="Y65" s="15">
        <f>IF(A65&lt;=1,0,X64)</f>
        <v/>
      </c>
      <c r="Z65" s="15">
        <f>IF(A65&lt;=1,0,Y64)</f>
        <v/>
      </c>
      <c r="AA65" s="15">
        <f>IF(A65&lt;=1,0,Z64)</f>
        <v/>
      </c>
    </row>
    <row r="66">
      <c r="A66" s="55" t="n">
        <v>60</v>
      </c>
      <c r="B66" s="15">
        <f>IF(A66&gt;Inputs!$C$62,"",INDEX(Trajectory!$G$23:$G$2000,A66))</f>
        <v/>
      </c>
      <c r="C66" s="15">
        <f>IF(B66="","",IF(A66&lt;=Inputs!$C$75,INDEX(Trajectory!$G$23:$G$2000,1),INDEX(Trajectory!$G$23:$G$2000,MAX(1,A66-Inputs!$C$75))))</f>
        <v/>
      </c>
      <c r="D66" s="15">
        <f>IF(C66="","",MAX(Inputs!$C$76,CEILING(C66/(Inputs!$C$42*Inputs!$C$92),1)))</f>
        <v/>
      </c>
      <c r="E66" s="15">
        <f>IF(D66="","",MAX(E65,D66))</f>
        <v/>
      </c>
      <c r="F66" s="15">
        <f>E66-E65</f>
        <v/>
      </c>
      <c r="G66" s="12">
        <f>IF(E66="",1,IF(E66=0,1,(E66-SUM(L66:AA66)+SUMPRODUCT(L66:AA66,$N$5:$N$20))/E66))</f>
        <v/>
      </c>
      <c r="H66" s="14">
        <f>IF(E66="",0,E66*G66)</f>
        <v/>
      </c>
      <c r="I66" s="15">
        <f>IF(H66="",0,H66*Inputs!$C$42)</f>
        <v/>
      </c>
      <c r="J66" s="14">
        <f>IF(E66="",1,1 + (Inputs!$C$95-1)*IF((1-Inputs!$C$94)=0,0,(1-G66)/(1-Inputs!$C$94)))</f>
        <v/>
      </c>
      <c r="K66" s="12">
        <f>IF(I66=0,"",B66/I66)</f>
        <v/>
      </c>
      <c r="L66" s="15">
        <f>IF(F66="",0,F66)</f>
        <v/>
      </c>
      <c r="M66" s="15">
        <f>IF(A66&lt;=1,0,L65)</f>
        <v/>
      </c>
      <c r="N66" s="15">
        <f>IF(A66&lt;=1,0,M65)</f>
        <v/>
      </c>
      <c r="O66" s="15">
        <f>IF(A66&lt;=1,0,N65)</f>
        <v/>
      </c>
      <c r="P66" s="15">
        <f>IF(A66&lt;=1,0,O65)</f>
        <v/>
      </c>
      <c r="Q66" s="15">
        <f>IF(A66&lt;=1,0,P65)</f>
        <v/>
      </c>
      <c r="R66" s="15">
        <f>IF(A66&lt;=1,0,Q65)</f>
        <v/>
      </c>
      <c r="S66" s="15">
        <f>IF(A66&lt;=1,0,R65)</f>
        <v/>
      </c>
      <c r="T66" s="15">
        <f>IF(A66&lt;=1,0,S65)</f>
        <v/>
      </c>
      <c r="U66" s="15">
        <f>IF(A66&lt;=1,0,T65)</f>
        <v/>
      </c>
      <c r="V66" s="15">
        <f>IF(A66&lt;=1,0,U65)</f>
        <v/>
      </c>
      <c r="W66" s="15">
        <f>IF(A66&lt;=1,0,V65)</f>
        <v/>
      </c>
      <c r="X66" s="15">
        <f>IF(A66&lt;=1,0,W65)</f>
        <v/>
      </c>
      <c r="Y66" s="15">
        <f>IF(A66&lt;=1,0,X65)</f>
        <v/>
      </c>
      <c r="Z66" s="15">
        <f>IF(A66&lt;=1,0,Y65)</f>
        <v/>
      </c>
      <c r="AA66" s="15">
        <f>IF(A66&lt;=1,0,Z65)</f>
        <v/>
      </c>
    </row>
    <row r="67">
      <c r="A67" s="55" t="n">
        <v>61</v>
      </c>
      <c r="B67" s="15">
        <f>IF(A67&gt;Inputs!$C$62,"",INDEX(Trajectory!$G$23:$G$2000,A67))</f>
        <v/>
      </c>
      <c r="C67" s="15">
        <f>IF(B67="","",IF(A67&lt;=Inputs!$C$75,INDEX(Trajectory!$G$23:$G$2000,1),INDEX(Trajectory!$G$23:$G$2000,MAX(1,A67-Inputs!$C$75))))</f>
        <v/>
      </c>
      <c r="D67" s="15">
        <f>IF(C67="","",MAX(Inputs!$C$76,CEILING(C67/(Inputs!$C$42*Inputs!$C$92),1)))</f>
        <v/>
      </c>
      <c r="E67" s="15">
        <f>IF(D67="","",MAX(E66,D67))</f>
        <v/>
      </c>
      <c r="F67" s="15">
        <f>E67-E66</f>
        <v/>
      </c>
      <c r="G67" s="12">
        <f>IF(E67="",1,IF(E67=0,1,(E67-SUM(L67:AA67)+SUMPRODUCT(L67:AA67,$N$5:$N$20))/E67))</f>
        <v/>
      </c>
      <c r="H67" s="14">
        <f>IF(E67="",0,E67*G67)</f>
        <v/>
      </c>
      <c r="I67" s="15">
        <f>IF(H67="",0,H67*Inputs!$C$42)</f>
        <v/>
      </c>
      <c r="J67" s="14">
        <f>IF(E67="",1,1 + (Inputs!$C$95-1)*IF((1-Inputs!$C$94)=0,0,(1-G67)/(1-Inputs!$C$94)))</f>
        <v/>
      </c>
      <c r="K67" s="12">
        <f>IF(I67=0,"",B67/I67)</f>
        <v/>
      </c>
      <c r="L67" s="15">
        <f>IF(F67="",0,F67)</f>
        <v/>
      </c>
      <c r="M67" s="15">
        <f>IF(A67&lt;=1,0,L66)</f>
        <v/>
      </c>
      <c r="N67" s="15">
        <f>IF(A67&lt;=1,0,M66)</f>
        <v/>
      </c>
      <c r="O67" s="15">
        <f>IF(A67&lt;=1,0,N66)</f>
        <v/>
      </c>
      <c r="P67" s="15">
        <f>IF(A67&lt;=1,0,O66)</f>
        <v/>
      </c>
      <c r="Q67" s="15">
        <f>IF(A67&lt;=1,0,P66)</f>
        <v/>
      </c>
      <c r="R67" s="15">
        <f>IF(A67&lt;=1,0,Q66)</f>
        <v/>
      </c>
      <c r="S67" s="15">
        <f>IF(A67&lt;=1,0,R66)</f>
        <v/>
      </c>
      <c r="T67" s="15">
        <f>IF(A67&lt;=1,0,S66)</f>
        <v/>
      </c>
      <c r="U67" s="15">
        <f>IF(A67&lt;=1,0,T66)</f>
        <v/>
      </c>
      <c r="V67" s="15">
        <f>IF(A67&lt;=1,0,U66)</f>
        <v/>
      </c>
      <c r="W67" s="15">
        <f>IF(A67&lt;=1,0,V66)</f>
        <v/>
      </c>
      <c r="X67" s="15">
        <f>IF(A67&lt;=1,0,W66)</f>
        <v/>
      </c>
      <c r="Y67" s="15">
        <f>IF(A67&lt;=1,0,X66)</f>
        <v/>
      </c>
      <c r="Z67" s="15">
        <f>IF(A67&lt;=1,0,Y66)</f>
        <v/>
      </c>
      <c r="AA67" s="15">
        <f>IF(A67&lt;=1,0,Z66)</f>
        <v/>
      </c>
    </row>
    <row r="68">
      <c r="A68" s="55" t="n">
        <v>62</v>
      </c>
      <c r="B68" s="15">
        <f>IF(A68&gt;Inputs!$C$62,"",INDEX(Trajectory!$G$23:$G$2000,A68))</f>
        <v/>
      </c>
      <c r="C68" s="15">
        <f>IF(B68="","",IF(A68&lt;=Inputs!$C$75,INDEX(Trajectory!$G$23:$G$2000,1),INDEX(Trajectory!$G$23:$G$2000,MAX(1,A68-Inputs!$C$75))))</f>
        <v/>
      </c>
      <c r="D68" s="15">
        <f>IF(C68="","",MAX(Inputs!$C$76,CEILING(C68/(Inputs!$C$42*Inputs!$C$92),1)))</f>
        <v/>
      </c>
      <c r="E68" s="15">
        <f>IF(D68="","",MAX(E67,D68))</f>
        <v/>
      </c>
      <c r="F68" s="15">
        <f>E68-E67</f>
        <v/>
      </c>
      <c r="G68" s="12">
        <f>IF(E68="",1,IF(E68=0,1,(E68-SUM(L68:AA68)+SUMPRODUCT(L68:AA68,$N$5:$N$20))/E68))</f>
        <v/>
      </c>
      <c r="H68" s="14">
        <f>IF(E68="",0,E68*G68)</f>
        <v/>
      </c>
      <c r="I68" s="15">
        <f>IF(H68="",0,H68*Inputs!$C$42)</f>
        <v/>
      </c>
      <c r="J68" s="14">
        <f>IF(E68="",1,1 + (Inputs!$C$95-1)*IF((1-Inputs!$C$94)=0,0,(1-G68)/(1-Inputs!$C$94)))</f>
        <v/>
      </c>
      <c r="K68" s="12">
        <f>IF(I68=0,"",B68/I68)</f>
        <v/>
      </c>
      <c r="L68" s="15">
        <f>IF(F68="",0,F68)</f>
        <v/>
      </c>
      <c r="M68" s="15">
        <f>IF(A68&lt;=1,0,L67)</f>
        <v/>
      </c>
      <c r="N68" s="15">
        <f>IF(A68&lt;=1,0,M67)</f>
        <v/>
      </c>
      <c r="O68" s="15">
        <f>IF(A68&lt;=1,0,N67)</f>
        <v/>
      </c>
      <c r="P68" s="15">
        <f>IF(A68&lt;=1,0,O67)</f>
        <v/>
      </c>
      <c r="Q68" s="15">
        <f>IF(A68&lt;=1,0,P67)</f>
        <v/>
      </c>
      <c r="R68" s="15">
        <f>IF(A68&lt;=1,0,Q67)</f>
        <v/>
      </c>
      <c r="S68" s="15">
        <f>IF(A68&lt;=1,0,R67)</f>
        <v/>
      </c>
      <c r="T68" s="15">
        <f>IF(A68&lt;=1,0,S67)</f>
        <v/>
      </c>
      <c r="U68" s="15">
        <f>IF(A68&lt;=1,0,T67)</f>
        <v/>
      </c>
      <c r="V68" s="15">
        <f>IF(A68&lt;=1,0,U67)</f>
        <v/>
      </c>
      <c r="W68" s="15">
        <f>IF(A68&lt;=1,0,V67)</f>
        <v/>
      </c>
      <c r="X68" s="15">
        <f>IF(A68&lt;=1,0,W67)</f>
        <v/>
      </c>
      <c r="Y68" s="15">
        <f>IF(A68&lt;=1,0,X67)</f>
        <v/>
      </c>
      <c r="Z68" s="15">
        <f>IF(A68&lt;=1,0,Y67)</f>
        <v/>
      </c>
      <c r="AA68" s="15">
        <f>IF(A68&lt;=1,0,Z67)</f>
        <v/>
      </c>
    </row>
    <row r="69">
      <c r="A69" s="55" t="n">
        <v>63</v>
      </c>
      <c r="B69" s="15">
        <f>IF(A69&gt;Inputs!$C$62,"",INDEX(Trajectory!$G$23:$G$2000,A69))</f>
        <v/>
      </c>
      <c r="C69" s="15">
        <f>IF(B69="","",IF(A69&lt;=Inputs!$C$75,INDEX(Trajectory!$G$23:$G$2000,1),INDEX(Trajectory!$G$23:$G$2000,MAX(1,A69-Inputs!$C$75))))</f>
        <v/>
      </c>
      <c r="D69" s="15">
        <f>IF(C69="","",MAX(Inputs!$C$76,CEILING(C69/(Inputs!$C$42*Inputs!$C$92),1)))</f>
        <v/>
      </c>
      <c r="E69" s="15">
        <f>IF(D69="","",MAX(E68,D69))</f>
        <v/>
      </c>
      <c r="F69" s="15">
        <f>E69-E68</f>
        <v/>
      </c>
      <c r="G69" s="12">
        <f>IF(E69="",1,IF(E69=0,1,(E69-SUM(L69:AA69)+SUMPRODUCT(L69:AA69,$N$5:$N$20))/E69))</f>
        <v/>
      </c>
      <c r="H69" s="14">
        <f>IF(E69="",0,E69*G69)</f>
        <v/>
      </c>
      <c r="I69" s="15">
        <f>IF(H69="",0,H69*Inputs!$C$42)</f>
        <v/>
      </c>
      <c r="J69" s="14">
        <f>IF(E69="",1,1 + (Inputs!$C$95-1)*IF((1-Inputs!$C$94)=0,0,(1-G69)/(1-Inputs!$C$94)))</f>
        <v/>
      </c>
      <c r="K69" s="12">
        <f>IF(I69=0,"",B69/I69)</f>
        <v/>
      </c>
      <c r="L69" s="15">
        <f>IF(F69="",0,F69)</f>
        <v/>
      </c>
      <c r="M69" s="15">
        <f>IF(A69&lt;=1,0,L68)</f>
        <v/>
      </c>
      <c r="N69" s="15">
        <f>IF(A69&lt;=1,0,M68)</f>
        <v/>
      </c>
      <c r="O69" s="15">
        <f>IF(A69&lt;=1,0,N68)</f>
        <v/>
      </c>
      <c r="P69" s="15">
        <f>IF(A69&lt;=1,0,O68)</f>
        <v/>
      </c>
      <c r="Q69" s="15">
        <f>IF(A69&lt;=1,0,P68)</f>
        <v/>
      </c>
      <c r="R69" s="15">
        <f>IF(A69&lt;=1,0,Q68)</f>
        <v/>
      </c>
      <c r="S69" s="15">
        <f>IF(A69&lt;=1,0,R68)</f>
        <v/>
      </c>
      <c r="T69" s="15">
        <f>IF(A69&lt;=1,0,S68)</f>
        <v/>
      </c>
      <c r="U69" s="15">
        <f>IF(A69&lt;=1,0,T68)</f>
        <v/>
      </c>
      <c r="V69" s="15">
        <f>IF(A69&lt;=1,0,U68)</f>
        <v/>
      </c>
      <c r="W69" s="15">
        <f>IF(A69&lt;=1,0,V68)</f>
        <v/>
      </c>
      <c r="X69" s="15">
        <f>IF(A69&lt;=1,0,W68)</f>
        <v/>
      </c>
      <c r="Y69" s="15">
        <f>IF(A69&lt;=1,0,X68)</f>
        <v/>
      </c>
      <c r="Z69" s="15">
        <f>IF(A69&lt;=1,0,Y68)</f>
        <v/>
      </c>
      <c r="AA69" s="15">
        <f>IF(A69&lt;=1,0,Z68)</f>
        <v/>
      </c>
    </row>
    <row r="70">
      <c r="A70" s="55" t="n">
        <v>64</v>
      </c>
      <c r="B70" s="15">
        <f>IF(A70&gt;Inputs!$C$62,"",INDEX(Trajectory!$G$23:$G$2000,A70))</f>
        <v/>
      </c>
      <c r="C70" s="15">
        <f>IF(B70="","",IF(A70&lt;=Inputs!$C$75,INDEX(Trajectory!$G$23:$G$2000,1),INDEX(Trajectory!$G$23:$G$2000,MAX(1,A70-Inputs!$C$75))))</f>
        <v/>
      </c>
      <c r="D70" s="15">
        <f>IF(C70="","",MAX(Inputs!$C$76,CEILING(C70/(Inputs!$C$42*Inputs!$C$92),1)))</f>
        <v/>
      </c>
      <c r="E70" s="15">
        <f>IF(D70="","",MAX(E69,D70))</f>
        <v/>
      </c>
      <c r="F70" s="15">
        <f>E70-E69</f>
        <v/>
      </c>
      <c r="G70" s="12">
        <f>IF(E70="",1,IF(E70=0,1,(E70-SUM(L70:AA70)+SUMPRODUCT(L70:AA70,$N$5:$N$20))/E70))</f>
        <v/>
      </c>
      <c r="H70" s="14">
        <f>IF(E70="",0,E70*G70)</f>
        <v/>
      </c>
      <c r="I70" s="15">
        <f>IF(H70="",0,H70*Inputs!$C$42)</f>
        <v/>
      </c>
      <c r="J70" s="14">
        <f>IF(E70="",1,1 + (Inputs!$C$95-1)*IF((1-Inputs!$C$94)=0,0,(1-G70)/(1-Inputs!$C$94)))</f>
        <v/>
      </c>
      <c r="K70" s="12">
        <f>IF(I70=0,"",B70/I70)</f>
        <v/>
      </c>
      <c r="L70" s="15">
        <f>IF(F70="",0,F70)</f>
        <v/>
      </c>
      <c r="M70" s="15">
        <f>IF(A70&lt;=1,0,L69)</f>
        <v/>
      </c>
      <c r="N70" s="15">
        <f>IF(A70&lt;=1,0,M69)</f>
        <v/>
      </c>
      <c r="O70" s="15">
        <f>IF(A70&lt;=1,0,N69)</f>
        <v/>
      </c>
      <c r="P70" s="15">
        <f>IF(A70&lt;=1,0,O69)</f>
        <v/>
      </c>
      <c r="Q70" s="15">
        <f>IF(A70&lt;=1,0,P69)</f>
        <v/>
      </c>
      <c r="R70" s="15">
        <f>IF(A70&lt;=1,0,Q69)</f>
        <v/>
      </c>
      <c r="S70" s="15">
        <f>IF(A70&lt;=1,0,R69)</f>
        <v/>
      </c>
      <c r="T70" s="15">
        <f>IF(A70&lt;=1,0,S69)</f>
        <v/>
      </c>
      <c r="U70" s="15">
        <f>IF(A70&lt;=1,0,T69)</f>
        <v/>
      </c>
      <c r="V70" s="15">
        <f>IF(A70&lt;=1,0,U69)</f>
        <v/>
      </c>
      <c r="W70" s="15">
        <f>IF(A70&lt;=1,0,V69)</f>
        <v/>
      </c>
      <c r="X70" s="15">
        <f>IF(A70&lt;=1,0,W69)</f>
        <v/>
      </c>
      <c r="Y70" s="15">
        <f>IF(A70&lt;=1,0,X69)</f>
        <v/>
      </c>
      <c r="Z70" s="15">
        <f>IF(A70&lt;=1,0,Y69)</f>
        <v/>
      </c>
      <c r="AA70" s="15">
        <f>IF(A70&lt;=1,0,Z69)</f>
        <v/>
      </c>
    </row>
    <row r="71">
      <c r="A71" s="55" t="n">
        <v>65</v>
      </c>
      <c r="B71" s="15">
        <f>IF(A71&gt;Inputs!$C$62,"",INDEX(Trajectory!$G$23:$G$2000,A71))</f>
        <v/>
      </c>
      <c r="C71" s="15">
        <f>IF(B71="","",IF(A71&lt;=Inputs!$C$75,INDEX(Trajectory!$G$23:$G$2000,1),INDEX(Trajectory!$G$23:$G$2000,MAX(1,A71-Inputs!$C$75))))</f>
        <v/>
      </c>
      <c r="D71" s="15">
        <f>IF(C71="","",MAX(Inputs!$C$76,CEILING(C71/(Inputs!$C$42*Inputs!$C$92),1)))</f>
        <v/>
      </c>
      <c r="E71" s="15">
        <f>IF(D71="","",MAX(E70,D71))</f>
        <v/>
      </c>
      <c r="F71" s="15">
        <f>E71-E70</f>
        <v/>
      </c>
      <c r="G71" s="12">
        <f>IF(E71="",1,IF(E71=0,1,(E71-SUM(L71:AA71)+SUMPRODUCT(L71:AA71,$N$5:$N$20))/E71))</f>
        <v/>
      </c>
      <c r="H71" s="14">
        <f>IF(E71="",0,E71*G71)</f>
        <v/>
      </c>
      <c r="I71" s="15">
        <f>IF(H71="",0,H71*Inputs!$C$42)</f>
        <v/>
      </c>
      <c r="J71" s="14">
        <f>IF(E71="",1,1 + (Inputs!$C$95-1)*IF((1-Inputs!$C$94)=0,0,(1-G71)/(1-Inputs!$C$94)))</f>
        <v/>
      </c>
      <c r="K71" s="12">
        <f>IF(I71=0,"",B71/I71)</f>
        <v/>
      </c>
      <c r="L71" s="15">
        <f>IF(F71="",0,F71)</f>
        <v/>
      </c>
      <c r="M71" s="15">
        <f>IF(A71&lt;=1,0,L70)</f>
        <v/>
      </c>
      <c r="N71" s="15">
        <f>IF(A71&lt;=1,0,M70)</f>
        <v/>
      </c>
      <c r="O71" s="15">
        <f>IF(A71&lt;=1,0,N70)</f>
        <v/>
      </c>
      <c r="P71" s="15">
        <f>IF(A71&lt;=1,0,O70)</f>
        <v/>
      </c>
      <c r="Q71" s="15">
        <f>IF(A71&lt;=1,0,P70)</f>
        <v/>
      </c>
      <c r="R71" s="15">
        <f>IF(A71&lt;=1,0,Q70)</f>
        <v/>
      </c>
      <c r="S71" s="15">
        <f>IF(A71&lt;=1,0,R70)</f>
        <v/>
      </c>
      <c r="T71" s="15">
        <f>IF(A71&lt;=1,0,S70)</f>
        <v/>
      </c>
      <c r="U71" s="15">
        <f>IF(A71&lt;=1,0,T70)</f>
        <v/>
      </c>
      <c r="V71" s="15">
        <f>IF(A71&lt;=1,0,U70)</f>
        <v/>
      </c>
      <c r="W71" s="15">
        <f>IF(A71&lt;=1,0,V70)</f>
        <v/>
      </c>
      <c r="X71" s="15">
        <f>IF(A71&lt;=1,0,W70)</f>
        <v/>
      </c>
      <c r="Y71" s="15">
        <f>IF(A71&lt;=1,0,X70)</f>
        <v/>
      </c>
      <c r="Z71" s="15">
        <f>IF(A71&lt;=1,0,Y70)</f>
        <v/>
      </c>
      <c r="AA71" s="15">
        <f>IF(A71&lt;=1,0,Z70)</f>
        <v/>
      </c>
    </row>
    <row r="72">
      <c r="A72" s="55" t="n">
        <v>66</v>
      </c>
      <c r="B72" s="15">
        <f>IF(A72&gt;Inputs!$C$62,"",INDEX(Trajectory!$G$23:$G$2000,A72))</f>
        <v/>
      </c>
      <c r="C72" s="15">
        <f>IF(B72="","",IF(A72&lt;=Inputs!$C$75,INDEX(Trajectory!$G$23:$G$2000,1),INDEX(Trajectory!$G$23:$G$2000,MAX(1,A72-Inputs!$C$75))))</f>
        <v/>
      </c>
      <c r="D72" s="15">
        <f>IF(C72="","",MAX(Inputs!$C$76,CEILING(C72/(Inputs!$C$42*Inputs!$C$92),1)))</f>
        <v/>
      </c>
      <c r="E72" s="15">
        <f>IF(D72="","",MAX(E71,D72))</f>
        <v/>
      </c>
      <c r="F72" s="15">
        <f>E72-E71</f>
        <v/>
      </c>
      <c r="G72" s="12">
        <f>IF(E72="",1,IF(E72=0,1,(E72-SUM(L72:AA72)+SUMPRODUCT(L72:AA72,$N$5:$N$20))/E72))</f>
        <v/>
      </c>
      <c r="H72" s="14">
        <f>IF(E72="",0,E72*G72)</f>
        <v/>
      </c>
      <c r="I72" s="15">
        <f>IF(H72="",0,H72*Inputs!$C$42)</f>
        <v/>
      </c>
      <c r="J72" s="14">
        <f>IF(E72="",1,1 + (Inputs!$C$95-1)*IF((1-Inputs!$C$94)=0,0,(1-G72)/(1-Inputs!$C$94)))</f>
        <v/>
      </c>
      <c r="K72" s="12">
        <f>IF(I72=0,"",B72/I72)</f>
        <v/>
      </c>
      <c r="L72" s="15">
        <f>IF(F72="",0,F72)</f>
        <v/>
      </c>
      <c r="M72" s="15">
        <f>IF(A72&lt;=1,0,L71)</f>
        <v/>
      </c>
      <c r="N72" s="15">
        <f>IF(A72&lt;=1,0,M71)</f>
        <v/>
      </c>
      <c r="O72" s="15">
        <f>IF(A72&lt;=1,0,N71)</f>
        <v/>
      </c>
      <c r="P72" s="15">
        <f>IF(A72&lt;=1,0,O71)</f>
        <v/>
      </c>
      <c r="Q72" s="15">
        <f>IF(A72&lt;=1,0,P71)</f>
        <v/>
      </c>
      <c r="R72" s="15">
        <f>IF(A72&lt;=1,0,Q71)</f>
        <v/>
      </c>
      <c r="S72" s="15">
        <f>IF(A72&lt;=1,0,R71)</f>
        <v/>
      </c>
      <c r="T72" s="15">
        <f>IF(A72&lt;=1,0,S71)</f>
        <v/>
      </c>
      <c r="U72" s="15">
        <f>IF(A72&lt;=1,0,T71)</f>
        <v/>
      </c>
      <c r="V72" s="15">
        <f>IF(A72&lt;=1,0,U71)</f>
        <v/>
      </c>
      <c r="W72" s="15">
        <f>IF(A72&lt;=1,0,V71)</f>
        <v/>
      </c>
      <c r="X72" s="15">
        <f>IF(A72&lt;=1,0,W71)</f>
        <v/>
      </c>
      <c r="Y72" s="15">
        <f>IF(A72&lt;=1,0,X71)</f>
        <v/>
      </c>
      <c r="Z72" s="15">
        <f>IF(A72&lt;=1,0,Y71)</f>
        <v/>
      </c>
      <c r="AA72" s="15">
        <f>IF(A72&lt;=1,0,Z71)</f>
        <v/>
      </c>
    </row>
    <row r="73">
      <c r="A73" s="55" t="n">
        <v>67</v>
      </c>
      <c r="B73" s="15">
        <f>IF(A73&gt;Inputs!$C$62,"",INDEX(Trajectory!$G$23:$G$2000,A73))</f>
        <v/>
      </c>
      <c r="C73" s="15">
        <f>IF(B73="","",IF(A73&lt;=Inputs!$C$75,INDEX(Trajectory!$G$23:$G$2000,1),INDEX(Trajectory!$G$23:$G$2000,MAX(1,A73-Inputs!$C$75))))</f>
        <v/>
      </c>
      <c r="D73" s="15">
        <f>IF(C73="","",MAX(Inputs!$C$76,CEILING(C73/(Inputs!$C$42*Inputs!$C$92),1)))</f>
        <v/>
      </c>
      <c r="E73" s="15">
        <f>IF(D73="","",MAX(E72,D73))</f>
        <v/>
      </c>
      <c r="F73" s="15">
        <f>E73-E72</f>
        <v/>
      </c>
      <c r="G73" s="12">
        <f>IF(E73="",1,IF(E73=0,1,(E73-SUM(L73:AA73)+SUMPRODUCT(L73:AA73,$N$5:$N$20))/E73))</f>
        <v/>
      </c>
      <c r="H73" s="14">
        <f>IF(E73="",0,E73*G73)</f>
        <v/>
      </c>
      <c r="I73" s="15">
        <f>IF(H73="",0,H73*Inputs!$C$42)</f>
        <v/>
      </c>
      <c r="J73" s="14">
        <f>IF(E73="",1,1 + (Inputs!$C$95-1)*IF((1-Inputs!$C$94)=0,0,(1-G73)/(1-Inputs!$C$94)))</f>
        <v/>
      </c>
      <c r="K73" s="12">
        <f>IF(I73=0,"",B73/I73)</f>
        <v/>
      </c>
      <c r="L73" s="15">
        <f>IF(F73="",0,F73)</f>
        <v/>
      </c>
      <c r="M73" s="15">
        <f>IF(A73&lt;=1,0,L72)</f>
        <v/>
      </c>
      <c r="N73" s="15">
        <f>IF(A73&lt;=1,0,M72)</f>
        <v/>
      </c>
      <c r="O73" s="15">
        <f>IF(A73&lt;=1,0,N72)</f>
        <v/>
      </c>
      <c r="P73" s="15">
        <f>IF(A73&lt;=1,0,O72)</f>
        <v/>
      </c>
      <c r="Q73" s="15">
        <f>IF(A73&lt;=1,0,P72)</f>
        <v/>
      </c>
      <c r="R73" s="15">
        <f>IF(A73&lt;=1,0,Q72)</f>
        <v/>
      </c>
      <c r="S73" s="15">
        <f>IF(A73&lt;=1,0,R72)</f>
        <v/>
      </c>
      <c r="T73" s="15">
        <f>IF(A73&lt;=1,0,S72)</f>
        <v/>
      </c>
      <c r="U73" s="15">
        <f>IF(A73&lt;=1,0,T72)</f>
        <v/>
      </c>
      <c r="V73" s="15">
        <f>IF(A73&lt;=1,0,U72)</f>
        <v/>
      </c>
      <c r="W73" s="15">
        <f>IF(A73&lt;=1,0,V72)</f>
        <v/>
      </c>
      <c r="X73" s="15">
        <f>IF(A73&lt;=1,0,W72)</f>
        <v/>
      </c>
      <c r="Y73" s="15">
        <f>IF(A73&lt;=1,0,X72)</f>
        <v/>
      </c>
      <c r="Z73" s="15">
        <f>IF(A73&lt;=1,0,Y72)</f>
        <v/>
      </c>
      <c r="AA73" s="15">
        <f>IF(A73&lt;=1,0,Z72)</f>
        <v/>
      </c>
    </row>
    <row r="74">
      <c r="A74" s="55" t="n">
        <v>68</v>
      </c>
      <c r="B74" s="15">
        <f>IF(A74&gt;Inputs!$C$62,"",INDEX(Trajectory!$G$23:$G$2000,A74))</f>
        <v/>
      </c>
      <c r="C74" s="15">
        <f>IF(B74="","",IF(A74&lt;=Inputs!$C$75,INDEX(Trajectory!$G$23:$G$2000,1),INDEX(Trajectory!$G$23:$G$2000,MAX(1,A74-Inputs!$C$75))))</f>
        <v/>
      </c>
      <c r="D74" s="15">
        <f>IF(C74="","",MAX(Inputs!$C$76,CEILING(C74/(Inputs!$C$42*Inputs!$C$92),1)))</f>
        <v/>
      </c>
      <c r="E74" s="15">
        <f>IF(D74="","",MAX(E73,D74))</f>
        <v/>
      </c>
      <c r="F74" s="15">
        <f>E74-E73</f>
        <v/>
      </c>
      <c r="G74" s="12">
        <f>IF(E74="",1,IF(E74=0,1,(E74-SUM(L74:AA74)+SUMPRODUCT(L74:AA74,$N$5:$N$20))/E74))</f>
        <v/>
      </c>
      <c r="H74" s="14">
        <f>IF(E74="",0,E74*G74)</f>
        <v/>
      </c>
      <c r="I74" s="15">
        <f>IF(H74="",0,H74*Inputs!$C$42)</f>
        <v/>
      </c>
      <c r="J74" s="14">
        <f>IF(E74="",1,1 + (Inputs!$C$95-1)*IF((1-Inputs!$C$94)=0,0,(1-G74)/(1-Inputs!$C$94)))</f>
        <v/>
      </c>
      <c r="K74" s="12">
        <f>IF(I74=0,"",B74/I74)</f>
        <v/>
      </c>
      <c r="L74" s="15">
        <f>IF(F74="",0,F74)</f>
        <v/>
      </c>
      <c r="M74" s="15">
        <f>IF(A74&lt;=1,0,L73)</f>
        <v/>
      </c>
      <c r="N74" s="15">
        <f>IF(A74&lt;=1,0,M73)</f>
        <v/>
      </c>
      <c r="O74" s="15">
        <f>IF(A74&lt;=1,0,N73)</f>
        <v/>
      </c>
      <c r="P74" s="15">
        <f>IF(A74&lt;=1,0,O73)</f>
        <v/>
      </c>
      <c r="Q74" s="15">
        <f>IF(A74&lt;=1,0,P73)</f>
        <v/>
      </c>
      <c r="R74" s="15">
        <f>IF(A74&lt;=1,0,Q73)</f>
        <v/>
      </c>
      <c r="S74" s="15">
        <f>IF(A74&lt;=1,0,R73)</f>
        <v/>
      </c>
      <c r="T74" s="15">
        <f>IF(A74&lt;=1,0,S73)</f>
        <v/>
      </c>
      <c r="U74" s="15">
        <f>IF(A74&lt;=1,0,T73)</f>
        <v/>
      </c>
      <c r="V74" s="15">
        <f>IF(A74&lt;=1,0,U73)</f>
        <v/>
      </c>
      <c r="W74" s="15">
        <f>IF(A74&lt;=1,0,V73)</f>
        <v/>
      </c>
      <c r="X74" s="15">
        <f>IF(A74&lt;=1,0,W73)</f>
        <v/>
      </c>
      <c r="Y74" s="15">
        <f>IF(A74&lt;=1,0,X73)</f>
        <v/>
      </c>
      <c r="Z74" s="15">
        <f>IF(A74&lt;=1,0,Y73)</f>
        <v/>
      </c>
      <c r="AA74" s="15">
        <f>IF(A74&lt;=1,0,Z73)</f>
        <v/>
      </c>
    </row>
    <row r="75">
      <c r="A75" s="55" t="n">
        <v>69</v>
      </c>
      <c r="B75" s="15">
        <f>IF(A75&gt;Inputs!$C$62,"",INDEX(Trajectory!$G$23:$G$2000,A75))</f>
        <v/>
      </c>
      <c r="C75" s="15">
        <f>IF(B75="","",IF(A75&lt;=Inputs!$C$75,INDEX(Trajectory!$G$23:$G$2000,1),INDEX(Trajectory!$G$23:$G$2000,MAX(1,A75-Inputs!$C$75))))</f>
        <v/>
      </c>
      <c r="D75" s="15">
        <f>IF(C75="","",MAX(Inputs!$C$76,CEILING(C75/(Inputs!$C$42*Inputs!$C$92),1)))</f>
        <v/>
      </c>
      <c r="E75" s="15">
        <f>IF(D75="","",MAX(E74,D75))</f>
        <v/>
      </c>
      <c r="F75" s="15">
        <f>E75-E74</f>
        <v/>
      </c>
      <c r="G75" s="12">
        <f>IF(E75="",1,IF(E75=0,1,(E75-SUM(L75:AA75)+SUMPRODUCT(L75:AA75,$N$5:$N$20))/E75))</f>
        <v/>
      </c>
      <c r="H75" s="14">
        <f>IF(E75="",0,E75*G75)</f>
        <v/>
      </c>
      <c r="I75" s="15">
        <f>IF(H75="",0,H75*Inputs!$C$42)</f>
        <v/>
      </c>
      <c r="J75" s="14">
        <f>IF(E75="",1,1 + (Inputs!$C$95-1)*IF((1-Inputs!$C$94)=0,0,(1-G75)/(1-Inputs!$C$94)))</f>
        <v/>
      </c>
      <c r="K75" s="12">
        <f>IF(I75=0,"",B75/I75)</f>
        <v/>
      </c>
      <c r="L75" s="15">
        <f>IF(F75="",0,F75)</f>
        <v/>
      </c>
      <c r="M75" s="15">
        <f>IF(A75&lt;=1,0,L74)</f>
        <v/>
      </c>
      <c r="N75" s="15">
        <f>IF(A75&lt;=1,0,M74)</f>
        <v/>
      </c>
      <c r="O75" s="15">
        <f>IF(A75&lt;=1,0,N74)</f>
        <v/>
      </c>
      <c r="P75" s="15">
        <f>IF(A75&lt;=1,0,O74)</f>
        <v/>
      </c>
      <c r="Q75" s="15">
        <f>IF(A75&lt;=1,0,P74)</f>
        <v/>
      </c>
      <c r="R75" s="15">
        <f>IF(A75&lt;=1,0,Q74)</f>
        <v/>
      </c>
      <c r="S75" s="15">
        <f>IF(A75&lt;=1,0,R74)</f>
        <v/>
      </c>
      <c r="T75" s="15">
        <f>IF(A75&lt;=1,0,S74)</f>
        <v/>
      </c>
      <c r="U75" s="15">
        <f>IF(A75&lt;=1,0,T74)</f>
        <v/>
      </c>
      <c r="V75" s="15">
        <f>IF(A75&lt;=1,0,U74)</f>
        <v/>
      </c>
      <c r="W75" s="15">
        <f>IF(A75&lt;=1,0,V74)</f>
        <v/>
      </c>
      <c r="X75" s="15">
        <f>IF(A75&lt;=1,0,W74)</f>
        <v/>
      </c>
      <c r="Y75" s="15">
        <f>IF(A75&lt;=1,0,X74)</f>
        <v/>
      </c>
      <c r="Z75" s="15">
        <f>IF(A75&lt;=1,0,Y74)</f>
        <v/>
      </c>
      <c r="AA75" s="15">
        <f>IF(A75&lt;=1,0,Z74)</f>
        <v/>
      </c>
    </row>
    <row r="76">
      <c r="A76" s="55" t="n">
        <v>70</v>
      </c>
      <c r="B76" s="15">
        <f>IF(A76&gt;Inputs!$C$62,"",INDEX(Trajectory!$G$23:$G$2000,A76))</f>
        <v/>
      </c>
      <c r="C76" s="15">
        <f>IF(B76="","",IF(A76&lt;=Inputs!$C$75,INDEX(Trajectory!$G$23:$G$2000,1),INDEX(Trajectory!$G$23:$G$2000,MAX(1,A76-Inputs!$C$75))))</f>
        <v/>
      </c>
      <c r="D76" s="15">
        <f>IF(C76="","",MAX(Inputs!$C$76,CEILING(C76/(Inputs!$C$42*Inputs!$C$92),1)))</f>
        <v/>
      </c>
      <c r="E76" s="15">
        <f>IF(D76="","",MAX(E75,D76))</f>
        <v/>
      </c>
      <c r="F76" s="15">
        <f>E76-E75</f>
        <v/>
      </c>
      <c r="G76" s="12">
        <f>IF(E76="",1,IF(E76=0,1,(E76-SUM(L76:AA76)+SUMPRODUCT(L76:AA76,$N$5:$N$20))/E76))</f>
        <v/>
      </c>
      <c r="H76" s="14">
        <f>IF(E76="",0,E76*G76)</f>
        <v/>
      </c>
      <c r="I76" s="15">
        <f>IF(H76="",0,H76*Inputs!$C$42)</f>
        <v/>
      </c>
      <c r="J76" s="14">
        <f>IF(E76="",1,1 + (Inputs!$C$95-1)*IF((1-Inputs!$C$94)=0,0,(1-G76)/(1-Inputs!$C$94)))</f>
        <v/>
      </c>
      <c r="K76" s="12">
        <f>IF(I76=0,"",B76/I76)</f>
        <v/>
      </c>
      <c r="L76" s="15">
        <f>IF(F76="",0,F76)</f>
        <v/>
      </c>
      <c r="M76" s="15">
        <f>IF(A76&lt;=1,0,L75)</f>
        <v/>
      </c>
      <c r="N76" s="15">
        <f>IF(A76&lt;=1,0,M75)</f>
        <v/>
      </c>
      <c r="O76" s="15">
        <f>IF(A76&lt;=1,0,N75)</f>
        <v/>
      </c>
      <c r="P76" s="15">
        <f>IF(A76&lt;=1,0,O75)</f>
        <v/>
      </c>
      <c r="Q76" s="15">
        <f>IF(A76&lt;=1,0,P75)</f>
        <v/>
      </c>
      <c r="R76" s="15">
        <f>IF(A76&lt;=1,0,Q75)</f>
        <v/>
      </c>
      <c r="S76" s="15">
        <f>IF(A76&lt;=1,0,R75)</f>
        <v/>
      </c>
      <c r="T76" s="15">
        <f>IF(A76&lt;=1,0,S75)</f>
        <v/>
      </c>
      <c r="U76" s="15">
        <f>IF(A76&lt;=1,0,T75)</f>
        <v/>
      </c>
      <c r="V76" s="15">
        <f>IF(A76&lt;=1,0,U75)</f>
        <v/>
      </c>
      <c r="W76" s="15">
        <f>IF(A76&lt;=1,0,V75)</f>
        <v/>
      </c>
      <c r="X76" s="15">
        <f>IF(A76&lt;=1,0,W75)</f>
        <v/>
      </c>
      <c r="Y76" s="15">
        <f>IF(A76&lt;=1,0,X75)</f>
        <v/>
      </c>
      <c r="Z76" s="15">
        <f>IF(A76&lt;=1,0,Y75)</f>
        <v/>
      </c>
      <c r="AA76" s="15">
        <f>IF(A76&lt;=1,0,Z75)</f>
        <v/>
      </c>
    </row>
    <row r="77">
      <c r="A77" s="55" t="n">
        <v>71</v>
      </c>
      <c r="B77" s="15">
        <f>IF(A77&gt;Inputs!$C$62,"",INDEX(Trajectory!$G$23:$G$2000,A77))</f>
        <v/>
      </c>
      <c r="C77" s="15">
        <f>IF(B77="","",IF(A77&lt;=Inputs!$C$75,INDEX(Trajectory!$G$23:$G$2000,1),INDEX(Trajectory!$G$23:$G$2000,MAX(1,A77-Inputs!$C$75))))</f>
        <v/>
      </c>
      <c r="D77" s="15">
        <f>IF(C77="","",MAX(Inputs!$C$76,CEILING(C77/(Inputs!$C$42*Inputs!$C$92),1)))</f>
        <v/>
      </c>
      <c r="E77" s="15">
        <f>IF(D77="","",MAX(E76,D77))</f>
        <v/>
      </c>
      <c r="F77" s="15">
        <f>E77-E76</f>
        <v/>
      </c>
      <c r="G77" s="12">
        <f>IF(E77="",1,IF(E77=0,1,(E77-SUM(L77:AA77)+SUMPRODUCT(L77:AA77,$N$5:$N$20))/E77))</f>
        <v/>
      </c>
      <c r="H77" s="14">
        <f>IF(E77="",0,E77*G77)</f>
        <v/>
      </c>
      <c r="I77" s="15">
        <f>IF(H77="",0,H77*Inputs!$C$42)</f>
        <v/>
      </c>
      <c r="J77" s="14">
        <f>IF(E77="",1,1 + (Inputs!$C$95-1)*IF((1-Inputs!$C$94)=0,0,(1-G77)/(1-Inputs!$C$94)))</f>
        <v/>
      </c>
      <c r="K77" s="12">
        <f>IF(I77=0,"",B77/I77)</f>
        <v/>
      </c>
      <c r="L77" s="15">
        <f>IF(F77="",0,F77)</f>
        <v/>
      </c>
      <c r="M77" s="15">
        <f>IF(A77&lt;=1,0,L76)</f>
        <v/>
      </c>
      <c r="N77" s="15">
        <f>IF(A77&lt;=1,0,M76)</f>
        <v/>
      </c>
      <c r="O77" s="15">
        <f>IF(A77&lt;=1,0,N76)</f>
        <v/>
      </c>
      <c r="P77" s="15">
        <f>IF(A77&lt;=1,0,O76)</f>
        <v/>
      </c>
      <c r="Q77" s="15">
        <f>IF(A77&lt;=1,0,P76)</f>
        <v/>
      </c>
      <c r="R77" s="15">
        <f>IF(A77&lt;=1,0,Q76)</f>
        <v/>
      </c>
      <c r="S77" s="15">
        <f>IF(A77&lt;=1,0,R76)</f>
        <v/>
      </c>
      <c r="T77" s="15">
        <f>IF(A77&lt;=1,0,S76)</f>
        <v/>
      </c>
      <c r="U77" s="15">
        <f>IF(A77&lt;=1,0,T76)</f>
        <v/>
      </c>
      <c r="V77" s="15">
        <f>IF(A77&lt;=1,0,U76)</f>
        <v/>
      </c>
      <c r="W77" s="15">
        <f>IF(A77&lt;=1,0,V76)</f>
        <v/>
      </c>
      <c r="X77" s="15">
        <f>IF(A77&lt;=1,0,W76)</f>
        <v/>
      </c>
      <c r="Y77" s="15">
        <f>IF(A77&lt;=1,0,X76)</f>
        <v/>
      </c>
      <c r="Z77" s="15">
        <f>IF(A77&lt;=1,0,Y76)</f>
        <v/>
      </c>
      <c r="AA77" s="15">
        <f>IF(A77&lt;=1,0,Z76)</f>
        <v/>
      </c>
    </row>
    <row r="78">
      <c r="A78" s="55" t="n">
        <v>72</v>
      </c>
      <c r="B78" s="15">
        <f>IF(A78&gt;Inputs!$C$62,"",INDEX(Trajectory!$G$23:$G$2000,A78))</f>
        <v/>
      </c>
      <c r="C78" s="15">
        <f>IF(B78="","",IF(A78&lt;=Inputs!$C$75,INDEX(Trajectory!$G$23:$G$2000,1),INDEX(Trajectory!$G$23:$G$2000,MAX(1,A78-Inputs!$C$75))))</f>
        <v/>
      </c>
      <c r="D78" s="15">
        <f>IF(C78="","",MAX(Inputs!$C$76,CEILING(C78/(Inputs!$C$42*Inputs!$C$92),1)))</f>
        <v/>
      </c>
      <c r="E78" s="15">
        <f>IF(D78="","",MAX(E77,D78))</f>
        <v/>
      </c>
      <c r="F78" s="15">
        <f>E78-E77</f>
        <v/>
      </c>
      <c r="G78" s="12">
        <f>IF(E78="",1,IF(E78=0,1,(E78-SUM(L78:AA78)+SUMPRODUCT(L78:AA78,$N$5:$N$20))/E78))</f>
        <v/>
      </c>
      <c r="H78" s="14">
        <f>IF(E78="",0,E78*G78)</f>
        <v/>
      </c>
      <c r="I78" s="15">
        <f>IF(H78="",0,H78*Inputs!$C$42)</f>
        <v/>
      </c>
      <c r="J78" s="14">
        <f>IF(E78="",1,1 + (Inputs!$C$95-1)*IF((1-Inputs!$C$94)=0,0,(1-G78)/(1-Inputs!$C$94)))</f>
        <v/>
      </c>
      <c r="K78" s="12">
        <f>IF(I78=0,"",B78/I78)</f>
        <v/>
      </c>
      <c r="L78" s="15">
        <f>IF(F78="",0,F78)</f>
        <v/>
      </c>
      <c r="M78" s="15">
        <f>IF(A78&lt;=1,0,L77)</f>
        <v/>
      </c>
      <c r="N78" s="15">
        <f>IF(A78&lt;=1,0,M77)</f>
        <v/>
      </c>
      <c r="O78" s="15">
        <f>IF(A78&lt;=1,0,N77)</f>
        <v/>
      </c>
      <c r="P78" s="15">
        <f>IF(A78&lt;=1,0,O77)</f>
        <v/>
      </c>
      <c r="Q78" s="15">
        <f>IF(A78&lt;=1,0,P77)</f>
        <v/>
      </c>
      <c r="R78" s="15">
        <f>IF(A78&lt;=1,0,Q77)</f>
        <v/>
      </c>
      <c r="S78" s="15">
        <f>IF(A78&lt;=1,0,R77)</f>
        <v/>
      </c>
      <c r="T78" s="15">
        <f>IF(A78&lt;=1,0,S77)</f>
        <v/>
      </c>
      <c r="U78" s="15">
        <f>IF(A78&lt;=1,0,T77)</f>
        <v/>
      </c>
      <c r="V78" s="15">
        <f>IF(A78&lt;=1,0,U77)</f>
        <v/>
      </c>
      <c r="W78" s="15">
        <f>IF(A78&lt;=1,0,V77)</f>
        <v/>
      </c>
      <c r="X78" s="15">
        <f>IF(A78&lt;=1,0,W77)</f>
        <v/>
      </c>
      <c r="Y78" s="15">
        <f>IF(A78&lt;=1,0,X77)</f>
        <v/>
      </c>
      <c r="Z78" s="15">
        <f>IF(A78&lt;=1,0,Y77)</f>
        <v/>
      </c>
      <c r="AA78" s="15">
        <f>IF(A78&lt;=1,0,Z77)</f>
        <v/>
      </c>
    </row>
    <row r="79">
      <c r="A79" s="55" t="n">
        <v>73</v>
      </c>
      <c r="B79" s="15">
        <f>IF(A79&gt;Inputs!$C$62,"",INDEX(Trajectory!$G$23:$G$2000,A79))</f>
        <v/>
      </c>
      <c r="C79" s="15">
        <f>IF(B79="","",IF(A79&lt;=Inputs!$C$75,INDEX(Trajectory!$G$23:$G$2000,1),INDEX(Trajectory!$G$23:$G$2000,MAX(1,A79-Inputs!$C$75))))</f>
        <v/>
      </c>
      <c r="D79" s="15">
        <f>IF(C79="","",MAX(Inputs!$C$76,CEILING(C79/(Inputs!$C$42*Inputs!$C$92),1)))</f>
        <v/>
      </c>
      <c r="E79" s="15">
        <f>IF(D79="","",MAX(E78,D79))</f>
        <v/>
      </c>
      <c r="F79" s="15">
        <f>E79-E78</f>
        <v/>
      </c>
      <c r="G79" s="12">
        <f>IF(E79="",1,IF(E79=0,1,(E79-SUM(L79:AA79)+SUMPRODUCT(L79:AA79,$N$5:$N$20))/E79))</f>
        <v/>
      </c>
      <c r="H79" s="14">
        <f>IF(E79="",0,E79*G79)</f>
        <v/>
      </c>
      <c r="I79" s="15">
        <f>IF(H79="",0,H79*Inputs!$C$42)</f>
        <v/>
      </c>
      <c r="J79" s="14">
        <f>IF(E79="",1,1 + (Inputs!$C$95-1)*IF((1-Inputs!$C$94)=0,0,(1-G79)/(1-Inputs!$C$94)))</f>
        <v/>
      </c>
      <c r="K79" s="12">
        <f>IF(I79=0,"",B79/I79)</f>
        <v/>
      </c>
      <c r="L79" s="15">
        <f>IF(F79="",0,F79)</f>
        <v/>
      </c>
      <c r="M79" s="15">
        <f>IF(A79&lt;=1,0,L78)</f>
        <v/>
      </c>
      <c r="N79" s="15">
        <f>IF(A79&lt;=1,0,M78)</f>
        <v/>
      </c>
      <c r="O79" s="15">
        <f>IF(A79&lt;=1,0,N78)</f>
        <v/>
      </c>
      <c r="P79" s="15">
        <f>IF(A79&lt;=1,0,O78)</f>
        <v/>
      </c>
      <c r="Q79" s="15">
        <f>IF(A79&lt;=1,0,P78)</f>
        <v/>
      </c>
      <c r="R79" s="15">
        <f>IF(A79&lt;=1,0,Q78)</f>
        <v/>
      </c>
      <c r="S79" s="15">
        <f>IF(A79&lt;=1,0,R78)</f>
        <v/>
      </c>
      <c r="T79" s="15">
        <f>IF(A79&lt;=1,0,S78)</f>
        <v/>
      </c>
      <c r="U79" s="15">
        <f>IF(A79&lt;=1,0,T78)</f>
        <v/>
      </c>
      <c r="V79" s="15">
        <f>IF(A79&lt;=1,0,U78)</f>
        <v/>
      </c>
      <c r="W79" s="15">
        <f>IF(A79&lt;=1,0,V78)</f>
        <v/>
      </c>
      <c r="X79" s="15">
        <f>IF(A79&lt;=1,0,W78)</f>
        <v/>
      </c>
      <c r="Y79" s="15">
        <f>IF(A79&lt;=1,0,X78)</f>
        <v/>
      </c>
      <c r="Z79" s="15">
        <f>IF(A79&lt;=1,0,Y78)</f>
        <v/>
      </c>
      <c r="AA79" s="15">
        <f>IF(A79&lt;=1,0,Z78)</f>
        <v/>
      </c>
    </row>
    <row r="80">
      <c r="A80" s="55" t="n">
        <v>74</v>
      </c>
      <c r="B80" s="15">
        <f>IF(A80&gt;Inputs!$C$62,"",INDEX(Trajectory!$G$23:$G$2000,A80))</f>
        <v/>
      </c>
      <c r="C80" s="15">
        <f>IF(B80="","",IF(A80&lt;=Inputs!$C$75,INDEX(Trajectory!$G$23:$G$2000,1),INDEX(Trajectory!$G$23:$G$2000,MAX(1,A80-Inputs!$C$75))))</f>
        <v/>
      </c>
      <c r="D80" s="15">
        <f>IF(C80="","",MAX(Inputs!$C$76,CEILING(C80/(Inputs!$C$42*Inputs!$C$92),1)))</f>
        <v/>
      </c>
      <c r="E80" s="15">
        <f>IF(D80="","",MAX(E79,D80))</f>
        <v/>
      </c>
      <c r="F80" s="15">
        <f>E80-E79</f>
        <v/>
      </c>
      <c r="G80" s="12">
        <f>IF(E80="",1,IF(E80=0,1,(E80-SUM(L80:AA80)+SUMPRODUCT(L80:AA80,$N$5:$N$20))/E80))</f>
        <v/>
      </c>
      <c r="H80" s="14">
        <f>IF(E80="",0,E80*G80)</f>
        <v/>
      </c>
      <c r="I80" s="15">
        <f>IF(H80="",0,H80*Inputs!$C$42)</f>
        <v/>
      </c>
      <c r="J80" s="14">
        <f>IF(E80="",1,1 + (Inputs!$C$95-1)*IF((1-Inputs!$C$94)=0,0,(1-G80)/(1-Inputs!$C$94)))</f>
        <v/>
      </c>
      <c r="K80" s="12">
        <f>IF(I80=0,"",B80/I80)</f>
        <v/>
      </c>
      <c r="L80" s="15">
        <f>IF(F80="",0,F80)</f>
        <v/>
      </c>
      <c r="M80" s="15">
        <f>IF(A80&lt;=1,0,L79)</f>
        <v/>
      </c>
      <c r="N80" s="15">
        <f>IF(A80&lt;=1,0,M79)</f>
        <v/>
      </c>
      <c r="O80" s="15">
        <f>IF(A80&lt;=1,0,N79)</f>
        <v/>
      </c>
      <c r="P80" s="15">
        <f>IF(A80&lt;=1,0,O79)</f>
        <v/>
      </c>
      <c r="Q80" s="15">
        <f>IF(A80&lt;=1,0,P79)</f>
        <v/>
      </c>
      <c r="R80" s="15">
        <f>IF(A80&lt;=1,0,Q79)</f>
        <v/>
      </c>
      <c r="S80" s="15">
        <f>IF(A80&lt;=1,0,R79)</f>
        <v/>
      </c>
      <c r="T80" s="15">
        <f>IF(A80&lt;=1,0,S79)</f>
        <v/>
      </c>
      <c r="U80" s="15">
        <f>IF(A80&lt;=1,0,T79)</f>
        <v/>
      </c>
      <c r="V80" s="15">
        <f>IF(A80&lt;=1,0,U79)</f>
        <v/>
      </c>
      <c r="W80" s="15">
        <f>IF(A80&lt;=1,0,V79)</f>
        <v/>
      </c>
      <c r="X80" s="15">
        <f>IF(A80&lt;=1,0,W79)</f>
        <v/>
      </c>
      <c r="Y80" s="15">
        <f>IF(A80&lt;=1,0,X79)</f>
        <v/>
      </c>
      <c r="Z80" s="15">
        <f>IF(A80&lt;=1,0,Y79)</f>
        <v/>
      </c>
      <c r="AA80" s="15">
        <f>IF(A80&lt;=1,0,Z79)</f>
        <v/>
      </c>
    </row>
    <row r="81">
      <c r="A81" s="55" t="n">
        <v>75</v>
      </c>
      <c r="B81" s="15">
        <f>IF(A81&gt;Inputs!$C$62,"",INDEX(Trajectory!$G$23:$G$2000,A81))</f>
        <v/>
      </c>
      <c r="C81" s="15">
        <f>IF(B81="","",IF(A81&lt;=Inputs!$C$75,INDEX(Trajectory!$G$23:$G$2000,1),INDEX(Trajectory!$G$23:$G$2000,MAX(1,A81-Inputs!$C$75))))</f>
        <v/>
      </c>
      <c r="D81" s="15">
        <f>IF(C81="","",MAX(Inputs!$C$76,CEILING(C81/(Inputs!$C$42*Inputs!$C$92),1)))</f>
        <v/>
      </c>
      <c r="E81" s="15">
        <f>IF(D81="","",MAX(E80,D81))</f>
        <v/>
      </c>
      <c r="F81" s="15">
        <f>E81-E80</f>
        <v/>
      </c>
      <c r="G81" s="12">
        <f>IF(E81="",1,IF(E81=0,1,(E81-SUM(L81:AA81)+SUMPRODUCT(L81:AA81,$N$5:$N$20))/E81))</f>
        <v/>
      </c>
      <c r="H81" s="14">
        <f>IF(E81="",0,E81*G81)</f>
        <v/>
      </c>
      <c r="I81" s="15">
        <f>IF(H81="",0,H81*Inputs!$C$42)</f>
        <v/>
      </c>
      <c r="J81" s="14">
        <f>IF(E81="",1,1 + (Inputs!$C$95-1)*IF((1-Inputs!$C$94)=0,0,(1-G81)/(1-Inputs!$C$94)))</f>
        <v/>
      </c>
      <c r="K81" s="12">
        <f>IF(I81=0,"",B81/I81)</f>
        <v/>
      </c>
      <c r="L81" s="15">
        <f>IF(F81="",0,F81)</f>
        <v/>
      </c>
      <c r="M81" s="15">
        <f>IF(A81&lt;=1,0,L80)</f>
        <v/>
      </c>
      <c r="N81" s="15">
        <f>IF(A81&lt;=1,0,M80)</f>
        <v/>
      </c>
      <c r="O81" s="15">
        <f>IF(A81&lt;=1,0,N80)</f>
        <v/>
      </c>
      <c r="P81" s="15">
        <f>IF(A81&lt;=1,0,O80)</f>
        <v/>
      </c>
      <c r="Q81" s="15">
        <f>IF(A81&lt;=1,0,P80)</f>
        <v/>
      </c>
      <c r="R81" s="15">
        <f>IF(A81&lt;=1,0,Q80)</f>
        <v/>
      </c>
      <c r="S81" s="15">
        <f>IF(A81&lt;=1,0,R80)</f>
        <v/>
      </c>
      <c r="T81" s="15">
        <f>IF(A81&lt;=1,0,S80)</f>
        <v/>
      </c>
      <c r="U81" s="15">
        <f>IF(A81&lt;=1,0,T80)</f>
        <v/>
      </c>
      <c r="V81" s="15">
        <f>IF(A81&lt;=1,0,U80)</f>
        <v/>
      </c>
      <c r="W81" s="15">
        <f>IF(A81&lt;=1,0,V80)</f>
        <v/>
      </c>
      <c r="X81" s="15">
        <f>IF(A81&lt;=1,0,W80)</f>
        <v/>
      </c>
      <c r="Y81" s="15">
        <f>IF(A81&lt;=1,0,X80)</f>
        <v/>
      </c>
      <c r="Z81" s="15">
        <f>IF(A81&lt;=1,0,Y80)</f>
        <v/>
      </c>
      <c r="AA81" s="15">
        <f>IF(A81&lt;=1,0,Z80)</f>
        <v/>
      </c>
    </row>
    <row r="82">
      <c r="A82" s="55" t="n">
        <v>76</v>
      </c>
      <c r="B82" s="15">
        <f>IF(A82&gt;Inputs!$C$62,"",INDEX(Trajectory!$G$23:$G$2000,A82))</f>
        <v/>
      </c>
      <c r="C82" s="15">
        <f>IF(B82="","",IF(A82&lt;=Inputs!$C$75,INDEX(Trajectory!$G$23:$G$2000,1),INDEX(Trajectory!$G$23:$G$2000,MAX(1,A82-Inputs!$C$75))))</f>
        <v/>
      </c>
      <c r="D82" s="15">
        <f>IF(C82="","",MAX(Inputs!$C$76,CEILING(C82/(Inputs!$C$42*Inputs!$C$92),1)))</f>
        <v/>
      </c>
      <c r="E82" s="15">
        <f>IF(D82="","",MAX(E81,D82))</f>
        <v/>
      </c>
      <c r="F82" s="15">
        <f>E82-E81</f>
        <v/>
      </c>
      <c r="G82" s="12">
        <f>IF(E82="",1,IF(E82=0,1,(E82-SUM(L82:AA82)+SUMPRODUCT(L82:AA82,$N$5:$N$20))/E82))</f>
        <v/>
      </c>
      <c r="H82" s="14">
        <f>IF(E82="",0,E82*G82)</f>
        <v/>
      </c>
      <c r="I82" s="15">
        <f>IF(H82="",0,H82*Inputs!$C$42)</f>
        <v/>
      </c>
      <c r="J82" s="14">
        <f>IF(E82="",1,1 + (Inputs!$C$95-1)*IF((1-Inputs!$C$94)=0,0,(1-G82)/(1-Inputs!$C$94)))</f>
        <v/>
      </c>
      <c r="K82" s="12">
        <f>IF(I82=0,"",B82/I82)</f>
        <v/>
      </c>
      <c r="L82" s="15">
        <f>IF(F82="",0,F82)</f>
        <v/>
      </c>
      <c r="M82" s="15">
        <f>IF(A82&lt;=1,0,L81)</f>
        <v/>
      </c>
      <c r="N82" s="15">
        <f>IF(A82&lt;=1,0,M81)</f>
        <v/>
      </c>
      <c r="O82" s="15">
        <f>IF(A82&lt;=1,0,N81)</f>
        <v/>
      </c>
      <c r="P82" s="15">
        <f>IF(A82&lt;=1,0,O81)</f>
        <v/>
      </c>
      <c r="Q82" s="15">
        <f>IF(A82&lt;=1,0,P81)</f>
        <v/>
      </c>
      <c r="R82" s="15">
        <f>IF(A82&lt;=1,0,Q81)</f>
        <v/>
      </c>
      <c r="S82" s="15">
        <f>IF(A82&lt;=1,0,R81)</f>
        <v/>
      </c>
      <c r="T82" s="15">
        <f>IF(A82&lt;=1,0,S81)</f>
        <v/>
      </c>
      <c r="U82" s="15">
        <f>IF(A82&lt;=1,0,T81)</f>
        <v/>
      </c>
      <c r="V82" s="15">
        <f>IF(A82&lt;=1,0,U81)</f>
        <v/>
      </c>
      <c r="W82" s="15">
        <f>IF(A82&lt;=1,0,V81)</f>
        <v/>
      </c>
      <c r="X82" s="15">
        <f>IF(A82&lt;=1,0,W81)</f>
        <v/>
      </c>
      <c r="Y82" s="15">
        <f>IF(A82&lt;=1,0,X81)</f>
        <v/>
      </c>
      <c r="Z82" s="15">
        <f>IF(A82&lt;=1,0,Y81)</f>
        <v/>
      </c>
      <c r="AA82" s="15">
        <f>IF(A82&lt;=1,0,Z81)</f>
        <v/>
      </c>
    </row>
    <row r="83">
      <c r="A83" s="55" t="n">
        <v>77</v>
      </c>
      <c r="B83" s="15">
        <f>IF(A83&gt;Inputs!$C$62,"",INDEX(Trajectory!$G$23:$G$2000,A83))</f>
        <v/>
      </c>
      <c r="C83" s="15">
        <f>IF(B83="","",IF(A83&lt;=Inputs!$C$75,INDEX(Trajectory!$G$23:$G$2000,1),INDEX(Trajectory!$G$23:$G$2000,MAX(1,A83-Inputs!$C$75))))</f>
        <v/>
      </c>
      <c r="D83" s="15">
        <f>IF(C83="","",MAX(Inputs!$C$76,CEILING(C83/(Inputs!$C$42*Inputs!$C$92),1)))</f>
        <v/>
      </c>
      <c r="E83" s="15">
        <f>IF(D83="","",MAX(E82,D83))</f>
        <v/>
      </c>
      <c r="F83" s="15">
        <f>E83-E82</f>
        <v/>
      </c>
      <c r="G83" s="12">
        <f>IF(E83="",1,IF(E83=0,1,(E83-SUM(L83:AA83)+SUMPRODUCT(L83:AA83,$N$5:$N$20))/E83))</f>
        <v/>
      </c>
      <c r="H83" s="14">
        <f>IF(E83="",0,E83*G83)</f>
        <v/>
      </c>
      <c r="I83" s="15">
        <f>IF(H83="",0,H83*Inputs!$C$42)</f>
        <v/>
      </c>
      <c r="J83" s="14">
        <f>IF(E83="",1,1 + (Inputs!$C$95-1)*IF((1-Inputs!$C$94)=0,0,(1-G83)/(1-Inputs!$C$94)))</f>
        <v/>
      </c>
      <c r="K83" s="12">
        <f>IF(I83=0,"",B83/I83)</f>
        <v/>
      </c>
      <c r="L83" s="15">
        <f>IF(F83="",0,F83)</f>
        <v/>
      </c>
      <c r="M83" s="15">
        <f>IF(A83&lt;=1,0,L82)</f>
        <v/>
      </c>
      <c r="N83" s="15">
        <f>IF(A83&lt;=1,0,M82)</f>
        <v/>
      </c>
      <c r="O83" s="15">
        <f>IF(A83&lt;=1,0,N82)</f>
        <v/>
      </c>
      <c r="P83" s="15">
        <f>IF(A83&lt;=1,0,O82)</f>
        <v/>
      </c>
      <c r="Q83" s="15">
        <f>IF(A83&lt;=1,0,P82)</f>
        <v/>
      </c>
      <c r="R83" s="15">
        <f>IF(A83&lt;=1,0,Q82)</f>
        <v/>
      </c>
      <c r="S83" s="15">
        <f>IF(A83&lt;=1,0,R82)</f>
        <v/>
      </c>
      <c r="T83" s="15">
        <f>IF(A83&lt;=1,0,S82)</f>
        <v/>
      </c>
      <c r="U83" s="15">
        <f>IF(A83&lt;=1,0,T82)</f>
        <v/>
      </c>
      <c r="V83" s="15">
        <f>IF(A83&lt;=1,0,U82)</f>
        <v/>
      </c>
      <c r="W83" s="15">
        <f>IF(A83&lt;=1,0,V82)</f>
        <v/>
      </c>
      <c r="X83" s="15">
        <f>IF(A83&lt;=1,0,W82)</f>
        <v/>
      </c>
      <c r="Y83" s="15">
        <f>IF(A83&lt;=1,0,X82)</f>
        <v/>
      </c>
      <c r="Z83" s="15">
        <f>IF(A83&lt;=1,0,Y82)</f>
        <v/>
      </c>
      <c r="AA83" s="15">
        <f>IF(A83&lt;=1,0,Z82)</f>
        <v/>
      </c>
    </row>
    <row r="84">
      <c r="A84" s="55" t="n">
        <v>78</v>
      </c>
      <c r="B84" s="15">
        <f>IF(A84&gt;Inputs!$C$62,"",INDEX(Trajectory!$G$23:$G$2000,A84))</f>
        <v/>
      </c>
      <c r="C84" s="15">
        <f>IF(B84="","",IF(A84&lt;=Inputs!$C$75,INDEX(Trajectory!$G$23:$G$2000,1),INDEX(Trajectory!$G$23:$G$2000,MAX(1,A84-Inputs!$C$75))))</f>
        <v/>
      </c>
      <c r="D84" s="15">
        <f>IF(C84="","",MAX(Inputs!$C$76,CEILING(C84/(Inputs!$C$42*Inputs!$C$92),1)))</f>
        <v/>
      </c>
      <c r="E84" s="15">
        <f>IF(D84="","",MAX(E83,D84))</f>
        <v/>
      </c>
      <c r="F84" s="15">
        <f>E84-E83</f>
        <v/>
      </c>
      <c r="G84" s="12">
        <f>IF(E84="",1,IF(E84=0,1,(E84-SUM(L84:AA84)+SUMPRODUCT(L84:AA84,$N$5:$N$20))/E84))</f>
        <v/>
      </c>
      <c r="H84" s="14">
        <f>IF(E84="",0,E84*G84)</f>
        <v/>
      </c>
      <c r="I84" s="15">
        <f>IF(H84="",0,H84*Inputs!$C$42)</f>
        <v/>
      </c>
      <c r="J84" s="14">
        <f>IF(E84="",1,1 + (Inputs!$C$95-1)*IF((1-Inputs!$C$94)=0,0,(1-G84)/(1-Inputs!$C$94)))</f>
        <v/>
      </c>
      <c r="K84" s="12">
        <f>IF(I84=0,"",B84/I84)</f>
        <v/>
      </c>
      <c r="L84" s="15">
        <f>IF(F84="",0,F84)</f>
        <v/>
      </c>
      <c r="M84" s="15">
        <f>IF(A84&lt;=1,0,L83)</f>
        <v/>
      </c>
      <c r="N84" s="15">
        <f>IF(A84&lt;=1,0,M83)</f>
        <v/>
      </c>
      <c r="O84" s="15">
        <f>IF(A84&lt;=1,0,N83)</f>
        <v/>
      </c>
      <c r="P84" s="15">
        <f>IF(A84&lt;=1,0,O83)</f>
        <v/>
      </c>
      <c r="Q84" s="15">
        <f>IF(A84&lt;=1,0,P83)</f>
        <v/>
      </c>
      <c r="R84" s="15">
        <f>IF(A84&lt;=1,0,Q83)</f>
        <v/>
      </c>
      <c r="S84" s="15">
        <f>IF(A84&lt;=1,0,R83)</f>
        <v/>
      </c>
      <c r="T84" s="15">
        <f>IF(A84&lt;=1,0,S83)</f>
        <v/>
      </c>
      <c r="U84" s="15">
        <f>IF(A84&lt;=1,0,T83)</f>
        <v/>
      </c>
      <c r="V84" s="15">
        <f>IF(A84&lt;=1,0,U83)</f>
        <v/>
      </c>
      <c r="W84" s="15">
        <f>IF(A84&lt;=1,0,V83)</f>
        <v/>
      </c>
      <c r="X84" s="15">
        <f>IF(A84&lt;=1,0,W83)</f>
        <v/>
      </c>
      <c r="Y84" s="15">
        <f>IF(A84&lt;=1,0,X83)</f>
        <v/>
      </c>
      <c r="Z84" s="15">
        <f>IF(A84&lt;=1,0,Y83)</f>
        <v/>
      </c>
      <c r="AA84" s="15">
        <f>IF(A84&lt;=1,0,Z83)</f>
        <v/>
      </c>
    </row>
    <row r="85">
      <c r="A85" s="55" t="n">
        <v>79</v>
      </c>
      <c r="B85" s="15">
        <f>IF(A85&gt;Inputs!$C$62,"",INDEX(Trajectory!$G$23:$G$2000,A85))</f>
        <v/>
      </c>
      <c r="C85" s="15">
        <f>IF(B85="","",IF(A85&lt;=Inputs!$C$75,INDEX(Trajectory!$G$23:$G$2000,1),INDEX(Trajectory!$G$23:$G$2000,MAX(1,A85-Inputs!$C$75))))</f>
        <v/>
      </c>
      <c r="D85" s="15">
        <f>IF(C85="","",MAX(Inputs!$C$76,CEILING(C85/(Inputs!$C$42*Inputs!$C$92),1)))</f>
        <v/>
      </c>
      <c r="E85" s="15">
        <f>IF(D85="","",MAX(E84,D85))</f>
        <v/>
      </c>
      <c r="F85" s="15">
        <f>E85-E84</f>
        <v/>
      </c>
      <c r="G85" s="12">
        <f>IF(E85="",1,IF(E85=0,1,(E85-SUM(L85:AA85)+SUMPRODUCT(L85:AA85,$N$5:$N$20))/E85))</f>
        <v/>
      </c>
      <c r="H85" s="14">
        <f>IF(E85="",0,E85*G85)</f>
        <v/>
      </c>
      <c r="I85" s="15">
        <f>IF(H85="",0,H85*Inputs!$C$42)</f>
        <v/>
      </c>
      <c r="J85" s="14">
        <f>IF(E85="",1,1 + (Inputs!$C$95-1)*IF((1-Inputs!$C$94)=0,0,(1-G85)/(1-Inputs!$C$94)))</f>
        <v/>
      </c>
      <c r="K85" s="12">
        <f>IF(I85=0,"",B85/I85)</f>
        <v/>
      </c>
      <c r="L85" s="15">
        <f>IF(F85="",0,F85)</f>
        <v/>
      </c>
      <c r="M85" s="15">
        <f>IF(A85&lt;=1,0,L84)</f>
        <v/>
      </c>
      <c r="N85" s="15">
        <f>IF(A85&lt;=1,0,M84)</f>
        <v/>
      </c>
      <c r="O85" s="15">
        <f>IF(A85&lt;=1,0,N84)</f>
        <v/>
      </c>
      <c r="P85" s="15">
        <f>IF(A85&lt;=1,0,O84)</f>
        <v/>
      </c>
      <c r="Q85" s="15">
        <f>IF(A85&lt;=1,0,P84)</f>
        <v/>
      </c>
      <c r="R85" s="15">
        <f>IF(A85&lt;=1,0,Q84)</f>
        <v/>
      </c>
      <c r="S85" s="15">
        <f>IF(A85&lt;=1,0,R84)</f>
        <v/>
      </c>
      <c r="T85" s="15">
        <f>IF(A85&lt;=1,0,S84)</f>
        <v/>
      </c>
      <c r="U85" s="15">
        <f>IF(A85&lt;=1,0,T84)</f>
        <v/>
      </c>
      <c r="V85" s="15">
        <f>IF(A85&lt;=1,0,U84)</f>
        <v/>
      </c>
      <c r="W85" s="15">
        <f>IF(A85&lt;=1,0,V84)</f>
        <v/>
      </c>
      <c r="X85" s="15">
        <f>IF(A85&lt;=1,0,W84)</f>
        <v/>
      </c>
      <c r="Y85" s="15">
        <f>IF(A85&lt;=1,0,X84)</f>
        <v/>
      </c>
      <c r="Z85" s="15">
        <f>IF(A85&lt;=1,0,Y84)</f>
        <v/>
      </c>
      <c r="AA85" s="15">
        <f>IF(A85&lt;=1,0,Z84)</f>
        <v/>
      </c>
    </row>
    <row r="86">
      <c r="A86" s="55" t="n">
        <v>80</v>
      </c>
      <c r="B86" s="15">
        <f>IF(A86&gt;Inputs!$C$62,"",INDEX(Trajectory!$G$23:$G$2000,A86))</f>
        <v/>
      </c>
      <c r="C86" s="15">
        <f>IF(B86="","",IF(A86&lt;=Inputs!$C$75,INDEX(Trajectory!$G$23:$G$2000,1),INDEX(Trajectory!$G$23:$G$2000,MAX(1,A86-Inputs!$C$75))))</f>
        <v/>
      </c>
      <c r="D86" s="15">
        <f>IF(C86="","",MAX(Inputs!$C$76,CEILING(C86/(Inputs!$C$42*Inputs!$C$92),1)))</f>
        <v/>
      </c>
      <c r="E86" s="15">
        <f>IF(D86="","",MAX(E85,D86))</f>
        <v/>
      </c>
      <c r="F86" s="15">
        <f>E86-E85</f>
        <v/>
      </c>
      <c r="G86" s="12">
        <f>IF(E86="",1,IF(E86=0,1,(E86-SUM(L86:AA86)+SUMPRODUCT(L86:AA86,$N$5:$N$20))/E86))</f>
        <v/>
      </c>
      <c r="H86" s="14">
        <f>IF(E86="",0,E86*G86)</f>
        <v/>
      </c>
      <c r="I86" s="15">
        <f>IF(H86="",0,H86*Inputs!$C$42)</f>
        <v/>
      </c>
      <c r="J86" s="14">
        <f>IF(E86="",1,1 + (Inputs!$C$95-1)*IF((1-Inputs!$C$94)=0,0,(1-G86)/(1-Inputs!$C$94)))</f>
        <v/>
      </c>
      <c r="K86" s="12">
        <f>IF(I86=0,"",B86/I86)</f>
        <v/>
      </c>
      <c r="L86" s="15">
        <f>IF(F86="",0,F86)</f>
        <v/>
      </c>
      <c r="M86" s="15">
        <f>IF(A86&lt;=1,0,L85)</f>
        <v/>
      </c>
      <c r="N86" s="15">
        <f>IF(A86&lt;=1,0,M85)</f>
        <v/>
      </c>
      <c r="O86" s="15">
        <f>IF(A86&lt;=1,0,N85)</f>
        <v/>
      </c>
      <c r="P86" s="15">
        <f>IF(A86&lt;=1,0,O85)</f>
        <v/>
      </c>
      <c r="Q86" s="15">
        <f>IF(A86&lt;=1,0,P85)</f>
        <v/>
      </c>
      <c r="R86" s="15">
        <f>IF(A86&lt;=1,0,Q85)</f>
        <v/>
      </c>
      <c r="S86" s="15">
        <f>IF(A86&lt;=1,0,R85)</f>
        <v/>
      </c>
      <c r="T86" s="15">
        <f>IF(A86&lt;=1,0,S85)</f>
        <v/>
      </c>
      <c r="U86" s="15">
        <f>IF(A86&lt;=1,0,T85)</f>
        <v/>
      </c>
      <c r="V86" s="15">
        <f>IF(A86&lt;=1,0,U85)</f>
        <v/>
      </c>
      <c r="W86" s="15">
        <f>IF(A86&lt;=1,0,V85)</f>
        <v/>
      </c>
      <c r="X86" s="15">
        <f>IF(A86&lt;=1,0,W85)</f>
        <v/>
      </c>
      <c r="Y86" s="15">
        <f>IF(A86&lt;=1,0,X85)</f>
        <v/>
      </c>
      <c r="Z86" s="15">
        <f>IF(A86&lt;=1,0,Y85)</f>
        <v/>
      </c>
      <c r="AA86" s="15">
        <f>IF(A86&lt;=1,0,Z85)</f>
        <v/>
      </c>
    </row>
    <row r="87">
      <c r="A87" s="55" t="n">
        <v>81</v>
      </c>
      <c r="B87" s="15">
        <f>IF(A87&gt;Inputs!$C$62,"",INDEX(Trajectory!$G$23:$G$2000,A87))</f>
        <v/>
      </c>
      <c r="C87" s="15">
        <f>IF(B87="","",IF(A87&lt;=Inputs!$C$75,INDEX(Trajectory!$G$23:$G$2000,1),INDEX(Trajectory!$G$23:$G$2000,MAX(1,A87-Inputs!$C$75))))</f>
        <v/>
      </c>
      <c r="D87" s="15">
        <f>IF(C87="","",MAX(Inputs!$C$76,CEILING(C87/(Inputs!$C$42*Inputs!$C$92),1)))</f>
        <v/>
      </c>
      <c r="E87" s="15">
        <f>IF(D87="","",MAX(E86,D87))</f>
        <v/>
      </c>
      <c r="F87" s="15">
        <f>E87-E86</f>
        <v/>
      </c>
      <c r="G87" s="12">
        <f>IF(E87="",1,IF(E87=0,1,(E87-SUM(L87:AA87)+SUMPRODUCT(L87:AA87,$N$5:$N$20))/E87))</f>
        <v/>
      </c>
      <c r="H87" s="14">
        <f>IF(E87="",0,E87*G87)</f>
        <v/>
      </c>
      <c r="I87" s="15">
        <f>IF(H87="",0,H87*Inputs!$C$42)</f>
        <v/>
      </c>
      <c r="J87" s="14">
        <f>IF(E87="",1,1 + (Inputs!$C$95-1)*IF((1-Inputs!$C$94)=0,0,(1-G87)/(1-Inputs!$C$94)))</f>
        <v/>
      </c>
      <c r="K87" s="12">
        <f>IF(I87=0,"",B87/I87)</f>
        <v/>
      </c>
      <c r="L87" s="15">
        <f>IF(F87="",0,F87)</f>
        <v/>
      </c>
      <c r="M87" s="15">
        <f>IF(A87&lt;=1,0,L86)</f>
        <v/>
      </c>
      <c r="N87" s="15">
        <f>IF(A87&lt;=1,0,M86)</f>
        <v/>
      </c>
      <c r="O87" s="15">
        <f>IF(A87&lt;=1,0,N86)</f>
        <v/>
      </c>
      <c r="P87" s="15">
        <f>IF(A87&lt;=1,0,O86)</f>
        <v/>
      </c>
      <c r="Q87" s="15">
        <f>IF(A87&lt;=1,0,P86)</f>
        <v/>
      </c>
      <c r="R87" s="15">
        <f>IF(A87&lt;=1,0,Q86)</f>
        <v/>
      </c>
      <c r="S87" s="15">
        <f>IF(A87&lt;=1,0,R86)</f>
        <v/>
      </c>
      <c r="T87" s="15">
        <f>IF(A87&lt;=1,0,S86)</f>
        <v/>
      </c>
      <c r="U87" s="15">
        <f>IF(A87&lt;=1,0,T86)</f>
        <v/>
      </c>
      <c r="V87" s="15">
        <f>IF(A87&lt;=1,0,U86)</f>
        <v/>
      </c>
      <c r="W87" s="15">
        <f>IF(A87&lt;=1,0,V86)</f>
        <v/>
      </c>
      <c r="X87" s="15">
        <f>IF(A87&lt;=1,0,W86)</f>
        <v/>
      </c>
      <c r="Y87" s="15">
        <f>IF(A87&lt;=1,0,X86)</f>
        <v/>
      </c>
      <c r="Z87" s="15">
        <f>IF(A87&lt;=1,0,Y86)</f>
        <v/>
      </c>
      <c r="AA87" s="15">
        <f>IF(A87&lt;=1,0,Z86)</f>
        <v/>
      </c>
    </row>
    <row r="88">
      <c r="A88" s="55" t="n">
        <v>82</v>
      </c>
      <c r="B88" s="15">
        <f>IF(A88&gt;Inputs!$C$62,"",INDEX(Trajectory!$G$23:$G$2000,A88))</f>
        <v/>
      </c>
      <c r="C88" s="15">
        <f>IF(B88="","",IF(A88&lt;=Inputs!$C$75,INDEX(Trajectory!$G$23:$G$2000,1),INDEX(Trajectory!$G$23:$G$2000,MAX(1,A88-Inputs!$C$75))))</f>
        <v/>
      </c>
      <c r="D88" s="15">
        <f>IF(C88="","",MAX(Inputs!$C$76,CEILING(C88/(Inputs!$C$42*Inputs!$C$92),1)))</f>
        <v/>
      </c>
      <c r="E88" s="15">
        <f>IF(D88="","",MAX(E87,D88))</f>
        <v/>
      </c>
      <c r="F88" s="15">
        <f>E88-E87</f>
        <v/>
      </c>
      <c r="G88" s="12">
        <f>IF(E88="",1,IF(E88=0,1,(E88-SUM(L88:AA88)+SUMPRODUCT(L88:AA88,$N$5:$N$20))/E88))</f>
        <v/>
      </c>
      <c r="H88" s="14">
        <f>IF(E88="",0,E88*G88)</f>
        <v/>
      </c>
      <c r="I88" s="15">
        <f>IF(H88="",0,H88*Inputs!$C$42)</f>
        <v/>
      </c>
      <c r="J88" s="14">
        <f>IF(E88="",1,1 + (Inputs!$C$95-1)*IF((1-Inputs!$C$94)=0,0,(1-G88)/(1-Inputs!$C$94)))</f>
        <v/>
      </c>
      <c r="K88" s="12">
        <f>IF(I88=0,"",B88/I88)</f>
        <v/>
      </c>
      <c r="L88" s="15">
        <f>IF(F88="",0,F88)</f>
        <v/>
      </c>
      <c r="M88" s="15">
        <f>IF(A88&lt;=1,0,L87)</f>
        <v/>
      </c>
      <c r="N88" s="15">
        <f>IF(A88&lt;=1,0,M87)</f>
        <v/>
      </c>
      <c r="O88" s="15">
        <f>IF(A88&lt;=1,0,N87)</f>
        <v/>
      </c>
      <c r="P88" s="15">
        <f>IF(A88&lt;=1,0,O87)</f>
        <v/>
      </c>
      <c r="Q88" s="15">
        <f>IF(A88&lt;=1,0,P87)</f>
        <v/>
      </c>
      <c r="R88" s="15">
        <f>IF(A88&lt;=1,0,Q87)</f>
        <v/>
      </c>
      <c r="S88" s="15">
        <f>IF(A88&lt;=1,0,R87)</f>
        <v/>
      </c>
      <c r="T88" s="15">
        <f>IF(A88&lt;=1,0,S87)</f>
        <v/>
      </c>
      <c r="U88" s="15">
        <f>IF(A88&lt;=1,0,T87)</f>
        <v/>
      </c>
      <c r="V88" s="15">
        <f>IF(A88&lt;=1,0,U87)</f>
        <v/>
      </c>
      <c r="W88" s="15">
        <f>IF(A88&lt;=1,0,V87)</f>
        <v/>
      </c>
      <c r="X88" s="15">
        <f>IF(A88&lt;=1,0,W87)</f>
        <v/>
      </c>
      <c r="Y88" s="15">
        <f>IF(A88&lt;=1,0,X87)</f>
        <v/>
      </c>
      <c r="Z88" s="15">
        <f>IF(A88&lt;=1,0,Y87)</f>
        <v/>
      </c>
      <c r="AA88" s="15">
        <f>IF(A88&lt;=1,0,Z87)</f>
        <v/>
      </c>
    </row>
    <row r="89">
      <c r="A89" s="55" t="n">
        <v>83</v>
      </c>
      <c r="B89" s="15">
        <f>IF(A89&gt;Inputs!$C$62,"",INDEX(Trajectory!$G$23:$G$2000,A89))</f>
        <v/>
      </c>
      <c r="C89" s="15">
        <f>IF(B89="","",IF(A89&lt;=Inputs!$C$75,INDEX(Trajectory!$G$23:$G$2000,1),INDEX(Trajectory!$G$23:$G$2000,MAX(1,A89-Inputs!$C$75))))</f>
        <v/>
      </c>
      <c r="D89" s="15">
        <f>IF(C89="","",MAX(Inputs!$C$76,CEILING(C89/(Inputs!$C$42*Inputs!$C$92),1)))</f>
        <v/>
      </c>
      <c r="E89" s="15">
        <f>IF(D89="","",MAX(E88,D89))</f>
        <v/>
      </c>
      <c r="F89" s="15">
        <f>E89-E88</f>
        <v/>
      </c>
      <c r="G89" s="12">
        <f>IF(E89="",1,IF(E89=0,1,(E89-SUM(L89:AA89)+SUMPRODUCT(L89:AA89,$N$5:$N$20))/E89))</f>
        <v/>
      </c>
      <c r="H89" s="14">
        <f>IF(E89="",0,E89*G89)</f>
        <v/>
      </c>
      <c r="I89" s="15">
        <f>IF(H89="",0,H89*Inputs!$C$42)</f>
        <v/>
      </c>
      <c r="J89" s="14">
        <f>IF(E89="",1,1 + (Inputs!$C$95-1)*IF((1-Inputs!$C$94)=0,0,(1-G89)/(1-Inputs!$C$94)))</f>
        <v/>
      </c>
      <c r="K89" s="12">
        <f>IF(I89=0,"",B89/I89)</f>
        <v/>
      </c>
      <c r="L89" s="15">
        <f>IF(F89="",0,F89)</f>
        <v/>
      </c>
      <c r="M89" s="15">
        <f>IF(A89&lt;=1,0,L88)</f>
        <v/>
      </c>
      <c r="N89" s="15">
        <f>IF(A89&lt;=1,0,M88)</f>
        <v/>
      </c>
      <c r="O89" s="15">
        <f>IF(A89&lt;=1,0,N88)</f>
        <v/>
      </c>
      <c r="P89" s="15">
        <f>IF(A89&lt;=1,0,O88)</f>
        <v/>
      </c>
      <c r="Q89" s="15">
        <f>IF(A89&lt;=1,0,P88)</f>
        <v/>
      </c>
      <c r="R89" s="15">
        <f>IF(A89&lt;=1,0,Q88)</f>
        <v/>
      </c>
      <c r="S89" s="15">
        <f>IF(A89&lt;=1,0,R88)</f>
        <v/>
      </c>
      <c r="T89" s="15">
        <f>IF(A89&lt;=1,0,S88)</f>
        <v/>
      </c>
      <c r="U89" s="15">
        <f>IF(A89&lt;=1,0,T88)</f>
        <v/>
      </c>
      <c r="V89" s="15">
        <f>IF(A89&lt;=1,0,U88)</f>
        <v/>
      </c>
      <c r="W89" s="15">
        <f>IF(A89&lt;=1,0,V88)</f>
        <v/>
      </c>
      <c r="X89" s="15">
        <f>IF(A89&lt;=1,0,W88)</f>
        <v/>
      </c>
      <c r="Y89" s="15">
        <f>IF(A89&lt;=1,0,X88)</f>
        <v/>
      </c>
      <c r="Z89" s="15">
        <f>IF(A89&lt;=1,0,Y88)</f>
        <v/>
      </c>
      <c r="AA89" s="15">
        <f>IF(A89&lt;=1,0,Z88)</f>
        <v/>
      </c>
    </row>
    <row r="90">
      <c r="A90" s="55" t="n">
        <v>84</v>
      </c>
      <c r="B90" s="15">
        <f>IF(A90&gt;Inputs!$C$62,"",INDEX(Trajectory!$G$23:$G$2000,A90))</f>
        <v/>
      </c>
      <c r="C90" s="15">
        <f>IF(B90="","",IF(A90&lt;=Inputs!$C$75,INDEX(Trajectory!$G$23:$G$2000,1),INDEX(Trajectory!$G$23:$G$2000,MAX(1,A90-Inputs!$C$75))))</f>
        <v/>
      </c>
      <c r="D90" s="15">
        <f>IF(C90="","",MAX(Inputs!$C$76,CEILING(C90/(Inputs!$C$42*Inputs!$C$92),1)))</f>
        <v/>
      </c>
      <c r="E90" s="15">
        <f>IF(D90="","",MAX(E89,D90))</f>
        <v/>
      </c>
      <c r="F90" s="15">
        <f>E90-E89</f>
        <v/>
      </c>
      <c r="G90" s="12">
        <f>IF(E90="",1,IF(E90=0,1,(E90-SUM(L90:AA90)+SUMPRODUCT(L90:AA90,$N$5:$N$20))/E90))</f>
        <v/>
      </c>
      <c r="H90" s="14">
        <f>IF(E90="",0,E90*G90)</f>
        <v/>
      </c>
      <c r="I90" s="15">
        <f>IF(H90="",0,H90*Inputs!$C$42)</f>
        <v/>
      </c>
      <c r="J90" s="14">
        <f>IF(E90="",1,1 + (Inputs!$C$95-1)*IF((1-Inputs!$C$94)=0,0,(1-G90)/(1-Inputs!$C$94)))</f>
        <v/>
      </c>
      <c r="K90" s="12">
        <f>IF(I90=0,"",B90/I90)</f>
        <v/>
      </c>
      <c r="L90" s="15">
        <f>IF(F90="",0,F90)</f>
        <v/>
      </c>
      <c r="M90" s="15">
        <f>IF(A90&lt;=1,0,L89)</f>
        <v/>
      </c>
      <c r="N90" s="15">
        <f>IF(A90&lt;=1,0,M89)</f>
        <v/>
      </c>
      <c r="O90" s="15">
        <f>IF(A90&lt;=1,0,N89)</f>
        <v/>
      </c>
      <c r="P90" s="15">
        <f>IF(A90&lt;=1,0,O89)</f>
        <v/>
      </c>
      <c r="Q90" s="15">
        <f>IF(A90&lt;=1,0,P89)</f>
        <v/>
      </c>
      <c r="R90" s="15">
        <f>IF(A90&lt;=1,0,Q89)</f>
        <v/>
      </c>
      <c r="S90" s="15">
        <f>IF(A90&lt;=1,0,R89)</f>
        <v/>
      </c>
      <c r="T90" s="15">
        <f>IF(A90&lt;=1,0,S89)</f>
        <v/>
      </c>
      <c r="U90" s="15">
        <f>IF(A90&lt;=1,0,T89)</f>
        <v/>
      </c>
      <c r="V90" s="15">
        <f>IF(A90&lt;=1,0,U89)</f>
        <v/>
      </c>
      <c r="W90" s="15">
        <f>IF(A90&lt;=1,0,V89)</f>
        <v/>
      </c>
      <c r="X90" s="15">
        <f>IF(A90&lt;=1,0,W89)</f>
        <v/>
      </c>
      <c r="Y90" s="15">
        <f>IF(A90&lt;=1,0,X89)</f>
        <v/>
      </c>
      <c r="Z90" s="15">
        <f>IF(A90&lt;=1,0,Y89)</f>
        <v/>
      </c>
      <c r="AA90" s="15">
        <f>IF(A90&lt;=1,0,Z89)</f>
        <v/>
      </c>
    </row>
    <row r="91">
      <c r="A91" s="55" t="n">
        <v>85</v>
      </c>
      <c r="B91" s="15">
        <f>IF(A91&gt;Inputs!$C$62,"",INDEX(Trajectory!$G$23:$G$2000,A91))</f>
        <v/>
      </c>
      <c r="C91" s="15">
        <f>IF(B91="","",IF(A91&lt;=Inputs!$C$75,INDEX(Trajectory!$G$23:$G$2000,1),INDEX(Trajectory!$G$23:$G$2000,MAX(1,A91-Inputs!$C$75))))</f>
        <v/>
      </c>
      <c r="D91" s="15">
        <f>IF(C91="","",MAX(Inputs!$C$76,CEILING(C91/(Inputs!$C$42*Inputs!$C$92),1)))</f>
        <v/>
      </c>
      <c r="E91" s="15">
        <f>IF(D91="","",MAX(E90,D91))</f>
        <v/>
      </c>
      <c r="F91" s="15">
        <f>E91-E90</f>
        <v/>
      </c>
      <c r="G91" s="12">
        <f>IF(E91="",1,IF(E91=0,1,(E91-SUM(L91:AA91)+SUMPRODUCT(L91:AA91,$N$5:$N$20))/E91))</f>
        <v/>
      </c>
      <c r="H91" s="14">
        <f>IF(E91="",0,E91*G91)</f>
        <v/>
      </c>
      <c r="I91" s="15">
        <f>IF(H91="",0,H91*Inputs!$C$42)</f>
        <v/>
      </c>
      <c r="J91" s="14">
        <f>IF(E91="",1,1 + (Inputs!$C$95-1)*IF((1-Inputs!$C$94)=0,0,(1-G91)/(1-Inputs!$C$94)))</f>
        <v/>
      </c>
      <c r="K91" s="12">
        <f>IF(I91=0,"",B91/I91)</f>
        <v/>
      </c>
      <c r="L91" s="15">
        <f>IF(F91="",0,F91)</f>
        <v/>
      </c>
      <c r="M91" s="15">
        <f>IF(A91&lt;=1,0,L90)</f>
        <v/>
      </c>
      <c r="N91" s="15">
        <f>IF(A91&lt;=1,0,M90)</f>
        <v/>
      </c>
      <c r="O91" s="15">
        <f>IF(A91&lt;=1,0,N90)</f>
        <v/>
      </c>
      <c r="P91" s="15">
        <f>IF(A91&lt;=1,0,O90)</f>
        <v/>
      </c>
      <c r="Q91" s="15">
        <f>IF(A91&lt;=1,0,P90)</f>
        <v/>
      </c>
      <c r="R91" s="15">
        <f>IF(A91&lt;=1,0,Q90)</f>
        <v/>
      </c>
      <c r="S91" s="15">
        <f>IF(A91&lt;=1,0,R90)</f>
        <v/>
      </c>
      <c r="T91" s="15">
        <f>IF(A91&lt;=1,0,S90)</f>
        <v/>
      </c>
      <c r="U91" s="15">
        <f>IF(A91&lt;=1,0,T90)</f>
        <v/>
      </c>
      <c r="V91" s="15">
        <f>IF(A91&lt;=1,0,U90)</f>
        <v/>
      </c>
      <c r="W91" s="15">
        <f>IF(A91&lt;=1,0,V90)</f>
        <v/>
      </c>
      <c r="X91" s="15">
        <f>IF(A91&lt;=1,0,W90)</f>
        <v/>
      </c>
      <c r="Y91" s="15">
        <f>IF(A91&lt;=1,0,X90)</f>
        <v/>
      </c>
      <c r="Z91" s="15">
        <f>IF(A91&lt;=1,0,Y90)</f>
        <v/>
      </c>
      <c r="AA91" s="15">
        <f>IF(A91&lt;=1,0,Z90)</f>
        <v/>
      </c>
    </row>
    <row r="92">
      <c r="A92" s="55" t="n">
        <v>86</v>
      </c>
      <c r="B92" s="15">
        <f>IF(A92&gt;Inputs!$C$62,"",INDEX(Trajectory!$G$23:$G$2000,A92))</f>
        <v/>
      </c>
      <c r="C92" s="15">
        <f>IF(B92="","",IF(A92&lt;=Inputs!$C$75,INDEX(Trajectory!$G$23:$G$2000,1),INDEX(Trajectory!$G$23:$G$2000,MAX(1,A92-Inputs!$C$75))))</f>
        <v/>
      </c>
      <c r="D92" s="15">
        <f>IF(C92="","",MAX(Inputs!$C$76,CEILING(C92/(Inputs!$C$42*Inputs!$C$92),1)))</f>
        <v/>
      </c>
      <c r="E92" s="15">
        <f>IF(D92="","",MAX(E91,D92))</f>
        <v/>
      </c>
      <c r="F92" s="15">
        <f>E92-E91</f>
        <v/>
      </c>
      <c r="G92" s="12">
        <f>IF(E92="",1,IF(E92=0,1,(E92-SUM(L92:AA92)+SUMPRODUCT(L92:AA92,$N$5:$N$20))/E92))</f>
        <v/>
      </c>
      <c r="H92" s="14">
        <f>IF(E92="",0,E92*G92)</f>
        <v/>
      </c>
      <c r="I92" s="15">
        <f>IF(H92="",0,H92*Inputs!$C$42)</f>
        <v/>
      </c>
      <c r="J92" s="14">
        <f>IF(E92="",1,1 + (Inputs!$C$95-1)*IF((1-Inputs!$C$94)=0,0,(1-G92)/(1-Inputs!$C$94)))</f>
        <v/>
      </c>
      <c r="K92" s="12">
        <f>IF(I92=0,"",B92/I92)</f>
        <v/>
      </c>
      <c r="L92" s="15">
        <f>IF(F92="",0,F92)</f>
        <v/>
      </c>
      <c r="M92" s="15">
        <f>IF(A92&lt;=1,0,L91)</f>
        <v/>
      </c>
      <c r="N92" s="15">
        <f>IF(A92&lt;=1,0,M91)</f>
        <v/>
      </c>
      <c r="O92" s="15">
        <f>IF(A92&lt;=1,0,N91)</f>
        <v/>
      </c>
      <c r="P92" s="15">
        <f>IF(A92&lt;=1,0,O91)</f>
        <v/>
      </c>
      <c r="Q92" s="15">
        <f>IF(A92&lt;=1,0,P91)</f>
        <v/>
      </c>
      <c r="R92" s="15">
        <f>IF(A92&lt;=1,0,Q91)</f>
        <v/>
      </c>
      <c r="S92" s="15">
        <f>IF(A92&lt;=1,0,R91)</f>
        <v/>
      </c>
      <c r="T92" s="15">
        <f>IF(A92&lt;=1,0,S91)</f>
        <v/>
      </c>
      <c r="U92" s="15">
        <f>IF(A92&lt;=1,0,T91)</f>
        <v/>
      </c>
      <c r="V92" s="15">
        <f>IF(A92&lt;=1,0,U91)</f>
        <v/>
      </c>
      <c r="W92" s="15">
        <f>IF(A92&lt;=1,0,V91)</f>
        <v/>
      </c>
      <c r="X92" s="15">
        <f>IF(A92&lt;=1,0,W91)</f>
        <v/>
      </c>
      <c r="Y92" s="15">
        <f>IF(A92&lt;=1,0,X91)</f>
        <v/>
      </c>
      <c r="Z92" s="15">
        <f>IF(A92&lt;=1,0,Y91)</f>
        <v/>
      </c>
      <c r="AA92" s="15">
        <f>IF(A92&lt;=1,0,Z91)</f>
        <v/>
      </c>
    </row>
    <row r="93">
      <c r="A93" s="55" t="n">
        <v>87</v>
      </c>
      <c r="B93" s="15">
        <f>IF(A93&gt;Inputs!$C$62,"",INDEX(Trajectory!$G$23:$G$2000,A93))</f>
        <v/>
      </c>
      <c r="C93" s="15">
        <f>IF(B93="","",IF(A93&lt;=Inputs!$C$75,INDEX(Trajectory!$G$23:$G$2000,1),INDEX(Trajectory!$G$23:$G$2000,MAX(1,A93-Inputs!$C$75))))</f>
        <v/>
      </c>
      <c r="D93" s="15">
        <f>IF(C93="","",MAX(Inputs!$C$76,CEILING(C93/(Inputs!$C$42*Inputs!$C$92),1)))</f>
        <v/>
      </c>
      <c r="E93" s="15">
        <f>IF(D93="","",MAX(E92,D93))</f>
        <v/>
      </c>
      <c r="F93" s="15">
        <f>E93-E92</f>
        <v/>
      </c>
      <c r="G93" s="12">
        <f>IF(E93="",1,IF(E93=0,1,(E93-SUM(L93:AA93)+SUMPRODUCT(L93:AA93,$N$5:$N$20))/E93))</f>
        <v/>
      </c>
      <c r="H93" s="14">
        <f>IF(E93="",0,E93*G93)</f>
        <v/>
      </c>
      <c r="I93" s="15">
        <f>IF(H93="",0,H93*Inputs!$C$42)</f>
        <v/>
      </c>
      <c r="J93" s="14">
        <f>IF(E93="",1,1 + (Inputs!$C$95-1)*IF((1-Inputs!$C$94)=0,0,(1-G93)/(1-Inputs!$C$94)))</f>
        <v/>
      </c>
      <c r="K93" s="12">
        <f>IF(I93=0,"",B93/I93)</f>
        <v/>
      </c>
      <c r="L93" s="15">
        <f>IF(F93="",0,F93)</f>
        <v/>
      </c>
      <c r="M93" s="15">
        <f>IF(A93&lt;=1,0,L92)</f>
        <v/>
      </c>
      <c r="N93" s="15">
        <f>IF(A93&lt;=1,0,M92)</f>
        <v/>
      </c>
      <c r="O93" s="15">
        <f>IF(A93&lt;=1,0,N92)</f>
        <v/>
      </c>
      <c r="P93" s="15">
        <f>IF(A93&lt;=1,0,O92)</f>
        <v/>
      </c>
      <c r="Q93" s="15">
        <f>IF(A93&lt;=1,0,P92)</f>
        <v/>
      </c>
      <c r="R93" s="15">
        <f>IF(A93&lt;=1,0,Q92)</f>
        <v/>
      </c>
      <c r="S93" s="15">
        <f>IF(A93&lt;=1,0,R92)</f>
        <v/>
      </c>
      <c r="T93" s="15">
        <f>IF(A93&lt;=1,0,S92)</f>
        <v/>
      </c>
      <c r="U93" s="15">
        <f>IF(A93&lt;=1,0,T92)</f>
        <v/>
      </c>
      <c r="V93" s="15">
        <f>IF(A93&lt;=1,0,U92)</f>
        <v/>
      </c>
      <c r="W93" s="15">
        <f>IF(A93&lt;=1,0,V92)</f>
        <v/>
      </c>
      <c r="X93" s="15">
        <f>IF(A93&lt;=1,0,W92)</f>
        <v/>
      </c>
      <c r="Y93" s="15">
        <f>IF(A93&lt;=1,0,X92)</f>
        <v/>
      </c>
      <c r="Z93" s="15">
        <f>IF(A93&lt;=1,0,Y92)</f>
        <v/>
      </c>
      <c r="AA93" s="15">
        <f>IF(A93&lt;=1,0,Z92)</f>
        <v/>
      </c>
    </row>
    <row r="94">
      <c r="A94" s="55" t="n">
        <v>88</v>
      </c>
      <c r="B94" s="15">
        <f>IF(A94&gt;Inputs!$C$62,"",INDEX(Trajectory!$G$23:$G$2000,A94))</f>
        <v/>
      </c>
      <c r="C94" s="15">
        <f>IF(B94="","",IF(A94&lt;=Inputs!$C$75,INDEX(Trajectory!$G$23:$G$2000,1),INDEX(Trajectory!$G$23:$G$2000,MAX(1,A94-Inputs!$C$75))))</f>
        <v/>
      </c>
      <c r="D94" s="15">
        <f>IF(C94="","",MAX(Inputs!$C$76,CEILING(C94/(Inputs!$C$42*Inputs!$C$92),1)))</f>
        <v/>
      </c>
      <c r="E94" s="15">
        <f>IF(D94="","",MAX(E93,D94))</f>
        <v/>
      </c>
      <c r="F94" s="15">
        <f>E94-E93</f>
        <v/>
      </c>
      <c r="G94" s="12">
        <f>IF(E94="",1,IF(E94=0,1,(E94-SUM(L94:AA94)+SUMPRODUCT(L94:AA94,$N$5:$N$20))/E94))</f>
        <v/>
      </c>
      <c r="H94" s="14">
        <f>IF(E94="",0,E94*G94)</f>
        <v/>
      </c>
      <c r="I94" s="15">
        <f>IF(H94="",0,H94*Inputs!$C$42)</f>
        <v/>
      </c>
      <c r="J94" s="14">
        <f>IF(E94="",1,1 + (Inputs!$C$95-1)*IF((1-Inputs!$C$94)=0,0,(1-G94)/(1-Inputs!$C$94)))</f>
        <v/>
      </c>
      <c r="K94" s="12">
        <f>IF(I94=0,"",B94/I94)</f>
        <v/>
      </c>
      <c r="L94" s="15">
        <f>IF(F94="",0,F94)</f>
        <v/>
      </c>
      <c r="M94" s="15">
        <f>IF(A94&lt;=1,0,L93)</f>
        <v/>
      </c>
      <c r="N94" s="15">
        <f>IF(A94&lt;=1,0,M93)</f>
        <v/>
      </c>
      <c r="O94" s="15">
        <f>IF(A94&lt;=1,0,N93)</f>
        <v/>
      </c>
      <c r="P94" s="15">
        <f>IF(A94&lt;=1,0,O93)</f>
        <v/>
      </c>
      <c r="Q94" s="15">
        <f>IF(A94&lt;=1,0,P93)</f>
        <v/>
      </c>
      <c r="R94" s="15">
        <f>IF(A94&lt;=1,0,Q93)</f>
        <v/>
      </c>
      <c r="S94" s="15">
        <f>IF(A94&lt;=1,0,R93)</f>
        <v/>
      </c>
      <c r="T94" s="15">
        <f>IF(A94&lt;=1,0,S93)</f>
        <v/>
      </c>
      <c r="U94" s="15">
        <f>IF(A94&lt;=1,0,T93)</f>
        <v/>
      </c>
      <c r="V94" s="15">
        <f>IF(A94&lt;=1,0,U93)</f>
        <v/>
      </c>
      <c r="W94" s="15">
        <f>IF(A94&lt;=1,0,V93)</f>
        <v/>
      </c>
      <c r="X94" s="15">
        <f>IF(A94&lt;=1,0,W93)</f>
        <v/>
      </c>
      <c r="Y94" s="15">
        <f>IF(A94&lt;=1,0,X93)</f>
        <v/>
      </c>
      <c r="Z94" s="15">
        <f>IF(A94&lt;=1,0,Y93)</f>
        <v/>
      </c>
      <c r="AA94" s="15">
        <f>IF(A94&lt;=1,0,Z93)</f>
        <v/>
      </c>
    </row>
    <row r="95">
      <c r="A95" s="55" t="n">
        <v>89</v>
      </c>
      <c r="B95" s="15">
        <f>IF(A95&gt;Inputs!$C$62,"",INDEX(Trajectory!$G$23:$G$2000,A95))</f>
        <v/>
      </c>
      <c r="C95" s="15">
        <f>IF(B95="","",IF(A95&lt;=Inputs!$C$75,INDEX(Trajectory!$G$23:$G$2000,1),INDEX(Trajectory!$G$23:$G$2000,MAX(1,A95-Inputs!$C$75))))</f>
        <v/>
      </c>
      <c r="D95" s="15">
        <f>IF(C95="","",MAX(Inputs!$C$76,CEILING(C95/(Inputs!$C$42*Inputs!$C$92),1)))</f>
        <v/>
      </c>
      <c r="E95" s="15">
        <f>IF(D95="","",MAX(E94,D95))</f>
        <v/>
      </c>
      <c r="F95" s="15">
        <f>E95-E94</f>
        <v/>
      </c>
      <c r="G95" s="12">
        <f>IF(E95="",1,IF(E95=0,1,(E95-SUM(L95:AA95)+SUMPRODUCT(L95:AA95,$N$5:$N$20))/E95))</f>
        <v/>
      </c>
      <c r="H95" s="14">
        <f>IF(E95="",0,E95*G95)</f>
        <v/>
      </c>
      <c r="I95" s="15">
        <f>IF(H95="",0,H95*Inputs!$C$42)</f>
        <v/>
      </c>
      <c r="J95" s="14">
        <f>IF(E95="",1,1 + (Inputs!$C$95-1)*IF((1-Inputs!$C$94)=0,0,(1-G95)/(1-Inputs!$C$94)))</f>
        <v/>
      </c>
      <c r="K95" s="12">
        <f>IF(I95=0,"",B95/I95)</f>
        <v/>
      </c>
      <c r="L95" s="15">
        <f>IF(F95="",0,F95)</f>
        <v/>
      </c>
      <c r="M95" s="15">
        <f>IF(A95&lt;=1,0,L94)</f>
        <v/>
      </c>
      <c r="N95" s="15">
        <f>IF(A95&lt;=1,0,M94)</f>
        <v/>
      </c>
      <c r="O95" s="15">
        <f>IF(A95&lt;=1,0,N94)</f>
        <v/>
      </c>
      <c r="P95" s="15">
        <f>IF(A95&lt;=1,0,O94)</f>
        <v/>
      </c>
      <c r="Q95" s="15">
        <f>IF(A95&lt;=1,0,P94)</f>
        <v/>
      </c>
      <c r="R95" s="15">
        <f>IF(A95&lt;=1,0,Q94)</f>
        <v/>
      </c>
      <c r="S95" s="15">
        <f>IF(A95&lt;=1,0,R94)</f>
        <v/>
      </c>
      <c r="T95" s="15">
        <f>IF(A95&lt;=1,0,S94)</f>
        <v/>
      </c>
      <c r="U95" s="15">
        <f>IF(A95&lt;=1,0,T94)</f>
        <v/>
      </c>
      <c r="V95" s="15">
        <f>IF(A95&lt;=1,0,U94)</f>
        <v/>
      </c>
      <c r="W95" s="15">
        <f>IF(A95&lt;=1,0,V94)</f>
        <v/>
      </c>
      <c r="X95" s="15">
        <f>IF(A95&lt;=1,0,W94)</f>
        <v/>
      </c>
      <c r="Y95" s="15">
        <f>IF(A95&lt;=1,0,X94)</f>
        <v/>
      </c>
      <c r="Z95" s="15">
        <f>IF(A95&lt;=1,0,Y94)</f>
        <v/>
      </c>
      <c r="AA95" s="15">
        <f>IF(A95&lt;=1,0,Z94)</f>
        <v/>
      </c>
    </row>
    <row r="96">
      <c r="A96" s="55" t="n">
        <v>90</v>
      </c>
      <c r="B96" s="15">
        <f>IF(A96&gt;Inputs!$C$62,"",INDEX(Trajectory!$G$23:$G$2000,A96))</f>
        <v/>
      </c>
      <c r="C96" s="15">
        <f>IF(B96="","",IF(A96&lt;=Inputs!$C$75,INDEX(Trajectory!$G$23:$G$2000,1),INDEX(Trajectory!$G$23:$G$2000,MAX(1,A96-Inputs!$C$75))))</f>
        <v/>
      </c>
      <c r="D96" s="15">
        <f>IF(C96="","",MAX(Inputs!$C$76,CEILING(C96/(Inputs!$C$42*Inputs!$C$92),1)))</f>
        <v/>
      </c>
      <c r="E96" s="15">
        <f>IF(D96="","",MAX(E95,D96))</f>
        <v/>
      </c>
      <c r="F96" s="15">
        <f>E96-E95</f>
        <v/>
      </c>
      <c r="G96" s="12">
        <f>IF(E96="",1,IF(E96=0,1,(E96-SUM(L96:AA96)+SUMPRODUCT(L96:AA96,$N$5:$N$20))/E96))</f>
        <v/>
      </c>
      <c r="H96" s="14">
        <f>IF(E96="",0,E96*G96)</f>
        <v/>
      </c>
      <c r="I96" s="15">
        <f>IF(H96="",0,H96*Inputs!$C$42)</f>
        <v/>
      </c>
      <c r="J96" s="14">
        <f>IF(E96="",1,1 + (Inputs!$C$95-1)*IF((1-Inputs!$C$94)=0,0,(1-G96)/(1-Inputs!$C$94)))</f>
        <v/>
      </c>
      <c r="K96" s="12">
        <f>IF(I96=0,"",B96/I96)</f>
        <v/>
      </c>
      <c r="L96" s="15">
        <f>IF(F96="",0,F96)</f>
        <v/>
      </c>
      <c r="M96" s="15">
        <f>IF(A96&lt;=1,0,L95)</f>
        <v/>
      </c>
      <c r="N96" s="15">
        <f>IF(A96&lt;=1,0,M95)</f>
        <v/>
      </c>
      <c r="O96" s="15">
        <f>IF(A96&lt;=1,0,N95)</f>
        <v/>
      </c>
      <c r="P96" s="15">
        <f>IF(A96&lt;=1,0,O95)</f>
        <v/>
      </c>
      <c r="Q96" s="15">
        <f>IF(A96&lt;=1,0,P95)</f>
        <v/>
      </c>
      <c r="R96" s="15">
        <f>IF(A96&lt;=1,0,Q95)</f>
        <v/>
      </c>
      <c r="S96" s="15">
        <f>IF(A96&lt;=1,0,R95)</f>
        <v/>
      </c>
      <c r="T96" s="15">
        <f>IF(A96&lt;=1,0,S95)</f>
        <v/>
      </c>
      <c r="U96" s="15">
        <f>IF(A96&lt;=1,0,T95)</f>
        <v/>
      </c>
      <c r="V96" s="15">
        <f>IF(A96&lt;=1,0,U95)</f>
        <v/>
      </c>
      <c r="W96" s="15">
        <f>IF(A96&lt;=1,0,V95)</f>
        <v/>
      </c>
      <c r="X96" s="15">
        <f>IF(A96&lt;=1,0,W95)</f>
        <v/>
      </c>
      <c r="Y96" s="15">
        <f>IF(A96&lt;=1,0,X95)</f>
        <v/>
      </c>
      <c r="Z96" s="15">
        <f>IF(A96&lt;=1,0,Y95)</f>
        <v/>
      </c>
      <c r="AA96" s="15">
        <f>IF(A96&lt;=1,0,Z95)</f>
        <v/>
      </c>
    </row>
    <row r="97">
      <c r="A97" s="55" t="n">
        <v>91</v>
      </c>
      <c r="B97" s="15">
        <f>IF(A97&gt;Inputs!$C$62,"",INDEX(Trajectory!$G$23:$G$2000,A97))</f>
        <v/>
      </c>
      <c r="C97" s="15">
        <f>IF(B97="","",IF(A97&lt;=Inputs!$C$75,INDEX(Trajectory!$G$23:$G$2000,1),INDEX(Trajectory!$G$23:$G$2000,MAX(1,A97-Inputs!$C$75))))</f>
        <v/>
      </c>
      <c r="D97" s="15">
        <f>IF(C97="","",MAX(Inputs!$C$76,CEILING(C97/(Inputs!$C$42*Inputs!$C$92),1)))</f>
        <v/>
      </c>
      <c r="E97" s="15">
        <f>IF(D97="","",MAX(E96,D97))</f>
        <v/>
      </c>
      <c r="F97" s="15">
        <f>E97-E96</f>
        <v/>
      </c>
      <c r="G97" s="12">
        <f>IF(E97="",1,IF(E97=0,1,(E97-SUM(L97:AA97)+SUMPRODUCT(L97:AA97,$N$5:$N$20))/E97))</f>
        <v/>
      </c>
      <c r="H97" s="14">
        <f>IF(E97="",0,E97*G97)</f>
        <v/>
      </c>
      <c r="I97" s="15">
        <f>IF(H97="",0,H97*Inputs!$C$42)</f>
        <v/>
      </c>
      <c r="J97" s="14">
        <f>IF(E97="",1,1 + (Inputs!$C$95-1)*IF((1-Inputs!$C$94)=0,0,(1-G97)/(1-Inputs!$C$94)))</f>
        <v/>
      </c>
      <c r="K97" s="12">
        <f>IF(I97=0,"",B97/I97)</f>
        <v/>
      </c>
      <c r="L97" s="15">
        <f>IF(F97="",0,F97)</f>
        <v/>
      </c>
      <c r="M97" s="15">
        <f>IF(A97&lt;=1,0,L96)</f>
        <v/>
      </c>
      <c r="N97" s="15">
        <f>IF(A97&lt;=1,0,M96)</f>
        <v/>
      </c>
      <c r="O97" s="15">
        <f>IF(A97&lt;=1,0,N96)</f>
        <v/>
      </c>
      <c r="P97" s="15">
        <f>IF(A97&lt;=1,0,O96)</f>
        <v/>
      </c>
      <c r="Q97" s="15">
        <f>IF(A97&lt;=1,0,P96)</f>
        <v/>
      </c>
      <c r="R97" s="15">
        <f>IF(A97&lt;=1,0,Q96)</f>
        <v/>
      </c>
      <c r="S97" s="15">
        <f>IF(A97&lt;=1,0,R96)</f>
        <v/>
      </c>
      <c r="T97" s="15">
        <f>IF(A97&lt;=1,0,S96)</f>
        <v/>
      </c>
      <c r="U97" s="15">
        <f>IF(A97&lt;=1,0,T96)</f>
        <v/>
      </c>
      <c r="V97" s="15">
        <f>IF(A97&lt;=1,0,U96)</f>
        <v/>
      </c>
      <c r="W97" s="15">
        <f>IF(A97&lt;=1,0,V96)</f>
        <v/>
      </c>
      <c r="X97" s="15">
        <f>IF(A97&lt;=1,0,W96)</f>
        <v/>
      </c>
      <c r="Y97" s="15">
        <f>IF(A97&lt;=1,0,X96)</f>
        <v/>
      </c>
      <c r="Z97" s="15">
        <f>IF(A97&lt;=1,0,Y96)</f>
        <v/>
      </c>
      <c r="AA97" s="15">
        <f>IF(A97&lt;=1,0,Z96)</f>
        <v/>
      </c>
    </row>
    <row r="98">
      <c r="A98" s="55" t="n">
        <v>92</v>
      </c>
      <c r="B98" s="15">
        <f>IF(A98&gt;Inputs!$C$62,"",INDEX(Trajectory!$G$23:$G$2000,A98))</f>
        <v/>
      </c>
      <c r="C98" s="15">
        <f>IF(B98="","",IF(A98&lt;=Inputs!$C$75,INDEX(Trajectory!$G$23:$G$2000,1),INDEX(Trajectory!$G$23:$G$2000,MAX(1,A98-Inputs!$C$75))))</f>
        <v/>
      </c>
      <c r="D98" s="15">
        <f>IF(C98="","",MAX(Inputs!$C$76,CEILING(C98/(Inputs!$C$42*Inputs!$C$92),1)))</f>
        <v/>
      </c>
      <c r="E98" s="15">
        <f>IF(D98="","",MAX(E97,D98))</f>
        <v/>
      </c>
      <c r="F98" s="15">
        <f>E98-E97</f>
        <v/>
      </c>
      <c r="G98" s="12">
        <f>IF(E98="",1,IF(E98=0,1,(E98-SUM(L98:AA98)+SUMPRODUCT(L98:AA98,$N$5:$N$20))/E98))</f>
        <v/>
      </c>
      <c r="H98" s="14">
        <f>IF(E98="",0,E98*G98)</f>
        <v/>
      </c>
      <c r="I98" s="15">
        <f>IF(H98="",0,H98*Inputs!$C$42)</f>
        <v/>
      </c>
      <c r="J98" s="14">
        <f>IF(E98="",1,1 + (Inputs!$C$95-1)*IF((1-Inputs!$C$94)=0,0,(1-G98)/(1-Inputs!$C$94)))</f>
        <v/>
      </c>
      <c r="K98" s="12">
        <f>IF(I98=0,"",B98/I98)</f>
        <v/>
      </c>
      <c r="L98" s="15">
        <f>IF(F98="",0,F98)</f>
        <v/>
      </c>
      <c r="M98" s="15">
        <f>IF(A98&lt;=1,0,L97)</f>
        <v/>
      </c>
      <c r="N98" s="15">
        <f>IF(A98&lt;=1,0,M97)</f>
        <v/>
      </c>
      <c r="O98" s="15">
        <f>IF(A98&lt;=1,0,N97)</f>
        <v/>
      </c>
      <c r="P98" s="15">
        <f>IF(A98&lt;=1,0,O97)</f>
        <v/>
      </c>
      <c r="Q98" s="15">
        <f>IF(A98&lt;=1,0,P97)</f>
        <v/>
      </c>
      <c r="R98" s="15">
        <f>IF(A98&lt;=1,0,Q97)</f>
        <v/>
      </c>
      <c r="S98" s="15">
        <f>IF(A98&lt;=1,0,R97)</f>
        <v/>
      </c>
      <c r="T98" s="15">
        <f>IF(A98&lt;=1,0,S97)</f>
        <v/>
      </c>
      <c r="U98" s="15">
        <f>IF(A98&lt;=1,0,T97)</f>
        <v/>
      </c>
      <c r="V98" s="15">
        <f>IF(A98&lt;=1,0,U97)</f>
        <v/>
      </c>
      <c r="W98" s="15">
        <f>IF(A98&lt;=1,0,V97)</f>
        <v/>
      </c>
      <c r="X98" s="15">
        <f>IF(A98&lt;=1,0,W97)</f>
        <v/>
      </c>
      <c r="Y98" s="15">
        <f>IF(A98&lt;=1,0,X97)</f>
        <v/>
      </c>
      <c r="Z98" s="15">
        <f>IF(A98&lt;=1,0,Y97)</f>
        <v/>
      </c>
      <c r="AA98" s="15">
        <f>IF(A98&lt;=1,0,Z97)</f>
        <v/>
      </c>
    </row>
    <row r="99">
      <c r="A99" s="55" t="n">
        <v>93</v>
      </c>
      <c r="B99" s="15">
        <f>IF(A99&gt;Inputs!$C$62,"",INDEX(Trajectory!$G$23:$G$2000,A99))</f>
        <v/>
      </c>
      <c r="C99" s="15">
        <f>IF(B99="","",IF(A99&lt;=Inputs!$C$75,INDEX(Trajectory!$G$23:$G$2000,1),INDEX(Trajectory!$G$23:$G$2000,MAX(1,A99-Inputs!$C$75))))</f>
        <v/>
      </c>
      <c r="D99" s="15">
        <f>IF(C99="","",MAX(Inputs!$C$76,CEILING(C99/(Inputs!$C$42*Inputs!$C$92),1)))</f>
        <v/>
      </c>
      <c r="E99" s="15">
        <f>IF(D99="","",MAX(E98,D99))</f>
        <v/>
      </c>
      <c r="F99" s="15">
        <f>E99-E98</f>
        <v/>
      </c>
      <c r="G99" s="12">
        <f>IF(E99="",1,IF(E99=0,1,(E99-SUM(L99:AA99)+SUMPRODUCT(L99:AA99,$N$5:$N$20))/E99))</f>
        <v/>
      </c>
      <c r="H99" s="14">
        <f>IF(E99="",0,E99*G99)</f>
        <v/>
      </c>
      <c r="I99" s="15">
        <f>IF(H99="",0,H99*Inputs!$C$42)</f>
        <v/>
      </c>
      <c r="J99" s="14">
        <f>IF(E99="",1,1 + (Inputs!$C$95-1)*IF((1-Inputs!$C$94)=0,0,(1-G99)/(1-Inputs!$C$94)))</f>
        <v/>
      </c>
      <c r="K99" s="12">
        <f>IF(I99=0,"",B99/I99)</f>
        <v/>
      </c>
      <c r="L99" s="15">
        <f>IF(F99="",0,F99)</f>
        <v/>
      </c>
      <c r="M99" s="15">
        <f>IF(A99&lt;=1,0,L98)</f>
        <v/>
      </c>
      <c r="N99" s="15">
        <f>IF(A99&lt;=1,0,M98)</f>
        <v/>
      </c>
      <c r="O99" s="15">
        <f>IF(A99&lt;=1,0,N98)</f>
        <v/>
      </c>
      <c r="P99" s="15">
        <f>IF(A99&lt;=1,0,O98)</f>
        <v/>
      </c>
      <c r="Q99" s="15">
        <f>IF(A99&lt;=1,0,P98)</f>
        <v/>
      </c>
      <c r="R99" s="15">
        <f>IF(A99&lt;=1,0,Q98)</f>
        <v/>
      </c>
      <c r="S99" s="15">
        <f>IF(A99&lt;=1,0,R98)</f>
        <v/>
      </c>
      <c r="T99" s="15">
        <f>IF(A99&lt;=1,0,S98)</f>
        <v/>
      </c>
      <c r="U99" s="15">
        <f>IF(A99&lt;=1,0,T98)</f>
        <v/>
      </c>
      <c r="V99" s="15">
        <f>IF(A99&lt;=1,0,U98)</f>
        <v/>
      </c>
      <c r="W99" s="15">
        <f>IF(A99&lt;=1,0,V98)</f>
        <v/>
      </c>
      <c r="X99" s="15">
        <f>IF(A99&lt;=1,0,W98)</f>
        <v/>
      </c>
      <c r="Y99" s="15">
        <f>IF(A99&lt;=1,0,X98)</f>
        <v/>
      </c>
      <c r="Z99" s="15">
        <f>IF(A99&lt;=1,0,Y98)</f>
        <v/>
      </c>
      <c r="AA99" s="15">
        <f>IF(A99&lt;=1,0,Z98)</f>
        <v/>
      </c>
    </row>
    <row r="100">
      <c r="A100" s="55" t="n">
        <v>94</v>
      </c>
      <c r="B100" s="15">
        <f>IF(A100&gt;Inputs!$C$62,"",INDEX(Trajectory!$G$23:$G$2000,A100))</f>
        <v/>
      </c>
      <c r="C100" s="15">
        <f>IF(B100="","",IF(A100&lt;=Inputs!$C$75,INDEX(Trajectory!$G$23:$G$2000,1),INDEX(Trajectory!$G$23:$G$2000,MAX(1,A100-Inputs!$C$75))))</f>
        <v/>
      </c>
      <c r="D100" s="15">
        <f>IF(C100="","",MAX(Inputs!$C$76,CEILING(C100/(Inputs!$C$42*Inputs!$C$92),1)))</f>
        <v/>
      </c>
      <c r="E100" s="15">
        <f>IF(D100="","",MAX(E99,D100))</f>
        <v/>
      </c>
      <c r="F100" s="15">
        <f>E100-E99</f>
        <v/>
      </c>
      <c r="G100" s="12">
        <f>IF(E100="",1,IF(E100=0,1,(E100-SUM(L100:AA100)+SUMPRODUCT(L100:AA100,$N$5:$N$20))/E100))</f>
        <v/>
      </c>
      <c r="H100" s="14">
        <f>IF(E100="",0,E100*G100)</f>
        <v/>
      </c>
      <c r="I100" s="15">
        <f>IF(H100="",0,H100*Inputs!$C$42)</f>
        <v/>
      </c>
      <c r="J100" s="14">
        <f>IF(E100="",1,1 + (Inputs!$C$95-1)*IF((1-Inputs!$C$94)=0,0,(1-G100)/(1-Inputs!$C$94)))</f>
        <v/>
      </c>
      <c r="K100" s="12">
        <f>IF(I100=0,"",B100/I100)</f>
        <v/>
      </c>
      <c r="L100" s="15">
        <f>IF(F100="",0,F100)</f>
        <v/>
      </c>
      <c r="M100" s="15">
        <f>IF(A100&lt;=1,0,L99)</f>
        <v/>
      </c>
      <c r="N100" s="15">
        <f>IF(A100&lt;=1,0,M99)</f>
        <v/>
      </c>
      <c r="O100" s="15">
        <f>IF(A100&lt;=1,0,N99)</f>
        <v/>
      </c>
      <c r="P100" s="15">
        <f>IF(A100&lt;=1,0,O99)</f>
        <v/>
      </c>
      <c r="Q100" s="15">
        <f>IF(A100&lt;=1,0,P99)</f>
        <v/>
      </c>
      <c r="R100" s="15">
        <f>IF(A100&lt;=1,0,Q99)</f>
        <v/>
      </c>
      <c r="S100" s="15">
        <f>IF(A100&lt;=1,0,R99)</f>
        <v/>
      </c>
      <c r="T100" s="15">
        <f>IF(A100&lt;=1,0,S99)</f>
        <v/>
      </c>
      <c r="U100" s="15">
        <f>IF(A100&lt;=1,0,T99)</f>
        <v/>
      </c>
      <c r="V100" s="15">
        <f>IF(A100&lt;=1,0,U99)</f>
        <v/>
      </c>
      <c r="W100" s="15">
        <f>IF(A100&lt;=1,0,V99)</f>
        <v/>
      </c>
      <c r="X100" s="15">
        <f>IF(A100&lt;=1,0,W99)</f>
        <v/>
      </c>
      <c r="Y100" s="15">
        <f>IF(A100&lt;=1,0,X99)</f>
        <v/>
      </c>
      <c r="Z100" s="15">
        <f>IF(A100&lt;=1,0,Y99)</f>
        <v/>
      </c>
      <c r="AA100" s="15">
        <f>IF(A100&lt;=1,0,Z99)</f>
        <v/>
      </c>
    </row>
    <row r="101">
      <c r="A101" s="55" t="n">
        <v>95</v>
      </c>
      <c r="B101" s="15">
        <f>IF(A101&gt;Inputs!$C$62,"",INDEX(Trajectory!$G$23:$G$2000,A101))</f>
        <v/>
      </c>
      <c r="C101" s="15">
        <f>IF(B101="","",IF(A101&lt;=Inputs!$C$75,INDEX(Trajectory!$G$23:$G$2000,1),INDEX(Trajectory!$G$23:$G$2000,MAX(1,A101-Inputs!$C$75))))</f>
        <v/>
      </c>
      <c r="D101" s="15">
        <f>IF(C101="","",MAX(Inputs!$C$76,CEILING(C101/(Inputs!$C$42*Inputs!$C$92),1)))</f>
        <v/>
      </c>
      <c r="E101" s="15">
        <f>IF(D101="","",MAX(E100,D101))</f>
        <v/>
      </c>
      <c r="F101" s="15">
        <f>E101-E100</f>
        <v/>
      </c>
      <c r="G101" s="12">
        <f>IF(E101="",1,IF(E101=0,1,(E101-SUM(L101:AA101)+SUMPRODUCT(L101:AA101,$N$5:$N$20))/E101))</f>
        <v/>
      </c>
      <c r="H101" s="14">
        <f>IF(E101="",0,E101*G101)</f>
        <v/>
      </c>
      <c r="I101" s="15">
        <f>IF(H101="",0,H101*Inputs!$C$42)</f>
        <v/>
      </c>
      <c r="J101" s="14">
        <f>IF(E101="",1,1 + (Inputs!$C$95-1)*IF((1-Inputs!$C$94)=0,0,(1-G101)/(1-Inputs!$C$94)))</f>
        <v/>
      </c>
      <c r="K101" s="12">
        <f>IF(I101=0,"",B101/I101)</f>
        <v/>
      </c>
      <c r="L101" s="15">
        <f>IF(F101="",0,F101)</f>
        <v/>
      </c>
      <c r="M101" s="15">
        <f>IF(A101&lt;=1,0,L100)</f>
        <v/>
      </c>
      <c r="N101" s="15">
        <f>IF(A101&lt;=1,0,M100)</f>
        <v/>
      </c>
      <c r="O101" s="15">
        <f>IF(A101&lt;=1,0,N100)</f>
        <v/>
      </c>
      <c r="P101" s="15">
        <f>IF(A101&lt;=1,0,O100)</f>
        <v/>
      </c>
      <c r="Q101" s="15">
        <f>IF(A101&lt;=1,0,P100)</f>
        <v/>
      </c>
      <c r="R101" s="15">
        <f>IF(A101&lt;=1,0,Q100)</f>
        <v/>
      </c>
      <c r="S101" s="15">
        <f>IF(A101&lt;=1,0,R100)</f>
        <v/>
      </c>
      <c r="T101" s="15">
        <f>IF(A101&lt;=1,0,S100)</f>
        <v/>
      </c>
      <c r="U101" s="15">
        <f>IF(A101&lt;=1,0,T100)</f>
        <v/>
      </c>
      <c r="V101" s="15">
        <f>IF(A101&lt;=1,0,U100)</f>
        <v/>
      </c>
      <c r="W101" s="15">
        <f>IF(A101&lt;=1,0,V100)</f>
        <v/>
      </c>
      <c r="X101" s="15">
        <f>IF(A101&lt;=1,0,W100)</f>
        <v/>
      </c>
      <c r="Y101" s="15">
        <f>IF(A101&lt;=1,0,X100)</f>
        <v/>
      </c>
      <c r="Z101" s="15">
        <f>IF(A101&lt;=1,0,Y100)</f>
        <v/>
      </c>
      <c r="AA101" s="15">
        <f>IF(A101&lt;=1,0,Z100)</f>
        <v/>
      </c>
    </row>
    <row r="102">
      <c r="A102" s="55" t="n">
        <v>96</v>
      </c>
      <c r="B102" s="15">
        <f>IF(A102&gt;Inputs!$C$62,"",INDEX(Trajectory!$G$23:$G$2000,A102))</f>
        <v/>
      </c>
      <c r="C102" s="15">
        <f>IF(B102="","",IF(A102&lt;=Inputs!$C$75,INDEX(Trajectory!$G$23:$G$2000,1),INDEX(Trajectory!$G$23:$G$2000,MAX(1,A102-Inputs!$C$75))))</f>
        <v/>
      </c>
      <c r="D102" s="15">
        <f>IF(C102="","",MAX(Inputs!$C$76,CEILING(C102/(Inputs!$C$42*Inputs!$C$92),1)))</f>
        <v/>
      </c>
      <c r="E102" s="15">
        <f>IF(D102="","",MAX(E101,D102))</f>
        <v/>
      </c>
      <c r="F102" s="15">
        <f>E102-E101</f>
        <v/>
      </c>
      <c r="G102" s="12">
        <f>IF(E102="",1,IF(E102=0,1,(E102-SUM(L102:AA102)+SUMPRODUCT(L102:AA102,$N$5:$N$20))/E102))</f>
        <v/>
      </c>
      <c r="H102" s="14">
        <f>IF(E102="",0,E102*G102)</f>
        <v/>
      </c>
      <c r="I102" s="15">
        <f>IF(H102="",0,H102*Inputs!$C$42)</f>
        <v/>
      </c>
      <c r="J102" s="14">
        <f>IF(E102="",1,1 + (Inputs!$C$95-1)*IF((1-Inputs!$C$94)=0,0,(1-G102)/(1-Inputs!$C$94)))</f>
        <v/>
      </c>
      <c r="K102" s="12">
        <f>IF(I102=0,"",B102/I102)</f>
        <v/>
      </c>
      <c r="L102" s="15">
        <f>IF(F102="",0,F102)</f>
        <v/>
      </c>
      <c r="M102" s="15">
        <f>IF(A102&lt;=1,0,L101)</f>
        <v/>
      </c>
      <c r="N102" s="15">
        <f>IF(A102&lt;=1,0,M101)</f>
        <v/>
      </c>
      <c r="O102" s="15">
        <f>IF(A102&lt;=1,0,N101)</f>
        <v/>
      </c>
      <c r="P102" s="15">
        <f>IF(A102&lt;=1,0,O101)</f>
        <v/>
      </c>
      <c r="Q102" s="15">
        <f>IF(A102&lt;=1,0,P101)</f>
        <v/>
      </c>
      <c r="R102" s="15">
        <f>IF(A102&lt;=1,0,Q101)</f>
        <v/>
      </c>
      <c r="S102" s="15">
        <f>IF(A102&lt;=1,0,R101)</f>
        <v/>
      </c>
      <c r="T102" s="15">
        <f>IF(A102&lt;=1,0,S101)</f>
        <v/>
      </c>
      <c r="U102" s="15">
        <f>IF(A102&lt;=1,0,T101)</f>
        <v/>
      </c>
      <c r="V102" s="15">
        <f>IF(A102&lt;=1,0,U101)</f>
        <v/>
      </c>
      <c r="W102" s="15">
        <f>IF(A102&lt;=1,0,V101)</f>
        <v/>
      </c>
      <c r="X102" s="15">
        <f>IF(A102&lt;=1,0,W101)</f>
        <v/>
      </c>
      <c r="Y102" s="15">
        <f>IF(A102&lt;=1,0,X101)</f>
        <v/>
      </c>
      <c r="Z102" s="15">
        <f>IF(A102&lt;=1,0,Y101)</f>
        <v/>
      </c>
      <c r="AA102" s="15">
        <f>IF(A102&lt;=1,0,Z101)</f>
        <v/>
      </c>
    </row>
    <row r="103">
      <c r="A103" s="55" t="n">
        <v>97</v>
      </c>
      <c r="B103" s="15">
        <f>IF(A103&gt;Inputs!$C$62,"",INDEX(Trajectory!$G$23:$G$2000,A103))</f>
        <v/>
      </c>
      <c r="C103" s="15">
        <f>IF(B103="","",IF(A103&lt;=Inputs!$C$75,INDEX(Trajectory!$G$23:$G$2000,1),INDEX(Trajectory!$G$23:$G$2000,MAX(1,A103-Inputs!$C$75))))</f>
        <v/>
      </c>
      <c r="D103" s="15">
        <f>IF(C103="","",MAX(Inputs!$C$76,CEILING(C103/(Inputs!$C$42*Inputs!$C$92),1)))</f>
        <v/>
      </c>
      <c r="E103" s="15">
        <f>IF(D103="","",MAX(E102,D103))</f>
        <v/>
      </c>
      <c r="F103" s="15">
        <f>E103-E102</f>
        <v/>
      </c>
      <c r="G103" s="12">
        <f>IF(E103="",1,IF(E103=0,1,(E103-SUM(L103:AA103)+SUMPRODUCT(L103:AA103,$N$5:$N$20))/E103))</f>
        <v/>
      </c>
      <c r="H103" s="14">
        <f>IF(E103="",0,E103*G103)</f>
        <v/>
      </c>
      <c r="I103" s="15">
        <f>IF(H103="",0,H103*Inputs!$C$42)</f>
        <v/>
      </c>
      <c r="J103" s="14">
        <f>IF(E103="",1,1 + (Inputs!$C$95-1)*IF((1-Inputs!$C$94)=0,0,(1-G103)/(1-Inputs!$C$94)))</f>
        <v/>
      </c>
      <c r="K103" s="12">
        <f>IF(I103=0,"",B103/I103)</f>
        <v/>
      </c>
      <c r="L103" s="15">
        <f>IF(F103="",0,F103)</f>
        <v/>
      </c>
      <c r="M103" s="15">
        <f>IF(A103&lt;=1,0,L102)</f>
        <v/>
      </c>
      <c r="N103" s="15">
        <f>IF(A103&lt;=1,0,M102)</f>
        <v/>
      </c>
      <c r="O103" s="15">
        <f>IF(A103&lt;=1,0,N102)</f>
        <v/>
      </c>
      <c r="P103" s="15">
        <f>IF(A103&lt;=1,0,O102)</f>
        <v/>
      </c>
      <c r="Q103" s="15">
        <f>IF(A103&lt;=1,0,P102)</f>
        <v/>
      </c>
      <c r="R103" s="15">
        <f>IF(A103&lt;=1,0,Q102)</f>
        <v/>
      </c>
      <c r="S103" s="15">
        <f>IF(A103&lt;=1,0,R102)</f>
        <v/>
      </c>
      <c r="T103" s="15">
        <f>IF(A103&lt;=1,0,S102)</f>
        <v/>
      </c>
      <c r="U103" s="15">
        <f>IF(A103&lt;=1,0,T102)</f>
        <v/>
      </c>
      <c r="V103" s="15">
        <f>IF(A103&lt;=1,0,U102)</f>
        <v/>
      </c>
      <c r="W103" s="15">
        <f>IF(A103&lt;=1,0,V102)</f>
        <v/>
      </c>
      <c r="X103" s="15">
        <f>IF(A103&lt;=1,0,W102)</f>
        <v/>
      </c>
      <c r="Y103" s="15">
        <f>IF(A103&lt;=1,0,X102)</f>
        <v/>
      </c>
      <c r="Z103" s="15">
        <f>IF(A103&lt;=1,0,Y102)</f>
        <v/>
      </c>
      <c r="AA103" s="15">
        <f>IF(A103&lt;=1,0,Z102)</f>
        <v/>
      </c>
    </row>
    <row r="104">
      <c r="A104" s="55" t="n">
        <v>98</v>
      </c>
      <c r="B104" s="15">
        <f>IF(A104&gt;Inputs!$C$62,"",INDEX(Trajectory!$G$23:$G$2000,A104))</f>
        <v/>
      </c>
      <c r="C104" s="15">
        <f>IF(B104="","",IF(A104&lt;=Inputs!$C$75,INDEX(Trajectory!$G$23:$G$2000,1),INDEX(Trajectory!$G$23:$G$2000,MAX(1,A104-Inputs!$C$75))))</f>
        <v/>
      </c>
      <c r="D104" s="15">
        <f>IF(C104="","",MAX(Inputs!$C$76,CEILING(C104/(Inputs!$C$42*Inputs!$C$92),1)))</f>
        <v/>
      </c>
      <c r="E104" s="15">
        <f>IF(D104="","",MAX(E103,D104))</f>
        <v/>
      </c>
      <c r="F104" s="15">
        <f>E104-E103</f>
        <v/>
      </c>
      <c r="G104" s="12">
        <f>IF(E104="",1,IF(E104=0,1,(E104-SUM(L104:AA104)+SUMPRODUCT(L104:AA104,$N$5:$N$20))/E104))</f>
        <v/>
      </c>
      <c r="H104" s="14">
        <f>IF(E104="",0,E104*G104)</f>
        <v/>
      </c>
      <c r="I104" s="15">
        <f>IF(H104="",0,H104*Inputs!$C$42)</f>
        <v/>
      </c>
      <c r="J104" s="14">
        <f>IF(E104="",1,1 + (Inputs!$C$95-1)*IF((1-Inputs!$C$94)=0,0,(1-G104)/(1-Inputs!$C$94)))</f>
        <v/>
      </c>
      <c r="K104" s="12">
        <f>IF(I104=0,"",B104/I104)</f>
        <v/>
      </c>
      <c r="L104" s="15">
        <f>IF(F104="",0,F104)</f>
        <v/>
      </c>
      <c r="M104" s="15">
        <f>IF(A104&lt;=1,0,L103)</f>
        <v/>
      </c>
      <c r="N104" s="15">
        <f>IF(A104&lt;=1,0,M103)</f>
        <v/>
      </c>
      <c r="O104" s="15">
        <f>IF(A104&lt;=1,0,N103)</f>
        <v/>
      </c>
      <c r="P104" s="15">
        <f>IF(A104&lt;=1,0,O103)</f>
        <v/>
      </c>
      <c r="Q104" s="15">
        <f>IF(A104&lt;=1,0,P103)</f>
        <v/>
      </c>
      <c r="R104" s="15">
        <f>IF(A104&lt;=1,0,Q103)</f>
        <v/>
      </c>
      <c r="S104" s="15">
        <f>IF(A104&lt;=1,0,R103)</f>
        <v/>
      </c>
      <c r="T104" s="15">
        <f>IF(A104&lt;=1,0,S103)</f>
        <v/>
      </c>
      <c r="U104" s="15">
        <f>IF(A104&lt;=1,0,T103)</f>
        <v/>
      </c>
      <c r="V104" s="15">
        <f>IF(A104&lt;=1,0,U103)</f>
        <v/>
      </c>
      <c r="W104" s="15">
        <f>IF(A104&lt;=1,0,V103)</f>
        <v/>
      </c>
      <c r="X104" s="15">
        <f>IF(A104&lt;=1,0,W103)</f>
        <v/>
      </c>
      <c r="Y104" s="15">
        <f>IF(A104&lt;=1,0,X103)</f>
        <v/>
      </c>
      <c r="Z104" s="15">
        <f>IF(A104&lt;=1,0,Y103)</f>
        <v/>
      </c>
      <c r="AA104" s="15">
        <f>IF(A104&lt;=1,0,Z103)</f>
        <v/>
      </c>
    </row>
    <row r="105">
      <c r="A105" s="55" t="n">
        <v>99</v>
      </c>
      <c r="B105" s="15">
        <f>IF(A105&gt;Inputs!$C$62,"",INDEX(Trajectory!$G$23:$G$2000,A105))</f>
        <v/>
      </c>
      <c r="C105" s="15">
        <f>IF(B105="","",IF(A105&lt;=Inputs!$C$75,INDEX(Trajectory!$G$23:$G$2000,1),INDEX(Trajectory!$G$23:$G$2000,MAX(1,A105-Inputs!$C$75))))</f>
        <v/>
      </c>
      <c r="D105" s="15">
        <f>IF(C105="","",MAX(Inputs!$C$76,CEILING(C105/(Inputs!$C$42*Inputs!$C$92),1)))</f>
        <v/>
      </c>
      <c r="E105" s="15">
        <f>IF(D105="","",MAX(E104,D105))</f>
        <v/>
      </c>
      <c r="F105" s="15">
        <f>E105-E104</f>
        <v/>
      </c>
      <c r="G105" s="12">
        <f>IF(E105="",1,IF(E105=0,1,(E105-SUM(L105:AA105)+SUMPRODUCT(L105:AA105,$N$5:$N$20))/E105))</f>
        <v/>
      </c>
      <c r="H105" s="14">
        <f>IF(E105="",0,E105*G105)</f>
        <v/>
      </c>
      <c r="I105" s="15">
        <f>IF(H105="",0,H105*Inputs!$C$42)</f>
        <v/>
      </c>
      <c r="J105" s="14">
        <f>IF(E105="",1,1 + (Inputs!$C$95-1)*IF((1-Inputs!$C$94)=0,0,(1-G105)/(1-Inputs!$C$94)))</f>
        <v/>
      </c>
      <c r="K105" s="12">
        <f>IF(I105=0,"",B105/I105)</f>
        <v/>
      </c>
      <c r="L105" s="15">
        <f>IF(F105="",0,F105)</f>
        <v/>
      </c>
      <c r="M105" s="15">
        <f>IF(A105&lt;=1,0,L104)</f>
        <v/>
      </c>
      <c r="N105" s="15">
        <f>IF(A105&lt;=1,0,M104)</f>
        <v/>
      </c>
      <c r="O105" s="15">
        <f>IF(A105&lt;=1,0,N104)</f>
        <v/>
      </c>
      <c r="P105" s="15">
        <f>IF(A105&lt;=1,0,O104)</f>
        <v/>
      </c>
      <c r="Q105" s="15">
        <f>IF(A105&lt;=1,0,P104)</f>
        <v/>
      </c>
      <c r="R105" s="15">
        <f>IF(A105&lt;=1,0,Q104)</f>
        <v/>
      </c>
      <c r="S105" s="15">
        <f>IF(A105&lt;=1,0,R104)</f>
        <v/>
      </c>
      <c r="T105" s="15">
        <f>IF(A105&lt;=1,0,S104)</f>
        <v/>
      </c>
      <c r="U105" s="15">
        <f>IF(A105&lt;=1,0,T104)</f>
        <v/>
      </c>
      <c r="V105" s="15">
        <f>IF(A105&lt;=1,0,U104)</f>
        <v/>
      </c>
      <c r="W105" s="15">
        <f>IF(A105&lt;=1,0,V104)</f>
        <v/>
      </c>
      <c r="X105" s="15">
        <f>IF(A105&lt;=1,0,W104)</f>
        <v/>
      </c>
      <c r="Y105" s="15">
        <f>IF(A105&lt;=1,0,X104)</f>
        <v/>
      </c>
      <c r="Z105" s="15">
        <f>IF(A105&lt;=1,0,Y104)</f>
        <v/>
      </c>
      <c r="AA105" s="15">
        <f>IF(A105&lt;=1,0,Z104)</f>
        <v/>
      </c>
    </row>
    <row r="106">
      <c r="A106" s="55" t="n">
        <v>100</v>
      </c>
      <c r="B106" s="15">
        <f>IF(A106&gt;Inputs!$C$62,"",INDEX(Trajectory!$G$23:$G$2000,A106))</f>
        <v/>
      </c>
      <c r="C106" s="15">
        <f>IF(B106="","",IF(A106&lt;=Inputs!$C$75,INDEX(Trajectory!$G$23:$G$2000,1),INDEX(Trajectory!$G$23:$G$2000,MAX(1,A106-Inputs!$C$75))))</f>
        <v/>
      </c>
      <c r="D106" s="15">
        <f>IF(C106="","",MAX(Inputs!$C$76,CEILING(C106/(Inputs!$C$42*Inputs!$C$92),1)))</f>
        <v/>
      </c>
      <c r="E106" s="15">
        <f>IF(D106="","",MAX(E105,D106))</f>
        <v/>
      </c>
      <c r="F106" s="15">
        <f>E106-E105</f>
        <v/>
      </c>
      <c r="G106" s="12">
        <f>IF(E106="",1,IF(E106=0,1,(E106-SUM(L106:AA106)+SUMPRODUCT(L106:AA106,$N$5:$N$20))/E106))</f>
        <v/>
      </c>
      <c r="H106" s="14">
        <f>IF(E106="",0,E106*G106)</f>
        <v/>
      </c>
      <c r="I106" s="15">
        <f>IF(H106="",0,H106*Inputs!$C$42)</f>
        <v/>
      </c>
      <c r="J106" s="14">
        <f>IF(E106="",1,1 + (Inputs!$C$95-1)*IF((1-Inputs!$C$94)=0,0,(1-G106)/(1-Inputs!$C$94)))</f>
        <v/>
      </c>
      <c r="K106" s="12">
        <f>IF(I106=0,"",B106/I106)</f>
        <v/>
      </c>
      <c r="L106" s="15">
        <f>IF(F106="",0,F106)</f>
        <v/>
      </c>
      <c r="M106" s="15">
        <f>IF(A106&lt;=1,0,L105)</f>
        <v/>
      </c>
      <c r="N106" s="15">
        <f>IF(A106&lt;=1,0,M105)</f>
        <v/>
      </c>
      <c r="O106" s="15">
        <f>IF(A106&lt;=1,0,N105)</f>
        <v/>
      </c>
      <c r="P106" s="15">
        <f>IF(A106&lt;=1,0,O105)</f>
        <v/>
      </c>
      <c r="Q106" s="15">
        <f>IF(A106&lt;=1,0,P105)</f>
        <v/>
      </c>
      <c r="R106" s="15">
        <f>IF(A106&lt;=1,0,Q105)</f>
        <v/>
      </c>
      <c r="S106" s="15">
        <f>IF(A106&lt;=1,0,R105)</f>
        <v/>
      </c>
      <c r="T106" s="15">
        <f>IF(A106&lt;=1,0,S105)</f>
        <v/>
      </c>
      <c r="U106" s="15">
        <f>IF(A106&lt;=1,0,T105)</f>
        <v/>
      </c>
      <c r="V106" s="15">
        <f>IF(A106&lt;=1,0,U105)</f>
        <v/>
      </c>
      <c r="W106" s="15">
        <f>IF(A106&lt;=1,0,V105)</f>
        <v/>
      </c>
      <c r="X106" s="15">
        <f>IF(A106&lt;=1,0,W105)</f>
        <v/>
      </c>
      <c r="Y106" s="15">
        <f>IF(A106&lt;=1,0,X105)</f>
        <v/>
      </c>
      <c r="Z106" s="15">
        <f>IF(A106&lt;=1,0,Y105)</f>
        <v/>
      </c>
      <c r="AA106" s="15">
        <f>IF(A106&lt;=1,0,Z105)</f>
        <v/>
      </c>
    </row>
    <row r="107">
      <c r="A107" s="55" t="n">
        <v>101</v>
      </c>
      <c r="B107" s="15">
        <f>IF(A107&gt;Inputs!$C$62,"",INDEX(Trajectory!$G$23:$G$2000,A107))</f>
        <v/>
      </c>
      <c r="C107" s="15">
        <f>IF(B107="","",IF(A107&lt;=Inputs!$C$75,INDEX(Trajectory!$G$23:$G$2000,1),INDEX(Trajectory!$G$23:$G$2000,MAX(1,A107-Inputs!$C$75))))</f>
        <v/>
      </c>
      <c r="D107" s="15">
        <f>IF(C107="","",MAX(Inputs!$C$76,CEILING(C107/(Inputs!$C$42*Inputs!$C$92),1)))</f>
        <v/>
      </c>
      <c r="E107" s="15">
        <f>IF(D107="","",MAX(E106,D107))</f>
        <v/>
      </c>
      <c r="F107" s="15">
        <f>E107-E106</f>
        <v/>
      </c>
      <c r="G107" s="12">
        <f>IF(E107="",1,IF(E107=0,1,(E107-SUM(L107:AA107)+SUMPRODUCT(L107:AA107,$N$5:$N$20))/E107))</f>
        <v/>
      </c>
      <c r="H107" s="14">
        <f>IF(E107="",0,E107*G107)</f>
        <v/>
      </c>
      <c r="I107" s="15">
        <f>IF(H107="",0,H107*Inputs!$C$42)</f>
        <v/>
      </c>
      <c r="J107" s="14">
        <f>IF(E107="",1,1 + (Inputs!$C$95-1)*IF((1-Inputs!$C$94)=0,0,(1-G107)/(1-Inputs!$C$94)))</f>
        <v/>
      </c>
      <c r="K107" s="12">
        <f>IF(I107=0,"",B107/I107)</f>
        <v/>
      </c>
      <c r="L107" s="15">
        <f>IF(F107="",0,F107)</f>
        <v/>
      </c>
      <c r="M107" s="15">
        <f>IF(A107&lt;=1,0,L106)</f>
        <v/>
      </c>
      <c r="N107" s="15">
        <f>IF(A107&lt;=1,0,M106)</f>
        <v/>
      </c>
      <c r="O107" s="15">
        <f>IF(A107&lt;=1,0,N106)</f>
        <v/>
      </c>
      <c r="P107" s="15">
        <f>IF(A107&lt;=1,0,O106)</f>
        <v/>
      </c>
      <c r="Q107" s="15">
        <f>IF(A107&lt;=1,0,P106)</f>
        <v/>
      </c>
      <c r="R107" s="15">
        <f>IF(A107&lt;=1,0,Q106)</f>
        <v/>
      </c>
      <c r="S107" s="15">
        <f>IF(A107&lt;=1,0,R106)</f>
        <v/>
      </c>
      <c r="T107" s="15">
        <f>IF(A107&lt;=1,0,S106)</f>
        <v/>
      </c>
      <c r="U107" s="15">
        <f>IF(A107&lt;=1,0,T106)</f>
        <v/>
      </c>
      <c r="V107" s="15">
        <f>IF(A107&lt;=1,0,U106)</f>
        <v/>
      </c>
      <c r="W107" s="15">
        <f>IF(A107&lt;=1,0,V106)</f>
        <v/>
      </c>
      <c r="X107" s="15">
        <f>IF(A107&lt;=1,0,W106)</f>
        <v/>
      </c>
      <c r="Y107" s="15">
        <f>IF(A107&lt;=1,0,X106)</f>
        <v/>
      </c>
      <c r="Z107" s="15">
        <f>IF(A107&lt;=1,0,Y106)</f>
        <v/>
      </c>
      <c r="AA107" s="15">
        <f>IF(A107&lt;=1,0,Z106)</f>
        <v/>
      </c>
    </row>
    <row r="108">
      <c r="A108" s="55" t="n">
        <v>102</v>
      </c>
      <c r="B108" s="15">
        <f>IF(A108&gt;Inputs!$C$62,"",INDEX(Trajectory!$G$23:$G$2000,A108))</f>
        <v/>
      </c>
      <c r="C108" s="15">
        <f>IF(B108="","",IF(A108&lt;=Inputs!$C$75,INDEX(Trajectory!$G$23:$G$2000,1),INDEX(Trajectory!$G$23:$G$2000,MAX(1,A108-Inputs!$C$75))))</f>
        <v/>
      </c>
      <c r="D108" s="15">
        <f>IF(C108="","",MAX(Inputs!$C$76,CEILING(C108/(Inputs!$C$42*Inputs!$C$92),1)))</f>
        <v/>
      </c>
      <c r="E108" s="15">
        <f>IF(D108="","",MAX(E107,D108))</f>
        <v/>
      </c>
      <c r="F108" s="15">
        <f>E108-E107</f>
        <v/>
      </c>
      <c r="G108" s="12">
        <f>IF(E108="",1,IF(E108=0,1,(E108-SUM(L108:AA108)+SUMPRODUCT(L108:AA108,$N$5:$N$20))/E108))</f>
        <v/>
      </c>
      <c r="H108" s="14">
        <f>IF(E108="",0,E108*G108)</f>
        <v/>
      </c>
      <c r="I108" s="15">
        <f>IF(H108="",0,H108*Inputs!$C$42)</f>
        <v/>
      </c>
      <c r="J108" s="14">
        <f>IF(E108="",1,1 + (Inputs!$C$95-1)*IF((1-Inputs!$C$94)=0,0,(1-G108)/(1-Inputs!$C$94)))</f>
        <v/>
      </c>
      <c r="K108" s="12">
        <f>IF(I108=0,"",B108/I108)</f>
        <v/>
      </c>
      <c r="L108" s="15">
        <f>IF(F108="",0,F108)</f>
        <v/>
      </c>
      <c r="M108" s="15">
        <f>IF(A108&lt;=1,0,L107)</f>
        <v/>
      </c>
      <c r="N108" s="15">
        <f>IF(A108&lt;=1,0,M107)</f>
        <v/>
      </c>
      <c r="O108" s="15">
        <f>IF(A108&lt;=1,0,N107)</f>
        <v/>
      </c>
      <c r="P108" s="15">
        <f>IF(A108&lt;=1,0,O107)</f>
        <v/>
      </c>
      <c r="Q108" s="15">
        <f>IF(A108&lt;=1,0,P107)</f>
        <v/>
      </c>
      <c r="R108" s="15">
        <f>IF(A108&lt;=1,0,Q107)</f>
        <v/>
      </c>
      <c r="S108" s="15">
        <f>IF(A108&lt;=1,0,R107)</f>
        <v/>
      </c>
      <c r="T108" s="15">
        <f>IF(A108&lt;=1,0,S107)</f>
        <v/>
      </c>
      <c r="U108" s="15">
        <f>IF(A108&lt;=1,0,T107)</f>
        <v/>
      </c>
      <c r="V108" s="15">
        <f>IF(A108&lt;=1,0,U107)</f>
        <v/>
      </c>
      <c r="W108" s="15">
        <f>IF(A108&lt;=1,0,V107)</f>
        <v/>
      </c>
      <c r="X108" s="15">
        <f>IF(A108&lt;=1,0,W107)</f>
        <v/>
      </c>
      <c r="Y108" s="15">
        <f>IF(A108&lt;=1,0,X107)</f>
        <v/>
      </c>
      <c r="Z108" s="15">
        <f>IF(A108&lt;=1,0,Y107)</f>
        <v/>
      </c>
      <c r="AA108" s="15">
        <f>IF(A108&lt;=1,0,Z107)</f>
        <v/>
      </c>
    </row>
    <row r="109">
      <c r="A109" s="55" t="n">
        <v>103</v>
      </c>
      <c r="B109" s="15">
        <f>IF(A109&gt;Inputs!$C$62,"",INDEX(Trajectory!$G$23:$G$2000,A109))</f>
        <v/>
      </c>
      <c r="C109" s="15">
        <f>IF(B109="","",IF(A109&lt;=Inputs!$C$75,INDEX(Trajectory!$G$23:$G$2000,1),INDEX(Trajectory!$G$23:$G$2000,MAX(1,A109-Inputs!$C$75))))</f>
        <v/>
      </c>
      <c r="D109" s="15">
        <f>IF(C109="","",MAX(Inputs!$C$76,CEILING(C109/(Inputs!$C$42*Inputs!$C$92),1)))</f>
        <v/>
      </c>
      <c r="E109" s="15">
        <f>IF(D109="","",MAX(E108,D109))</f>
        <v/>
      </c>
      <c r="F109" s="15">
        <f>E109-E108</f>
        <v/>
      </c>
      <c r="G109" s="12">
        <f>IF(E109="",1,IF(E109=0,1,(E109-SUM(L109:AA109)+SUMPRODUCT(L109:AA109,$N$5:$N$20))/E109))</f>
        <v/>
      </c>
      <c r="H109" s="14">
        <f>IF(E109="",0,E109*G109)</f>
        <v/>
      </c>
      <c r="I109" s="15">
        <f>IF(H109="",0,H109*Inputs!$C$42)</f>
        <v/>
      </c>
      <c r="J109" s="14">
        <f>IF(E109="",1,1 + (Inputs!$C$95-1)*IF((1-Inputs!$C$94)=0,0,(1-G109)/(1-Inputs!$C$94)))</f>
        <v/>
      </c>
      <c r="K109" s="12">
        <f>IF(I109=0,"",B109/I109)</f>
        <v/>
      </c>
      <c r="L109" s="15">
        <f>IF(F109="",0,F109)</f>
        <v/>
      </c>
      <c r="M109" s="15">
        <f>IF(A109&lt;=1,0,L108)</f>
        <v/>
      </c>
      <c r="N109" s="15">
        <f>IF(A109&lt;=1,0,M108)</f>
        <v/>
      </c>
      <c r="O109" s="15">
        <f>IF(A109&lt;=1,0,N108)</f>
        <v/>
      </c>
      <c r="P109" s="15">
        <f>IF(A109&lt;=1,0,O108)</f>
        <v/>
      </c>
      <c r="Q109" s="15">
        <f>IF(A109&lt;=1,0,P108)</f>
        <v/>
      </c>
      <c r="R109" s="15">
        <f>IF(A109&lt;=1,0,Q108)</f>
        <v/>
      </c>
      <c r="S109" s="15">
        <f>IF(A109&lt;=1,0,R108)</f>
        <v/>
      </c>
      <c r="T109" s="15">
        <f>IF(A109&lt;=1,0,S108)</f>
        <v/>
      </c>
      <c r="U109" s="15">
        <f>IF(A109&lt;=1,0,T108)</f>
        <v/>
      </c>
      <c r="V109" s="15">
        <f>IF(A109&lt;=1,0,U108)</f>
        <v/>
      </c>
      <c r="W109" s="15">
        <f>IF(A109&lt;=1,0,V108)</f>
        <v/>
      </c>
      <c r="X109" s="15">
        <f>IF(A109&lt;=1,0,W108)</f>
        <v/>
      </c>
      <c r="Y109" s="15">
        <f>IF(A109&lt;=1,0,X108)</f>
        <v/>
      </c>
      <c r="Z109" s="15">
        <f>IF(A109&lt;=1,0,Y108)</f>
        <v/>
      </c>
      <c r="AA109" s="15">
        <f>IF(A109&lt;=1,0,Z108)</f>
        <v/>
      </c>
    </row>
    <row r="110">
      <c r="A110" s="55" t="n">
        <v>104</v>
      </c>
      <c r="B110" s="15">
        <f>IF(A110&gt;Inputs!$C$62,"",INDEX(Trajectory!$G$23:$G$2000,A110))</f>
        <v/>
      </c>
      <c r="C110" s="15">
        <f>IF(B110="","",IF(A110&lt;=Inputs!$C$75,INDEX(Trajectory!$G$23:$G$2000,1),INDEX(Trajectory!$G$23:$G$2000,MAX(1,A110-Inputs!$C$75))))</f>
        <v/>
      </c>
      <c r="D110" s="15">
        <f>IF(C110="","",MAX(Inputs!$C$76,CEILING(C110/(Inputs!$C$42*Inputs!$C$92),1)))</f>
        <v/>
      </c>
      <c r="E110" s="15">
        <f>IF(D110="","",MAX(E109,D110))</f>
        <v/>
      </c>
      <c r="F110" s="15">
        <f>E110-E109</f>
        <v/>
      </c>
      <c r="G110" s="12">
        <f>IF(E110="",1,IF(E110=0,1,(E110-SUM(L110:AA110)+SUMPRODUCT(L110:AA110,$N$5:$N$20))/E110))</f>
        <v/>
      </c>
      <c r="H110" s="14">
        <f>IF(E110="",0,E110*G110)</f>
        <v/>
      </c>
      <c r="I110" s="15">
        <f>IF(H110="",0,H110*Inputs!$C$42)</f>
        <v/>
      </c>
      <c r="J110" s="14">
        <f>IF(E110="",1,1 + (Inputs!$C$95-1)*IF((1-Inputs!$C$94)=0,0,(1-G110)/(1-Inputs!$C$94)))</f>
        <v/>
      </c>
      <c r="K110" s="12">
        <f>IF(I110=0,"",B110/I110)</f>
        <v/>
      </c>
      <c r="L110" s="15">
        <f>IF(F110="",0,F110)</f>
        <v/>
      </c>
      <c r="M110" s="15">
        <f>IF(A110&lt;=1,0,L109)</f>
        <v/>
      </c>
      <c r="N110" s="15">
        <f>IF(A110&lt;=1,0,M109)</f>
        <v/>
      </c>
      <c r="O110" s="15">
        <f>IF(A110&lt;=1,0,N109)</f>
        <v/>
      </c>
      <c r="P110" s="15">
        <f>IF(A110&lt;=1,0,O109)</f>
        <v/>
      </c>
      <c r="Q110" s="15">
        <f>IF(A110&lt;=1,0,P109)</f>
        <v/>
      </c>
      <c r="R110" s="15">
        <f>IF(A110&lt;=1,0,Q109)</f>
        <v/>
      </c>
      <c r="S110" s="15">
        <f>IF(A110&lt;=1,0,R109)</f>
        <v/>
      </c>
      <c r="T110" s="15">
        <f>IF(A110&lt;=1,0,S109)</f>
        <v/>
      </c>
      <c r="U110" s="15">
        <f>IF(A110&lt;=1,0,T109)</f>
        <v/>
      </c>
      <c r="V110" s="15">
        <f>IF(A110&lt;=1,0,U109)</f>
        <v/>
      </c>
      <c r="W110" s="15">
        <f>IF(A110&lt;=1,0,V109)</f>
        <v/>
      </c>
      <c r="X110" s="15">
        <f>IF(A110&lt;=1,0,W109)</f>
        <v/>
      </c>
      <c r="Y110" s="15">
        <f>IF(A110&lt;=1,0,X109)</f>
        <v/>
      </c>
      <c r="Z110" s="15">
        <f>IF(A110&lt;=1,0,Y109)</f>
        <v/>
      </c>
      <c r="AA110" s="15">
        <f>IF(A110&lt;=1,0,Z109)</f>
        <v/>
      </c>
    </row>
    <row r="111">
      <c r="A111" s="55" t="n">
        <v>105</v>
      </c>
      <c r="B111" s="15">
        <f>IF(A111&gt;Inputs!$C$62,"",INDEX(Trajectory!$G$23:$G$2000,A111))</f>
        <v/>
      </c>
      <c r="C111" s="15">
        <f>IF(B111="","",IF(A111&lt;=Inputs!$C$75,INDEX(Trajectory!$G$23:$G$2000,1),INDEX(Trajectory!$G$23:$G$2000,MAX(1,A111-Inputs!$C$75))))</f>
        <v/>
      </c>
      <c r="D111" s="15">
        <f>IF(C111="","",MAX(Inputs!$C$76,CEILING(C111/(Inputs!$C$42*Inputs!$C$92),1)))</f>
        <v/>
      </c>
      <c r="E111" s="15">
        <f>IF(D111="","",MAX(E110,D111))</f>
        <v/>
      </c>
      <c r="F111" s="15">
        <f>E111-E110</f>
        <v/>
      </c>
      <c r="G111" s="12">
        <f>IF(E111="",1,IF(E111=0,1,(E111-SUM(L111:AA111)+SUMPRODUCT(L111:AA111,$N$5:$N$20))/E111))</f>
        <v/>
      </c>
      <c r="H111" s="14">
        <f>IF(E111="",0,E111*G111)</f>
        <v/>
      </c>
      <c r="I111" s="15">
        <f>IF(H111="",0,H111*Inputs!$C$42)</f>
        <v/>
      </c>
      <c r="J111" s="14">
        <f>IF(E111="",1,1 + (Inputs!$C$95-1)*IF((1-Inputs!$C$94)=0,0,(1-G111)/(1-Inputs!$C$94)))</f>
        <v/>
      </c>
      <c r="K111" s="12">
        <f>IF(I111=0,"",B111/I111)</f>
        <v/>
      </c>
      <c r="L111" s="15">
        <f>IF(F111="",0,F111)</f>
        <v/>
      </c>
      <c r="M111" s="15">
        <f>IF(A111&lt;=1,0,L110)</f>
        <v/>
      </c>
      <c r="N111" s="15">
        <f>IF(A111&lt;=1,0,M110)</f>
        <v/>
      </c>
      <c r="O111" s="15">
        <f>IF(A111&lt;=1,0,N110)</f>
        <v/>
      </c>
      <c r="P111" s="15">
        <f>IF(A111&lt;=1,0,O110)</f>
        <v/>
      </c>
      <c r="Q111" s="15">
        <f>IF(A111&lt;=1,0,P110)</f>
        <v/>
      </c>
      <c r="R111" s="15">
        <f>IF(A111&lt;=1,0,Q110)</f>
        <v/>
      </c>
      <c r="S111" s="15">
        <f>IF(A111&lt;=1,0,R110)</f>
        <v/>
      </c>
      <c r="T111" s="15">
        <f>IF(A111&lt;=1,0,S110)</f>
        <v/>
      </c>
      <c r="U111" s="15">
        <f>IF(A111&lt;=1,0,T110)</f>
        <v/>
      </c>
      <c r="V111" s="15">
        <f>IF(A111&lt;=1,0,U110)</f>
        <v/>
      </c>
      <c r="W111" s="15">
        <f>IF(A111&lt;=1,0,V110)</f>
        <v/>
      </c>
      <c r="X111" s="15">
        <f>IF(A111&lt;=1,0,W110)</f>
        <v/>
      </c>
      <c r="Y111" s="15">
        <f>IF(A111&lt;=1,0,X110)</f>
        <v/>
      </c>
      <c r="Z111" s="15">
        <f>IF(A111&lt;=1,0,Y110)</f>
        <v/>
      </c>
      <c r="AA111" s="15">
        <f>IF(A111&lt;=1,0,Z110)</f>
        <v/>
      </c>
    </row>
    <row r="112">
      <c r="A112" s="55" t="n">
        <v>106</v>
      </c>
      <c r="B112" s="15">
        <f>IF(A112&gt;Inputs!$C$62,"",INDEX(Trajectory!$G$23:$G$2000,A112))</f>
        <v/>
      </c>
      <c r="C112" s="15">
        <f>IF(B112="","",IF(A112&lt;=Inputs!$C$75,INDEX(Trajectory!$G$23:$G$2000,1),INDEX(Trajectory!$G$23:$G$2000,MAX(1,A112-Inputs!$C$75))))</f>
        <v/>
      </c>
      <c r="D112" s="15">
        <f>IF(C112="","",MAX(Inputs!$C$76,CEILING(C112/(Inputs!$C$42*Inputs!$C$92),1)))</f>
        <v/>
      </c>
      <c r="E112" s="15">
        <f>IF(D112="","",MAX(E111,D112))</f>
        <v/>
      </c>
      <c r="F112" s="15">
        <f>E112-E111</f>
        <v/>
      </c>
      <c r="G112" s="12">
        <f>IF(E112="",1,IF(E112=0,1,(E112-SUM(L112:AA112)+SUMPRODUCT(L112:AA112,$N$5:$N$20))/E112))</f>
        <v/>
      </c>
      <c r="H112" s="14">
        <f>IF(E112="",0,E112*G112)</f>
        <v/>
      </c>
      <c r="I112" s="15">
        <f>IF(H112="",0,H112*Inputs!$C$42)</f>
        <v/>
      </c>
      <c r="J112" s="14">
        <f>IF(E112="",1,1 + (Inputs!$C$95-1)*IF((1-Inputs!$C$94)=0,0,(1-G112)/(1-Inputs!$C$94)))</f>
        <v/>
      </c>
      <c r="K112" s="12">
        <f>IF(I112=0,"",B112/I112)</f>
        <v/>
      </c>
      <c r="L112" s="15">
        <f>IF(F112="",0,F112)</f>
        <v/>
      </c>
      <c r="M112" s="15">
        <f>IF(A112&lt;=1,0,L111)</f>
        <v/>
      </c>
      <c r="N112" s="15">
        <f>IF(A112&lt;=1,0,M111)</f>
        <v/>
      </c>
      <c r="O112" s="15">
        <f>IF(A112&lt;=1,0,N111)</f>
        <v/>
      </c>
      <c r="P112" s="15">
        <f>IF(A112&lt;=1,0,O111)</f>
        <v/>
      </c>
      <c r="Q112" s="15">
        <f>IF(A112&lt;=1,0,P111)</f>
        <v/>
      </c>
      <c r="R112" s="15">
        <f>IF(A112&lt;=1,0,Q111)</f>
        <v/>
      </c>
      <c r="S112" s="15">
        <f>IF(A112&lt;=1,0,R111)</f>
        <v/>
      </c>
      <c r="T112" s="15">
        <f>IF(A112&lt;=1,0,S111)</f>
        <v/>
      </c>
      <c r="U112" s="15">
        <f>IF(A112&lt;=1,0,T111)</f>
        <v/>
      </c>
      <c r="V112" s="15">
        <f>IF(A112&lt;=1,0,U111)</f>
        <v/>
      </c>
      <c r="W112" s="15">
        <f>IF(A112&lt;=1,0,V111)</f>
        <v/>
      </c>
      <c r="X112" s="15">
        <f>IF(A112&lt;=1,0,W111)</f>
        <v/>
      </c>
      <c r="Y112" s="15">
        <f>IF(A112&lt;=1,0,X111)</f>
        <v/>
      </c>
      <c r="Z112" s="15">
        <f>IF(A112&lt;=1,0,Y111)</f>
        <v/>
      </c>
      <c r="AA112" s="15">
        <f>IF(A112&lt;=1,0,Z111)</f>
        <v/>
      </c>
    </row>
    <row r="113">
      <c r="A113" s="55" t="n">
        <v>107</v>
      </c>
      <c r="B113" s="15">
        <f>IF(A113&gt;Inputs!$C$62,"",INDEX(Trajectory!$G$23:$G$2000,A113))</f>
        <v/>
      </c>
      <c r="C113" s="15">
        <f>IF(B113="","",IF(A113&lt;=Inputs!$C$75,INDEX(Trajectory!$G$23:$G$2000,1),INDEX(Trajectory!$G$23:$G$2000,MAX(1,A113-Inputs!$C$75))))</f>
        <v/>
      </c>
      <c r="D113" s="15">
        <f>IF(C113="","",MAX(Inputs!$C$76,CEILING(C113/(Inputs!$C$42*Inputs!$C$92),1)))</f>
        <v/>
      </c>
      <c r="E113" s="15">
        <f>IF(D113="","",MAX(E112,D113))</f>
        <v/>
      </c>
      <c r="F113" s="15">
        <f>E113-E112</f>
        <v/>
      </c>
      <c r="G113" s="12">
        <f>IF(E113="",1,IF(E113=0,1,(E113-SUM(L113:AA113)+SUMPRODUCT(L113:AA113,$N$5:$N$20))/E113))</f>
        <v/>
      </c>
      <c r="H113" s="14">
        <f>IF(E113="",0,E113*G113)</f>
        <v/>
      </c>
      <c r="I113" s="15">
        <f>IF(H113="",0,H113*Inputs!$C$42)</f>
        <v/>
      </c>
      <c r="J113" s="14">
        <f>IF(E113="",1,1 + (Inputs!$C$95-1)*IF((1-Inputs!$C$94)=0,0,(1-G113)/(1-Inputs!$C$94)))</f>
        <v/>
      </c>
      <c r="K113" s="12">
        <f>IF(I113=0,"",B113/I113)</f>
        <v/>
      </c>
      <c r="L113" s="15">
        <f>IF(F113="",0,F113)</f>
        <v/>
      </c>
      <c r="M113" s="15">
        <f>IF(A113&lt;=1,0,L112)</f>
        <v/>
      </c>
      <c r="N113" s="15">
        <f>IF(A113&lt;=1,0,M112)</f>
        <v/>
      </c>
      <c r="O113" s="15">
        <f>IF(A113&lt;=1,0,N112)</f>
        <v/>
      </c>
      <c r="P113" s="15">
        <f>IF(A113&lt;=1,0,O112)</f>
        <v/>
      </c>
      <c r="Q113" s="15">
        <f>IF(A113&lt;=1,0,P112)</f>
        <v/>
      </c>
      <c r="R113" s="15">
        <f>IF(A113&lt;=1,0,Q112)</f>
        <v/>
      </c>
      <c r="S113" s="15">
        <f>IF(A113&lt;=1,0,R112)</f>
        <v/>
      </c>
      <c r="T113" s="15">
        <f>IF(A113&lt;=1,0,S112)</f>
        <v/>
      </c>
      <c r="U113" s="15">
        <f>IF(A113&lt;=1,0,T112)</f>
        <v/>
      </c>
      <c r="V113" s="15">
        <f>IF(A113&lt;=1,0,U112)</f>
        <v/>
      </c>
      <c r="W113" s="15">
        <f>IF(A113&lt;=1,0,V112)</f>
        <v/>
      </c>
      <c r="X113" s="15">
        <f>IF(A113&lt;=1,0,W112)</f>
        <v/>
      </c>
      <c r="Y113" s="15">
        <f>IF(A113&lt;=1,0,X112)</f>
        <v/>
      </c>
      <c r="Z113" s="15">
        <f>IF(A113&lt;=1,0,Y112)</f>
        <v/>
      </c>
      <c r="AA113" s="15">
        <f>IF(A113&lt;=1,0,Z112)</f>
        <v/>
      </c>
    </row>
    <row r="114">
      <c r="A114" s="55" t="n">
        <v>108</v>
      </c>
      <c r="B114" s="15">
        <f>IF(A114&gt;Inputs!$C$62,"",INDEX(Trajectory!$G$23:$G$2000,A114))</f>
        <v/>
      </c>
      <c r="C114" s="15">
        <f>IF(B114="","",IF(A114&lt;=Inputs!$C$75,INDEX(Trajectory!$G$23:$G$2000,1),INDEX(Trajectory!$G$23:$G$2000,MAX(1,A114-Inputs!$C$75))))</f>
        <v/>
      </c>
      <c r="D114" s="15">
        <f>IF(C114="","",MAX(Inputs!$C$76,CEILING(C114/(Inputs!$C$42*Inputs!$C$92),1)))</f>
        <v/>
      </c>
      <c r="E114" s="15">
        <f>IF(D114="","",MAX(E113,D114))</f>
        <v/>
      </c>
      <c r="F114" s="15">
        <f>E114-E113</f>
        <v/>
      </c>
      <c r="G114" s="12">
        <f>IF(E114="",1,IF(E114=0,1,(E114-SUM(L114:AA114)+SUMPRODUCT(L114:AA114,$N$5:$N$20))/E114))</f>
        <v/>
      </c>
      <c r="H114" s="14">
        <f>IF(E114="",0,E114*G114)</f>
        <v/>
      </c>
      <c r="I114" s="15">
        <f>IF(H114="",0,H114*Inputs!$C$42)</f>
        <v/>
      </c>
      <c r="J114" s="14">
        <f>IF(E114="",1,1 + (Inputs!$C$95-1)*IF((1-Inputs!$C$94)=0,0,(1-G114)/(1-Inputs!$C$94)))</f>
        <v/>
      </c>
      <c r="K114" s="12">
        <f>IF(I114=0,"",B114/I114)</f>
        <v/>
      </c>
      <c r="L114" s="15">
        <f>IF(F114="",0,F114)</f>
        <v/>
      </c>
      <c r="M114" s="15">
        <f>IF(A114&lt;=1,0,L113)</f>
        <v/>
      </c>
      <c r="N114" s="15">
        <f>IF(A114&lt;=1,0,M113)</f>
        <v/>
      </c>
      <c r="O114" s="15">
        <f>IF(A114&lt;=1,0,N113)</f>
        <v/>
      </c>
      <c r="P114" s="15">
        <f>IF(A114&lt;=1,0,O113)</f>
        <v/>
      </c>
      <c r="Q114" s="15">
        <f>IF(A114&lt;=1,0,P113)</f>
        <v/>
      </c>
      <c r="R114" s="15">
        <f>IF(A114&lt;=1,0,Q113)</f>
        <v/>
      </c>
      <c r="S114" s="15">
        <f>IF(A114&lt;=1,0,R113)</f>
        <v/>
      </c>
      <c r="T114" s="15">
        <f>IF(A114&lt;=1,0,S113)</f>
        <v/>
      </c>
      <c r="U114" s="15">
        <f>IF(A114&lt;=1,0,T113)</f>
        <v/>
      </c>
      <c r="V114" s="15">
        <f>IF(A114&lt;=1,0,U113)</f>
        <v/>
      </c>
      <c r="W114" s="15">
        <f>IF(A114&lt;=1,0,V113)</f>
        <v/>
      </c>
      <c r="X114" s="15">
        <f>IF(A114&lt;=1,0,W113)</f>
        <v/>
      </c>
      <c r="Y114" s="15">
        <f>IF(A114&lt;=1,0,X113)</f>
        <v/>
      </c>
      <c r="Z114" s="15">
        <f>IF(A114&lt;=1,0,Y113)</f>
        <v/>
      </c>
      <c r="AA114" s="15">
        <f>IF(A114&lt;=1,0,Z113)</f>
        <v/>
      </c>
    </row>
    <row r="115">
      <c r="A115" s="55" t="n">
        <v>109</v>
      </c>
      <c r="B115" s="15">
        <f>IF(A115&gt;Inputs!$C$62,"",INDEX(Trajectory!$G$23:$G$2000,A115))</f>
        <v/>
      </c>
      <c r="C115" s="15">
        <f>IF(B115="","",IF(A115&lt;=Inputs!$C$75,INDEX(Trajectory!$G$23:$G$2000,1),INDEX(Trajectory!$G$23:$G$2000,MAX(1,A115-Inputs!$C$75))))</f>
        <v/>
      </c>
      <c r="D115" s="15">
        <f>IF(C115="","",MAX(Inputs!$C$76,CEILING(C115/(Inputs!$C$42*Inputs!$C$92),1)))</f>
        <v/>
      </c>
      <c r="E115" s="15">
        <f>IF(D115="","",MAX(E114,D115))</f>
        <v/>
      </c>
      <c r="F115" s="15">
        <f>E115-E114</f>
        <v/>
      </c>
      <c r="G115" s="12">
        <f>IF(E115="",1,IF(E115=0,1,(E115-SUM(L115:AA115)+SUMPRODUCT(L115:AA115,$N$5:$N$20))/E115))</f>
        <v/>
      </c>
      <c r="H115" s="14">
        <f>IF(E115="",0,E115*G115)</f>
        <v/>
      </c>
      <c r="I115" s="15">
        <f>IF(H115="",0,H115*Inputs!$C$42)</f>
        <v/>
      </c>
      <c r="J115" s="14">
        <f>IF(E115="",1,1 + (Inputs!$C$95-1)*IF((1-Inputs!$C$94)=0,0,(1-G115)/(1-Inputs!$C$94)))</f>
        <v/>
      </c>
      <c r="K115" s="12">
        <f>IF(I115=0,"",B115/I115)</f>
        <v/>
      </c>
      <c r="L115" s="15">
        <f>IF(F115="",0,F115)</f>
        <v/>
      </c>
      <c r="M115" s="15">
        <f>IF(A115&lt;=1,0,L114)</f>
        <v/>
      </c>
      <c r="N115" s="15">
        <f>IF(A115&lt;=1,0,M114)</f>
        <v/>
      </c>
      <c r="O115" s="15">
        <f>IF(A115&lt;=1,0,N114)</f>
        <v/>
      </c>
      <c r="P115" s="15">
        <f>IF(A115&lt;=1,0,O114)</f>
        <v/>
      </c>
      <c r="Q115" s="15">
        <f>IF(A115&lt;=1,0,P114)</f>
        <v/>
      </c>
      <c r="R115" s="15">
        <f>IF(A115&lt;=1,0,Q114)</f>
        <v/>
      </c>
      <c r="S115" s="15">
        <f>IF(A115&lt;=1,0,R114)</f>
        <v/>
      </c>
      <c r="T115" s="15">
        <f>IF(A115&lt;=1,0,S114)</f>
        <v/>
      </c>
      <c r="U115" s="15">
        <f>IF(A115&lt;=1,0,T114)</f>
        <v/>
      </c>
      <c r="V115" s="15">
        <f>IF(A115&lt;=1,0,U114)</f>
        <v/>
      </c>
      <c r="W115" s="15">
        <f>IF(A115&lt;=1,0,V114)</f>
        <v/>
      </c>
      <c r="X115" s="15">
        <f>IF(A115&lt;=1,0,W114)</f>
        <v/>
      </c>
      <c r="Y115" s="15">
        <f>IF(A115&lt;=1,0,X114)</f>
        <v/>
      </c>
      <c r="Z115" s="15">
        <f>IF(A115&lt;=1,0,Y114)</f>
        <v/>
      </c>
      <c r="AA115" s="15">
        <f>IF(A115&lt;=1,0,Z114)</f>
        <v/>
      </c>
    </row>
    <row r="116">
      <c r="A116" s="55" t="n">
        <v>110</v>
      </c>
      <c r="B116" s="15">
        <f>IF(A116&gt;Inputs!$C$62,"",INDEX(Trajectory!$G$23:$G$2000,A116))</f>
        <v/>
      </c>
      <c r="C116" s="15">
        <f>IF(B116="","",IF(A116&lt;=Inputs!$C$75,INDEX(Trajectory!$G$23:$G$2000,1),INDEX(Trajectory!$G$23:$G$2000,MAX(1,A116-Inputs!$C$75))))</f>
        <v/>
      </c>
      <c r="D116" s="15">
        <f>IF(C116="","",MAX(Inputs!$C$76,CEILING(C116/(Inputs!$C$42*Inputs!$C$92),1)))</f>
        <v/>
      </c>
      <c r="E116" s="15">
        <f>IF(D116="","",MAX(E115,D116))</f>
        <v/>
      </c>
      <c r="F116" s="15">
        <f>E116-E115</f>
        <v/>
      </c>
      <c r="G116" s="12">
        <f>IF(E116="",1,IF(E116=0,1,(E116-SUM(L116:AA116)+SUMPRODUCT(L116:AA116,$N$5:$N$20))/E116))</f>
        <v/>
      </c>
      <c r="H116" s="14">
        <f>IF(E116="",0,E116*G116)</f>
        <v/>
      </c>
      <c r="I116" s="15">
        <f>IF(H116="",0,H116*Inputs!$C$42)</f>
        <v/>
      </c>
      <c r="J116" s="14">
        <f>IF(E116="",1,1 + (Inputs!$C$95-1)*IF((1-Inputs!$C$94)=0,0,(1-G116)/(1-Inputs!$C$94)))</f>
        <v/>
      </c>
      <c r="K116" s="12">
        <f>IF(I116=0,"",B116/I116)</f>
        <v/>
      </c>
      <c r="L116" s="15">
        <f>IF(F116="",0,F116)</f>
        <v/>
      </c>
      <c r="M116" s="15">
        <f>IF(A116&lt;=1,0,L115)</f>
        <v/>
      </c>
      <c r="N116" s="15">
        <f>IF(A116&lt;=1,0,M115)</f>
        <v/>
      </c>
      <c r="O116" s="15">
        <f>IF(A116&lt;=1,0,N115)</f>
        <v/>
      </c>
      <c r="P116" s="15">
        <f>IF(A116&lt;=1,0,O115)</f>
        <v/>
      </c>
      <c r="Q116" s="15">
        <f>IF(A116&lt;=1,0,P115)</f>
        <v/>
      </c>
      <c r="R116" s="15">
        <f>IF(A116&lt;=1,0,Q115)</f>
        <v/>
      </c>
      <c r="S116" s="15">
        <f>IF(A116&lt;=1,0,R115)</f>
        <v/>
      </c>
      <c r="T116" s="15">
        <f>IF(A116&lt;=1,0,S115)</f>
        <v/>
      </c>
      <c r="U116" s="15">
        <f>IF(A116&lt;=1,0,T115)</f>
        <v/>
      </c>
      <c r="V116" s="15">
        <f>IF(A116&lt;=1,0,U115)</f>
        <v/>
      </c>
      <c r="W116" s="15">
        <f>IF(A116&lt;=1,0,V115)</f>
        <v/>
      </c>
      <c r="X116" s="15">
        <f>IF(A116&lt;=1,0,W115)</f>
        <v/>
      </c>
      <c r="Y116" s="15">
        <f>IF(A116&lt;=1,0,X115)</f>
        <v/>
      </c>
      <c r="Z116" s="15">
        <f>IF(A116&lt;=1,0,Y115)</f>
        <v/>
      </c>
      <c r="AA116" s="15">
        <f>IF(A116&lt;=1,0,Z115)</f>
        <v/>
      </c>
    </row>
    <row r="117">
      <c r="A117" s="55" t="n">
        <v>111</v>
      </c>
      <c r="B117" s="15">
        <f>IF(A117&gt;Inputs!$C$62,"",INDEX(Trajectory!$G$23:$G$2000,A117))</f>
        <v/>
      </c>
      <c r="C117" s="15">
        <f>IF(B117="","",IF(A117&lt;=Inputs!$C$75,INDEX(Trajectory!$G$23:$G$2000,1),INDEX(Trajectory!$G$23:$G$2000,MAX(1,A117-Inputs!$C$75))))</f>
        <v/>
      </c>
      <c r="D117" s="15">
        <f>IF(C117="","",MAX(Inputs!$C$76,CEILING(C117/(Inputs!$C$42*Inputs!$C$92),1)))</f>
        <v/>
      </c>
      <c r="E117" s="15">
        <f>IF(D117="","",MAX(E116,D117))</f>
        <v/>
      </c>
      <c r="F117" s="15">
        <f>E117-E116</f>
        <v/>
      </c>
      <c r="G117" s="12">
        <f>IF(E117="",1,IF(E117=0,1,(E117-SUM(L117:AA117)+SUMPRODUCT(L117:AA117,$N$5:$N$20))/E117))</f>
        <v/>
      </c>
      <c r="H117" s="14">
        <f>IF(E117="",0,E117*G117)</f>
        <v/>
      </c>
      <c r="I117" s="15">
        <f>IF(H117="",0,H117*Inputs!$C$42)</f>
        <v/>
      </c>
      <c r="J117" s="14">
        <f>IF(E117="",1,1 + (Inputs!$C$95-1)*IF((1-Inputs!$C$94)=0,0,(1-G117)/(1-Inputs!$C$94)))</f>
        <v/>
      </c>
      <c r="K117" s="12">
        <f>IF(I117=0,"",B117/I117)</f>
        <v/>
      </c>
      <c r="L117" s="15">
        <f>IF(F117="",0,F117)</f>
        <v/>
      </c>
      <c r="M117" s="15">
        <f>IF(A117&lt;=1,0,L116)</f>
        <v/>
      </c>
      <c r="N117" s="15">
        <f>IF(A117&lt;=1,0,M116)</f>
        <v/>
      </c>
      <c r="O117" s="15">
        <f>IF(A117&lt;=1,0,N116)</f>
        <v/>
      </c>
      <c r="P117" s="15">
        <f>IF(A117&lt;=1,0,O116)</f>
        <v/>
      </c>
      <c r="Q117" s="15">
        <f>IF(A117&lt;=1,0,P116)</f>
        <v/>
      </c>
      <c r="R117" s="15">
        <f>IF(A117&lt;=1,0,Q116)</f>
        <v/>
      </c>
      <c r="S117" s="15">
        <f>IF(A117&lt;=1,0,R116)</f>
        <v/>
      </c>
      <c r="T117" s="15">
        <f>IF(A117&lt;=1,0,S116)</f>
        <v/>
      </c>
      <c r="U117" s="15">
        <f>IF(A117&lt;=1,0,T116)</f>
        <v/>
      </c>
      <c r="V117" s="15">
        <f>IF(A117&lt;=1,0,U116)</f>
        <v/>
      </c>
      <c r="W117" s="15">
        <f>IF(A117&lt;=1,0,V116)</f>
        <v/>
      </c>
      <c r="X117" s="15">
        <f>IF(A117&lt;=1,0,W116)</f>
        <v/>
      </c>
      <c r="Y117" s="15">
        <f>IF(A117&lt;=1,0,X116)</f>
        <v/>
      </c>
      <c r="Z117" s="15">
        <f>IF(A117&lt;=1,0,Y116)</f>
        <v/>
      </c>
      <c r="AA117" s="15">
        <f>IF(A117&lt;=1,0,Z116)</f>
        <v/>
      </c>
    </row>
    <row r="118">
      <c r="A118" s="55" t="n">
        <v>112</v>
      </c>
      <c r="B118" s="15">
        <f>IF(A118&gt;Inputs!$C$62,"",INDEX(Trajectory!$G$23:$G$2000,A118))</f>
        <v/>
      </c>
      <c r="C118" s="15">
        <f>IF(B118="","",IF(A118&lt;=Inputs!$C$75,INDEX(Trajectory!$G$23:$G$2000,1),INDEX(Trajectory!$G$23:$G$2000,MAX(1,A118-Inputs!$C$75))))</f>
        <v/>
      </c>
      <c r="D118" s="15">
        <f>IF(C118="","",MAX(Inputs!$C$76,CEILING(C118/(Inputs!$C$42*Inputs!$C$92),1)))</f>
        <v/>
      </c>
      <c r="E118" s="15">
        <f>IF(D118="","",MAX(E117,D118))</f>
        <v/>
      </c>
      <c r="F118" s="15">
        <f>E118-E117</f>
        <v/>
      </c>
      <c r="G118" s="12">
        <f>IF(E118="",1,IF(E118=0,1,(E118-SUM(L118:AA118)+SUMPRODUCT(L118:AA118,$N$5:$N$20))/E118))</f>
        <v/>
      </c>
      <c r="H118" s="14">
        <f>IF(E118="",0,E118*G118)</f>
        <v/>
      </c>
      <c r="I118" s="15">
        <f>IF(H118="",0,H118*Inputs!$C$42)</f>
        <v/>
      </c>
      <c r="J118" s="14">
        <f>IF(E118="",1,1 + (Inputs!$C$95-1)*IF((1-Inputs!$C$94)=0,0,(1-G118)/(1-Inputs!$C$94)))</f>
        <v/>
      </c>
      <c r="K118" s="12">
        <f>IF(I118=0,"",B118/I118)</f>
        <v/>
      </c>
      <c r="L118" s="15">
        <f>IF(F118="",0,F118)</f>
        <v/>
      </c>
      <c r="M118" s="15">
        <f>IF(A118&lt;=1,0,L117)</f>
        <v/>
      </c>
      <c r="N118" s="15">
        <f>IF(A118&lt;=1,0,M117)</f>
        <v/>
      </c>
      <c r="O118" s="15">
        <f>IF(A118&lt;=1,0,N117)</f>
        <v/>
      </c>
      <c r="P118" s="15">
        <f>IF(A118&lt;=1,0,O117)</f>
        <v/>
      </c>
      <c r="Q118" s="15">
        <f>IF(A118&lt;=1,0,P117)</f>
        <v/>
      </c>
      <c r="R118" s="15">
        <f>IF(A118&lt;=1,0,Q117)</f>
        <v/>
      </c>
      <c r="S118" s="15">
        <f>IF(A118&lt;=1,0,R117)</f>
        <v/>
      </c>
      <c r="T118" s="15">
        <f>IF(A118&lt;=1,0,S117)</f>
        <v/>
      </c>
      <c r="U118" s="15">
        <f>IF(A118&lt;=1,0,T117)</f>
        <v/>
      </c>
      <c r="V118" s="15">
        <f>IF(A118&lt;=1,0,U117)</f>
        <v/>
      </c>
      <c r="W118" s="15">
        <f>IF(A118&lt;=1,0,V117)</f>
        <v/>
      </c>
      <c r="X118" s="15">
        <f>IF(A118&lt;=1,0,W117)</f>
        <v/>
      </c>
      <c r="Y118" s="15">
        <f>IF(A118&lt;=1,0,X117)</f>
        <v/>
      </c>
      <c r="Z118" s="15">
        <f>IF(A118&lt;=1,0,Y117)</f>
        <v/>
      </c>
      <c r="AA118" s="15">
        <f>IF(A118&lt;=1,0,Z117)</f>
        <v/>
      </c>
    </row>
    <row r="119">
      <c r="A119" s="55" t="n">
        <v>113</v>
      </c>
      <c r="B119" s="15">
        <f>IF(A119&gt;Inputs!$C$62,"",INDEX(Trajectory!$G$23:$G$2000,A119))</f>
        <v/>
      </c>
      <c r="C119" s="15">
        <f>IF(B119="","",IF(A119&lt;=Inputs!$C$75,INDEX(Trajectory!$G$23:$G$2000,1),INDEX(Trajectory!$G$23:$G$2000,MAX(1,A119-Inputs!$C$75))))</f>
        <v/>
      </c>
      <c r="D119" s="15">
        <f>IF(C119="","",MAX(Inputs!$C$76,CEILING(C119/(Inputs!$C$42*Inputs!$C$92),1)))</f>
        <v/>
      </c>
      <c r="E119" s="15">
        <f>IF(D119="","",MAX(E118,D119))</f>
        <v/>
      </c>
      <c r="F119" s="15">
        <f>E119-E118</f>
        <v/>
      </c>
      <c r="G119" s="12">
        <f>IF(E119="",1,IF(E119=0,1,(E119-SUM(L119:AA119)+SUMPRODUCT(L119:AA119,$N$5:$N$20))/E119))</f>
        <v/>
      </c>
      <c r="H119" s="14">
        <f>IF(E119="",0,E119*G119)</f>
        <v/>
      </c>
      <c r="I119" s="15">
        <f>IF(H119="",0,H119*Inputs!$C$42)</f>
        <v/>
      </c>
      <c r="J119" s="14">
        <f>IF(E119="",1,1 + (Inputs!$C$95-1)*IF((1-Inputs!$C$94)=0,0,(1-G119)/(1-Inputs!$C$94)))</f>
        <v/>
      </c>
      <c r="K119" s="12">
        <f>IF(I119=0,"",B119/I119)</f>
        <v/>
      </c>
      <c r="L119" s="15">
        <f>IF(F119="",0,F119)</f>
        <v/>
      </c>
      <c r="M119" s="15">
        <f>IF(A119&lt;=1,0,L118)</f>
        <v/>
      </c>
      <c r="N119" s="15">
        <f>IF(A119&lt;=1,0,M118)</f>
        <v/>
      </c>
      <c r="O119" s="15">
        <f>IF(A119&lt;=1,0,N118)</f>
        <v/>
      </c>
      <c r="P119" s="15">
        <f>IF(A119&lt;=1,0,O118)</f>
        <v/>
      </c>
      <c r="Q119" s="15">
        <f>IF(A119&lt;=1,0,P118)</f>
        <v/>
      </c>
      <c r="R119" s="15">
        <f>IF(A119&lt;=1,0,Q118)</f>
        <v/>
      </c>
      <c r="S119" s="15">
        <f>IF(A119&lt;=1,0,R118)</f>
        <v/>
      </c>
      <c r="T119" s="15">
        <f>IF(A119&lt;=1,0,S118)</f>
        <v/>
      </c>
      <c r="U119" s="15">
        <f>IF(A119&lt;=1,0,T118)</f>
        <v/>
      </c>
      <c r="V119" s="15">
        <f>IF(A119&lt;=1,0,U118)</f>
        <v/>
      </c>
      <c r="W119" s="15">
        <f>IF(A119&lt;=1,0,V118)</f>
        <v/>
      </c>
      <c r="X119" s="15">
        <f>IF(A119&lt;=1,0,W118)</f>
        <v/>
      </c>
      <c r="Y119" s="15">
        <f>IF(A119&lt;=1,0,X118)</f>
        <v/>
      </c>
      <c r="Z119" s="15">
        <f>IF(A119&lt;=1,0,Y118)</f>
        <v/>
      </c>
      <c r="AA119" s="15">
        <f>IF(A119&lt;=1,0,Z118)</f>
        <v/>
      </c>
    </row>
    <row r="120">
      <c r="A120" s="55" t="n">
        <v>114</v>
      </c>
      <c r="B120" s="15">
        <f>IF(A120&gt;Inputs!$C$62,"",INDEX(Trajectory!$G$23:$G$2000,A120))</f>
        <v/>
      </c>
      <c r="C120" s="15">
        <f>IF(B120="","",IF(A120&lt;=Inputs!$C$75,INDEX(Trajectory!$G$23:$G$2000,1),INDEX(Trajectory!$G$23:$G$2000,MAX(1,A120-Inputs!$C$75))))</f>
        <v/>
      </c>
      <c r="D120" s="15">
        <f>IF(C120="","",MAX(Inputs!$C$76,CEILING(C120/(Inputs!$C$42*Inputs!$C$92),1)))</f>
        <v/>
      </c>
      <c r="E120" s="15">
        <f>IF(D120="","",MAX(E119,D120))</f>
        <v/>
      </c>
      <c r="F120" s="15">
        <f>E120-E119</f>
        <v/>
      </c>
      <c r="G120" s="12">
        <f>IF(E120="",1,IF(E120=0,1,(E120-SUM(L120:AA120)+SUMPRODUCT(L120:AA120,$N$5:$N$20))/E120))</f>
        <v/>
      </c>
      <c r="H120" s="14">
        <f>IF(E120="",0,E120*G120)</f>
        <v/>
      </c>
      <c r="I120" s="15">
        <f>IF(H120="",0,H120*Inputs!$C$42)</f>
        <v/>
      </c>
      <c r="J120" s="14">
        <f>IF(E120="",1,1 + (Inputs!$C$95-1)*IF((1-Inputs!$C$94)=0,0,(1-G120)/(1-Inputs!$C$94)))</f>
        <v/>
      </c>
      <c r="K120" s="12">
        <f>IF(I120=0,"",B120/I120)</f>
        <v/>
      </c>
      <c r="L120" s="15">
        <f>IF(F120="",0,F120)</f>
        <v/>
      </c>
      <c r="M120" s="15">
        <f>IF(A120&lt;=1,0,L119)</f>
        <v/>
      </c>
      <c r="N120" s="15">
        <f>IF(A120&lt;=1,0,M119)</f>
        <v/>
      </c>
      <c r="O120" s="15">
        <f>IF(A120&lt;=1,0,N119)</f>
        <v/>
      </c>
      <c r="P120" s="15">
        <f>IF(A120&lt;=1,0,O119)</f>
        <v/>
      </c>
      <c r="Q120" s="15">
        <f>IF(A120&lt;=1,0,P119)</f>
        <v/>
      </c>
      <c r="R120" s="15">
        <f>IF(A120&lt;=1,0,Q119)</f>
        <v/>
      </c>
      <c r="S120" s="15">
        <f>IF(A120&lt;=1,0,R119)</f>
        <v/>
      </c>
      <c r="T120" s="15">
        <f>IF(A120&lt;=1,0,S119)</f>
        <v/>
      </c>
      <c r="U120" s="15">
        <f>IF(A120&lt;=1,0,T119)</f>
        <v/>
      </c>
      <c r="V120" s="15">
        <f>IF(A120&lt;=1,0,U119)</f>
        <v/>
      </c>
      <c r="W120" s="15">
        <f>IF(A120&lt;=1,0,V119)</f>
        <v/>
      </c>
      <c r="X120" s="15">
        <f>IF(A120&lt;=1,0,W119)</f>
        <v/>
      </c>
      <c r="Y120" s="15">
        <f>IF(A120&lt;=1,0,X119)</f>
        <v/>
      </c>
      <c r="Z120" s="15">
        <f>IF(A120&lt;=1,0,Y119)</f>
        <v/>
      </c>
      <c r="AA120" s="15">
        <f>IF(A120&lt;=1,0,Z119)</f>
        <v/>
      </c>
    </row>
    <row r="121">
      <c r="A121" s="55" t="n">
        <v>115</v>
      </c>
      <c r="B121" s="15">
        <f>IF(A121&gt;Inputs!$C$62,"",INDEX(Trajectory!$G$23:$G$2000,A121))</f>
        <v/>
      </c>
      <c r="C121" s="15">
        <f>IF(B121="","",IF(A121&lt;=Inputs!$C$75,INDEX(Trajectory!$G$23:$G$2000,1),INDEX(Trajectory!$G$23:$G$2000,MAX(1,A121-Inputs!$C$75))))</f>
        <v/>
      </c>
      <c r="D121" s="15">
        <f>IF(C121="","",MAX(Inputs!$C$76,CEILING(C121/(Inputs!$C$42*Inputs!$C$92),1)))</f>
        <v/>
      </c>
      <c r="E121" s="15">
        <f>IF(D121="","",MAX(E120,D121))</f>
        <v/>
      </c>
      <c r="F121" s="15">
        <f>E121-E120</f>
        <v/>
      </c>
      <c r="G121" s="12">
        <f>IF(E121="",1,IF(E121=0,1,(E121-SUM(L121:AA121)+SUMPRODUCT(L121:AA121,$N$5:$N$20))/E121))</f>
        <v/>
      </c>
      <c r="H121" s="14">
        <f>IF(E121="",0,E121*G121)</f>
        <v/>
      </c>
      <c r="I121" s="15">
        <f>IF(H121="",0,H121*Inputs!$C$42)</f>
        <v/>
      </c>
      <c r="J121" s="14">
        <f>IF(E121="",1,1 + (Inputs!$C$95-1)*IF((1-Inputs!$C$94)=0,0,(1-G121)/(1-Inputs!$C$94)))</f>
        <v/>
      </c>
      <c r="K121" s="12">
        <f>IF(I121=0,"",B121/I121)</f>
        <v/>
      </c>
      <c r="L121" s="15">
        <f>IF(F121="",0,F121)</f>
        <v/>
      </c>
      <c r="M121" s="15">
        <f>IF(A121&lt;=1,0,L120)</f>
        <v/>
      </c>
      <c r="N121" s="15">
        <f>IF(A121&lt;=1,0,M120)</f>
        <v/>
      </c>
      <c r="O121" s="15">
        <f>IF(A121&lt;=1,0,N120)</f>
        <v/>
      </c>
      <c r="P121" s="15">
        <f>IF(A121&lt;=1,0,O120)</f>
        <v/>
      </c>
      <c r="Q121" s="15">
        <f>IF(A121&lt;=1,0,P120)</f>
        <v/>
      </c>
      <c r="R121" s="15">
        <f>IF(A121&lt;=1,0,Q120)</f>
        <v/>
      </c>
      <c r="S121" s="15">
        <f>IF(A121&lt;=1,0,R120)</f>
        <v/>
      </c>
      <c r="T121" s="15">
        <f>IF(A121&lt;=1,0,S120)</f>
        <v/>
      </c>
      <c r="U121" s="15">
        <f>IF(A121&lt;=1,0,T120)</f>
        <v/>
      </c>
      <c r="V121" s="15">
        <f>IF(A121&lt;=1,0,U120)</f>
        <v/>
      </c>
      <c r="W121" s="15">
        <f>IF(A121&lt;=1,0,V120)</f>
        <v/>
      </c>
      <c r="X121" s="15">
        <f>IF(A121&lt;=1,0,W120)</f>
        <v/>
      </c>
      <c r="Y121" s="15">
        <f>IF(A121&lt;=1,0,X120)</f>
        <v/>
      </c>
      <c r="Z121" s="15">
        <f>IF(A121&lt;=1,0,Y120)</f>
        <v/>
      </c>
      <c r="AA121" s="15">
        <f>IF(A121&lt;=1,0,Z120)</f>
        <v/>
      </c>
    </row>
    <row r="122">
      <c r="A122" s="55" t="n">
        <v>116</v>
      </c>
      <c r="B122" s="15">
        <f>IF(A122&gt;Inputs!$C$62,"",INDEX(Trajectory!$G$23:$G$2000,A122))</f>
        <v/>
      </c>
      <c r="C122" s="15">
        <f>IF(B122="","",IF(A122&lt;=Inputs!$C$75,INDEX(Trajectory!$G$23:$G$2000,1),INDEX(Trajectory!$G$23:$G$2000,MAX(1,A122-Inputs!$C$75))))</f>
        <v/>
      </c>
      <c r="D122" s="15">
        <f>IF(C122="","",MAX(Inputs!$C$76,CEILING(C122/(Inputs!$C$42*Inputs!$C$92),1)))</f>
        <v/>
      </c>
      <c r="E122" s="15">
        <f>IF(D122="","",MAX(E121,D122))</f>
        <v/>
      </c>
      <c r="F122" s="15">
        <f>E122-E121</f>
        <v/>
      </c>
      <c r="G122" s="12">
        <f>IF(E122="",1,IF(E122=0,1,(E122-SUM(L122:AA122)+SUMPRODUCT(L122:AA122,$N$5:$N$20))/E122))</f>
        <v/>
      </c>
      <c r="H122" s="14">
        <f>IF(E122="",0,E122*G122)</f>
        <v/>
      </c>
      <c r="I122" s="15">
        <f>IF(H122="",0,H122*Inputs!$C$42)</f>
        <v/>
      </c>
      <c r="J122" s="14">
        <f>IF(E122="",1,1 + (Inputs!$C$95-1)*IF((1-Inputs!$C$94)=0,0,(1-G122)/(1-Inputs!$C$94)))</f>
        <v/>
      </c>
      <c r="K122" s="12">
        <f>IF(I122=0,"",B122/I122)</f>
        <v/>
      </c>
      <c r="L122" s="15">
        <f>IF(F122="",0,F122)</f>
        <v/>
      </c>
      <c r="M122" s="15">
        <f>IF(A122&lt;=1,0,L121)</f>
        <v/>
      </c>
      <c r="N122" s="15">
        <f>IF(A122&lt;=1,0,M121)</f>
        <v/>
      </c>
      <c r="O122" s="15">
        <f>IF(A122&lt;=1,0,N121)</f>
        <v/>
      </c>
      <c r="P122" s="15">
        <f>IF(A122&lt;=1,0,O121)</f>
        <v/>
      </c>
      <c r="Q122" s="15">
        <f>IF(A122&lt;=1,0,P121)</f>
        <v/>
      </c>
      <c r="R122" s="15">
        <f>IF(A122&lt;=1,0,Q121)</f>
        <v/>
      </c>
      <c r="S122" s="15">
        <f>IF(A122&lt;=1,0,R121)</f>
        <v/>
      </c>
      <c r="T122" s="15">
        <f>IF(A122&lt;=1,0,S121)</f>
        <v/>
      </c>
      <c r="U122" s="15">
        <f>IF(A122&lt;=1,0,T121)</f>
        <v/>
      </c>
      <c r="V122" s="15">
        <f>IF(A122&lt;=1,0,U121)</f>
        <v/>
      </c>
      <c r="W122" s="15">
        <f>IF(A122&lt;=1,0,V121)</f>
        <v/>
      </c>
      <c r="X122" s="15">
        <f>IF(A122&lt;=1,0,W121)</f>
        <v/>
      </c>
      <c r="Y122" s="15">
        <f>IF(A122&lt;=1,0,X121)</f>
        <v/>
      </c>
      <c r="Z122" s="15">
        <f>IF(A122&lt;=1,0,Y121)</f>
        <v/>
      </c>
      <c r="AA122" s="15">
        <f>IF(A122&lt;=1,0,Z121)</f>
        <v/>
      </c>
    </row>
    <row r="123">
      <c r="A123" s="55" t="n">
        <v>117</v>
      </c>
      <c r="B123" s="15">
        <f>IF(A123&gt;Inputs!$C$62,"",INDEX(Trajectory!$G$23:$G$2000,A123))</f>
        <v/>
      </c>
      <c r="C123" s="15">
        <f>IF(B123="","",IF(A123&lt;=Inputs!$C$75,INDEX(Trajectory!$G$23:$G$2000,1),INDEX(Trajectory!$G$23:$G$2000,MAX(1,A123-Inputs!$C$75))))</f>
        <v/>
      </c>
      <c r="D123" s="15">
        <f>IF(C123="","",MAX(Inputs!$C$76,CEILING(C123/(Inputs!$C$42*Inputs!$C$92),1)))</f>
        <v/>
      </c>
      <c r="E123" s="15">
        <f>IF(D123="","",MAX(E122,D123))</f>
        <v/>
      </c>
      <c r="F123" s="15">
        <f>E123-E122</f>
        <v/>
      </c>
      <c r="G123" s="12">
        <f>IF(E123="",1,IF(E123=0,1,(E123-SUM(L123:AA123)+SUMPRODUCT(L123:AA123,$N$5:$N$20))/E123))</f>
        <v/>
      </c>
      <c r="H123" s="14">
        <f>IF(E123="",0,E123*G123)</f>
        <v/>
      </c>
      <c r="I123" s="15">
        <f>IF(H123="",0,H123*Inputs!$C$42)</f>
        <v/>
      </c>
      <c r="J123" s="14">
        <f>IF(E123="",1,1 + (Inputs!$C$95-1)*IF((1-Inputs!$C$94)=0,0,(1-G123)/(1-Inputs!$C$94)))</f>
        <v/>
      </c>
      <c r="K123" s="12">
        <f>IF(I123=0,"",B123/I123)</f>
        <v/>
      </c>
      <c r="L123" s="15">
        <f>IF(F123="",0,F123)</f>
        <v/>
      </c>
      <c r="M123" s="15">
        <f>IF(A123&lt;=1,0,L122)</f>
        <v/>
      </c>
      <c r="N123" s="15">
        <f>IF(A123&lt;=1,0,M122)</f>
        <v/>
      </c>
      <c r="O123" s="15">
        <f>IF(A123&lt;=1,0,N122)</f>
        <v/>
      </c>
      <c r="P123" s="15">
        <f>IF(A123&lt;=1,0,O122)</f>
        <v/>
      </c>
      <c r="Q123" s="15">
        <f>IF(A123&lt;=1,0,P122)</f>
        <v/>
      </c>
      <c r="R123" s="15">
        <f>IF(A123&lt;=1,0,Q122)</f>
        <v/>
      </c>
      <c r="S123" s="15">
        <f>IF(A123&lt;=1,0,R122)</f>
        <v/>
      </c>
      <c r="T123" s="15">
        <f>IF(A123&lt;=1,0,S122)</f>
        <v/>
      </c>
      <c r="U123" s="15">
        <f>IF(A123&lt;=1,0,T122)</f>
        <v/>
      </c>
      <c r="V123" s="15">
        <f>IF(A123&lt;=1,0,U122)</f>
        <v/>
      </c>
      <c r="W123" s="15">
        <f>IF(A123&lt;=1,0,V122)</f>
        <v/>
      </c>
      <c r="X123" s="15">
        <f>IF(A123&lt;=1,0,W122)</f>
        <v/>
      </c>
      <c r="Y123" s="15">
        <f>IF(A123&lt;=1,0,X122)</f>
        <v/>
      </c>
      <c r="Z123" s="15">
        <f>IF(A123&lt;=1,0,Y122)</f>
        <v/>
      </c>
      <c r="AA123" s="15">
        <f>IF(A123&lt;=1,0,Z122)</f>
        <v/>
      </c>
    </row>
    <row r="124">
      <c r="A124" s="55" t="n">
        <v>118</v>
      </c>
      <c r="B124" s="15">
        <f>IF(A124&gt;Inputs!$C$62,"",INDEX(Trajectory!$G$23:$G$2000,A124))</f>
        <v/>
      </c>
      <c r="C124" s="15">
        <f>IF(B124="","",IF(A124&lt;=Inputs!$C$75,INDEX(Trajectory!$G$23:$G$2000,1),INDEX(Trajectory!$G$23:$G$2000,MAX(1,A124-Inputs!$C$75))))</f>
        <v/>
      </c>
      <c r="D124" s="15">
        <f>IF(C124="","",MAX(Inputs!$C$76,CEILING(C124/(Inputs!$C$42*Inputs!$C$92),1)))</f>
        <v/>
      </c>
      <c r="E124" s="15">
        <f>IF(D124="","",MAX(E123,D124))</f>
        <v/>
      </c>
      <c r="F124" s="15">
        <f>E124-E123</f>
        <v/>
      </c>
      <c r="G124" s="12">
        <f>IF(E124="",1,IF(E124=0,1,(E124-SUM(L124:AA124)+SUMPRODUCT(L124:AA124,$N$5:$N$20))/E124))</f>
        <v/>
      </c>
      <c r="H124" s="14">
        <f>IF(E124="",0,E124*G124)</f>
        <v/>
      </c>
      <c r="I124" s="15">
        <f>IF(H124="",0,H124*Inputs!$C$42)</f>
        <v/>
      </c>
      <c r="J124" s="14">
        <f>IF(E124="",1,1 + (Inputs!$C$95-1)*IF((1-Inputs!$C$94)=0,0,(1-G124)/(1-Inputs!$C$94)))</f>
        <v/>
      </c>
      <c r="K124" s="12">
        <f>IF(I124=0,"",B124/I124)</f>
        <v/>
      </c>
      <c r="L124" s="15">
        <f>IF(F124="",0,F124)</f>
        <v/>
      </c>
      <c r="M124" s="15">
        <f>IF(A124&lt;=1,0,L123)</f>
        <v/>
      </c>
      <c r="N124" s="15">
        <f>IF(A124&lt;=1,0,M123)</f>
        <v/>
      </c>
      <c r="O124" s="15">
        <f>IF(A124&lt;=1,0,N123)</f>
        <v/>
      </c>
      <c r="P124" s="15">
        <f>IF(A124&lt;=1,0,O123)</f>
        <v/>
      </c>
      <c r="Q124" s="15">
        <f>IF(A124&lt;=1,0,P123)</f>
        <v/>
      </c>
      <c r="R124" s="15">
        <f>IF(A124&lt;=1,0,Q123)</f>
        <v/>
      </c>
      <c r="S124" s="15">
        <f>IF(A124&lt;=1,0,R123)</f>
        <v/>
      </c>
      <c r="T124" s="15">
        <f>IF(A124&lt;=1,0,S123)</f>
        <v/>
      </c>
      <c r="U124" s="15">
        <f>IF(A124&lt;=1,0,T123)</f>
        <v/>
      </c>
      <c r="V124" s="15">
        <f>IF(A124&lt;=1,0,U123)</f>
        <v/>
      </c>
      <c r="W124" s="15">
        <f>IF(A124&lt;=1,0,V123)</f>
        <v/>
      </c>
      <c r="X124" s="15">
        <f>IF(A124&lt;=1,0,W123)</f>
        <v/>
      </c>
      <c r="Y124" s="15">
        <f>IF(A124&lt;=1,0,X123)</f>
        <v/>
      </c>
      <c r="Z124" s="15">
        <f>IF(A124&lt;=1,0,Y123)</f>
        <v/>
      </c>
      <c r="AA124" s="15">
        <f>IF(A124&lt;=1,0,Z123)</f>
        <v/>
      </c>
    </row>
    <row r="125">
      <c r="A125" s="55" t="n">
        <v>119</v>
      </c>
      <c r="B125" s="15">
        <f>IF(A125&gt;Inputs!$C$62,"",INDEX(Trajectory!$G$23:$G$2000,A125))</f>
        <v/>
      </c>
      <c r="C125" s="15">
        <f>IF(B125="","",IF(A125&lt;=Inputs!$C$75,INDEX(Trajectory!$G$23:$G$2000,1),INDEX(Trajectory!$G$23:$G$2000,MAX(1,A125-Inputs!$C$75))))</f>
        <v/>
      </c>
      <c r="D125" s="15">
        <f>IF(C125="","",MAX(Inputs!$C$76,CEILING(C125/(Inputs!$C$42*Inputs!$C$92),1)))</f>
        <v/>
      </c>
      <c r="E125" s="15">
        <f>IF(D125="","",MAX(E124,D125))</f>
        <v/>
      </c>
      <c r="F125" s="15">
        <f>E125-E124</f>
        <v/>
      </c>
      <c r="G125" s="12">
        <f>IF(E125="",1,IF(E125=0,1,(E125-SUM(L125:AA125)+SUMPRODUCT(L125:AA125,$N$5:$N$20))/E125))</f>
        <v/>
      </c>
      <c r="H125" s="14">
        <f>IF(E125="",0,E125*G125)</f>
        <v/>
      </c>
      <c r="I125" s="15">
        <f>IF(H125="",0,H125*Inputs!$C$42)</f>
        <v/>
      </c>
      <c r="J125" s="14">
        <f>IF(E125="",1,1 + (Inputs!$C$95-1)*IF((1-Inputs!$C$94)=0,0,(1-G125)/(1-Inputs!$C$94)))</f>
        <v/>
      </c>
      <c r="K125" s="12">
        <f>IF(I125=0,"",B125/I125)</f>
        <v/>
      </c>
      <c r="L125" s="15">
        <f>IF(F125="",0,F125)</f>
        <v/>
      </c>
      <c r="M125" s="15">
        <f>IF(A125&lt;=1,0,L124)</f>
        <v/>
      </c>
      <c r="N125" s="15">
        <f>IF(A125&lt;=1,0,M124)</f>
        <v/>
      </c>
      <c r="O125" s="15">
        <f>IF(A125&lt;=1,0,N124)</f>
        <v/>
      </c>
      <c r="P125" s="15">
        <f>IF(A125&lt;=1,0,O124)</f>
        <v/>
      </c>
      <c r="Q125" s="15">
        <f>IF(A125&lt;=1,0,P124)</f>
        <v/>
      </c>
      <c r="R125" s="15">
        <f>IF(A125&lt;=1,0,Q124)</f>
        <v/>
      </c>
      <c r="S125" s="15">
        <f>IF(A125&lt;=1,0,R124)</f>
        <v/>
      </c>
      <c r="T125" s="15">
        <f>IF(A125&lt;=1,0,S124)</f>
        <v/>
      </c>
      <c r="U125" s="15">
        <f>IF(A125&lt;=1,0,T124)</f>
        <v/>
      </c>
      <c r="V125" s="15">
        <f>IF(A125&lt;=1,0,U124)</f>
        <v/>
      </c>
      <c r="W125" s="15">
        <f>IF(A125&lt;=1,0,V124)</f>
        <v/>
      </c>
      <c r="X125" s="15">
        <f>IF(A125&lt;=1,0,W124)</f>
        <v/>
      </c>
      <c r="Y125" s="15">
        <f>IF(A125&lt;=1,0,X124)</f>
        <v/>
      </c>
      <c r="Z125" s="15">
        <f>IF(A125&lt;=1,0,Y124)</f>
        <v/>
      </c>
      <c r="AA125" s="15">
        <f>IF(A125&lt;=1,0,Z124)</f>
        <v/>
      </c>
    </row>
    <row r="126">
      <c r="A126" s="55" t="n">
        <v>120</v>
      </c>
      <c r="B126" s="15">
        <f>IF(A126&gt;Inputs!$C$62,"",INDEX(Trajectory!$G$23:$G$2000,A126))</f>
        <v/>
      </c>
      <c r="C126" s="15">
        <f>IF(B126="","",IF(A126&lt;=Inputs!$C$75,INDEX(Trajectory!$G$23:$G$2000,1),INDEX(Trajectory!$G$23:$G$2000,MAX(1,A126-Inputs!$C$75))))</f>
        <v/>
      </c>
      <c r="D126" s="15">
        <f>IF(C126="","",MAX(Inputs!$C$76,CEILING(C126/(Inputs!$C$42*Inputs!$C$92),1)))</f>
        <v/>
      </c>
      <c r="E126" s="15">
        <f>IF(D126="","",MAX(E125,D126))</f>
        <v/>
      </c>
      <c r="F126" s="15">
        <f>E126-E125</f>
        <v/>
      </c>
      <c r="G126" s="12">
        <f>IF(E126="",1,IF(E126=0,1,(E126-SUM(L126:AA126)+SUMPRODUCT(L126:AA126,$N$5:$N$20))/E126))</f>
        <v/>
      </c>
      <c r="H126" s="14">
        <f>IF(E126="",0,E126*G126)</f>
        <v/>
      </c>
      <c r="I126" s="15">
        <f>IF(H126="",0,H126*Inputs!$C$42)</f>
        <v/>
      </c>
      <c r="J126" s="14">
        <f>IF(E126="",1,1 + (Inputs!$C$95-1)*IF((1-Inputs!$C$94)=0,0,(1-G126)/(1-Inputs!$C$94)))</f>
        <v/>
      </c>
      <c r="K126" s="12">
        <f>IF(I126=0,"",B126/I126)</f>
        <v/>
      </c>
      <c r="L126" s="15">
        <f>IF(F126="",0,F126)</f>
        <v/>
      </c>
      <c r="M126" s="15">
        <f>IF(A126&lt;=1,0,L125)</f>
        <v/>
      </c>
      <c r="N126" s="15">
        <f>IF(A126&lt;=1,0,M125)</f>
        <v/>
      </c>
      <c r="O126" s="15">
        <f>IF(A126&lt;=1,0,N125)</f>
        <v/>
      </c>
      <c r="P126" s="15">
        <f>IF(A126&lt;=1,0,O125)</f>
        <v/>
      </c>
      <c r="Q126" s="15">
        <f>IF(A126&lt;=1,0,P125)</f>
        <v/>
      </c>
      <c r="R126" s="15">
        <f>IF(A126&lt;=1,0,Q125)</f>
        <v/>
      </c>
      <c r="S126" s="15">
        <f>IF(A126&lt;=1,0,R125)</f>
        <v/>
      </c>
      <c r="T126" s="15">
        <f>IF(A126&lt;=1,0,S125)</f>
        <v/>
      </c>
      <c r="U126" s="15">
        <f>IF(A126&lt;=1,0,T125)</f>
        <v/>
      </c>
      <c r="V126" s="15">
        <f>IF(A126&lt;=1,0,U125)</f>
        <v/>
      </c>
      <c r="W126" s="15">
        <f>IF(A126&lt;=1,0,V125)</f>
        <v/>
      </c>
      <c r="X126" s="15">
        <f>IF(A126&lt;=1,0,W125)</f>
        <v/>
      </c>
      <c r="Y126" s="15">
        <f>IF(A126&lt;=1,0,X125)</f>
        <v/>
      </c>
      <c r="Z126" s="15">
        <f>IF(A126&lt;=1,0,Y125)</f>
        <v/>
      </c>
      <c r="AA126" s="15">
        <f>IF(A126&lt;=1,0,Z125)</f>
        <v/>
      </c>
    </row>
    <row r="127">
      <c r="A127" s="55" t="n">
        <v>121</v>
      </c>
      <c r="B127" s="15">
        <f>IF(A127&gt;Inputs!$C$62,"",INDEX(Trajectory!$G$23:$G$2000,A127))</f>
        <v/>
      </c>
      <c r="C127" s="15">
        <f>IF(B127="","",IF(A127&lt;=Inputs!$C$75,INDEX(Trajectory!$G$23:$G$2000,1),INDEX(Trajectory!$G$23:$G$2000,MAX(1,A127-Inputs!$C$75))))</f>
        <v/>
      </c>
      <c r="D127" s="15">
        <f>IF(C127="","",MAX(Inputs!$C$76,CEILING(C127/(Inputs!$C$42*Inputs!$C$92),1)))</f>
        <v/>
      </c>
      <c r="E127" s="15">
        <f>IF(D127="","",MAX(E126,D127))</f>
        <v/>
      </c>
      <c r="F127" s="15">
        <f>E127-E126</f>
        <v/>
      </c>
      <c r="G127" s="12">
        <f>IF(E127="",1,IF(E127=0,1,(E127-SUM(L127:AA127)+SUMPRODUCT(L127:AA127,$N$5:$N$20))/E127))</f>
        <v/>
      </c>
      <c r="H127" s="14">
        <f>IF(E127="",0,E127*G127)</f>
        <v/>
      </c>
      <c r="I127" s="15">
        <f>IF(H127="",0,H127*Inputs!$C$42)</f>
        <v/>
      </c>
      <c r="J127" s="14">
        <f>IF(E127="",1,1 + (Inputs!$C$95-1)*IF((1-Inputs!$C$94)=0,0,(1-G127)/(1-Inputs!$C$94)))</f>
        <v/>
      </c>
      <c r="K127" s="12">
        <f>IF(I127=0,"",B127/I127)</f>
        <v/>
      </c>
      <c r="L127" s="15">
        <f>IF(F127="",0,F127)</f>
        <v/>
      </c>
      <c r="M127" s="15">
        <f>IF(A127&lt;=1,0,L126)</f>
        <v/>
      </c>
      <c r="N127" s="15">
        <f>IF(A127&lt;=1,0,M126)</f>
        <v/>
      </c>
      <c r="O127" s="15">
        <f>IF(A127&lt;=1,0,N126)</f>
        <v/>
      </c>
      <c r="P127" s="15">
        <f>IF(A127&lt;=1,0,O126)</f>
        <v/>
      </c>
      <c r="Q127" s="15">
        <f>IF(A127&lt;=1,0,P126)</f>
        <v/>
      </c>
      <c r="R127" s="15">
        <f>IF(A127&lt;=1,0,Q126)</f>
        <v/>
      </c>
      <c r="S127" s="15">
        <f>IF(A127&lt;=1,0,R126)</f>
        <v/>
      </c>
      <c r="T127" s="15">
        <f>IF(A127&lt;=1,0,S126)</f>
        <v/>
      </c>
      <c r="U127" s="15">
        <f>IF(A127&lt;=1,0,T126)</f>
        <v/>
      </c>
      <c r="V127" s="15">
        <f>IF(A127&lt;=1,0,U126)</f>
        <v/>
      </c>
      <c r="W127" s="15">
        <f>IF(A127&lt;=1,0,V126)</f>
        <v/>
      </c>
      <c r="X127" s="15">
        <f>IF(A127&lt;=1,0,W126)</f>
        <v/>
      </c>
      <c r="Y127" s="15">
        <f>IF(A127&lt;=1,0,X126)</f>
        <v/>
      </c>
      <c r="Z127" s="15">
        <f>IF(A127&lt;=1,0,Y126)</f>
        <v/>
      </c>
      <c r="AA127" s="15">
        <f>IF(A127&lt;=1,0,Z126)</f>
        <v/>
      </c>
    </row>
    <row r="128">
      <c r="A128" s="55" t="n">
        <v>122</v>
      </c>
      <c r="B128" s="15">
        <f>IF(A128&gt;Inputs!$C$62,"",INDEX(Trajectory!$G$23:$G$2000,A128))</f>
        <v/>
      </c>
      <c r="C128" s="15">
        <f>IF(B128="","",IF(A128&lt;=Inputs!$C$75,INDEX(Trajectory!$G$23:$G$2000,1),INDEX(Trajectory!$G$23:$G$2000,MAX(1,A128-Inputs!$C$75))))</f>
        <v/>
      </c>
      <c r="D128" s="15">
        <f>IF(C128="","",MAX(Inputs!$C$76,CEILING(C128/(Inputs!$C$42*Inputs!$C$92),1)))</f>
        <v/>
      </c>
      <c r="E128" s="15">
        <f>IF(D128="","",MAX(E127,D128))</f>
        <v/>
      </c>
      <c r="F128" s="15">
        <f>E128-E127</f>
        <v/>
      </c>
      <c r="G128" s="12">
        <f>IF(E128="",1,IF(E128=0,1,(E128-SUM(L128:AA128)+SUMPRODUCT(L128:AA128,$N$5:$N$20))/E128))</f>
        <v/>
      </c>
      <c r="H128" s="14">
        <f>IF(E128="",0,E128*G128)</f>
        <v/>
      </c>
      <c r="I128" s="15">
        <f>IF(H128="",0,H128*Inputs!$C$42)</f>
        <v/>
      </c>
      <c r="J128" s="14">
        <f>IF(E128="",1,1 + (Inputs!$C$95-1)*IF((1-Inputs!$C$94)=0,0,(1-G128)/(1-Inputs!$C$94)))</f>
        <v/>
      </c>
      <c r="K128" s="12">
        <f>IF(I128=0,"",B128/I128)</f>
        <v/>
      </c>
      <c r="L128" s="15">
        <f>IF(F128="",0,F128)</f>
        <v/>
      </c>
      <c r="M128" s="15">
        <f>IF(A128&lt;=1,0,L127)</f>
        <v/>
      </c>
      <c r="N128" s="15">
        <f>IF(A128&lt;=1,0,M127)</f>
        <v/>
      </c>
      <c r="O128" s="15">
        <f>IF(A128&lt;=1,0,N127)</f>
        <v/>
      </c>
      <c r="P128" s="15">
        <f>IF(A128&lt;=1,0,O127)</f>
        <v/>
      </c>
      <c r="Q128" s="15">
        <f>IF(A128&lt;=1,0,P127)</f>
        <v/>
      </c>
      <c r="R128" s="15">
        <f>IF(A128&lt;=1,0,Q127)</f>
        <v/>
      </c>
      <c r="S128" s="15">
        <f>IF(A128&lt;=1,0,R127)</f>
        <v/>
      </c>
      <c r="T128" s="15">
        <f>IF(A128&lt;=1,0,S127)</f>
        <v/>
      </c>
      <c r="U128" s="15">
        <f>IF(A128&lt;=1,0,T127)</f>
        <v/>
      </c>
      <c r="V128" s="15">
        <f>IF(A128&lt;=1,0,U127)</f>
        <v/>
      </c>
      <c r="W128" s="15">
        <f>IF(A128&lt;=1,0,V127)</f>
        <v/>
      </c>
      <c r="X128" s="15">
        <f>IF(A128&lt;=1,0,W127)</f>
        <v/>
      </c>
      <c r="Y128" s="15">
        <f>IF(A128&lt;=1,0,X127)</f>
        <v/>
      </c>
      <c r="Z128" s="15">
        <f>IF(A128&lt;=1,0,Y127)</f>
        <v/>
      </c>
      <c r="AA128" s="15">
        <f>IF(A128&lt;=1,0,Z127)</f>
        <v/>
      </c>
    </row>
    <row r="129">
      <c r="A129" s="55" t="n">
        <v>123</v>
      </c>
      <c r="B129" s="15">
        <f>IF(A129&gt;Inputs!$C$62,"",INDEX(Trajectory!$G$23:$G$2000,A129))</f>
        <v/>
      </c>
      <c r="C129" s="15">
        <f>IF(B129="","",IF(A129&lt;=Inputs!$C$75,INDEX(Trajectory!$G$23:$G$2000,1),INDEX(Trajectory!$G$23:$G$2000,MAX(1,A129-Inputs!$C$75))))</f>
        <v/>
      </c>
      <c r="D129" s="15">
        <f>IF(C129="","",MAX(Inputs!$C$76,CEILING(C129/(Inputs!$C$42*Inputs!$C$92),1)))</f>
        <v/>
      </c>
      <c r="E129" s="15">
        <f>IF(D129="","",MAX(E128,D129))</f>
        <v/>
      </c>
      <c r="F129" s="15">
        <f>E129-E128</f>
        <v/>
      </c>
      <c r="G129" s="12">
        <f>IF(E129="",1,IF(E129=0,1,(E129-SUM(L129:AA129)+SUMPRODUCT(L129:AA129,$N$5:$N$20))/E129))</f>
        <v/>
      </c>
      <c r="H129" s="14">
        <f>IF(E129="",0,E129*G129)</f>
        <v/>
      </c>
      <c r="I129" s="15">
        <f>IF(H129="",0,H129*Inputs!$C$42)</f>
        <v/>
      </c>
      <c r="J129" s="14">
        <f>IF(E129="",1,1 + (Inputs!$C$95-1)*IF((1-Inputs!$C$94)=0,0,(1-G129)/(1-Inputs!$C$94)))</f>
        <v/>
      </c>
      <c r="K129" s="12">
        <f>IF(I129=0,"",B129/I129)</f>
        <v/>
      </c>
      <c r="L129" s="15">
        <f>IF(F129="",0,F129)</f>
        <v/>
      </c>
      <c r="M129" s="15">
        <f>IF(A129&lt;=1,0,L128)</f>
        <v/>
      </c>
      <c r="N129" s="15">
        <f>IF(A129&lt;=1,0,M128)</f>
        <v/>
      </c>
      <c r="O129" s="15">
        <f>IF(A129&lt;=1,0,N128)</f>
        <v/>
      </c>
      <c r="P129" s="15">
        <f>IF(A129&lt;=1,0,O128)</f>
        <v/>
      </c>
      <c r="Q129" s="15">
        <f>IF(A129&lt;=1,0,P128)</f>
        <v/>
      </c>
      <c r="R129" s="15">
        <f>IF(A129&lt;=1,0,Q128)</f>
        <v/>
      </c>
      <c r="S129" s="15">
        <f>IF(A129&lt;=1,0,R128)</f>
        <v/>
      </c>
      <c r="T129" s="15">
        <f>IF(A129&lt;=1,0,S128)</f>
        <v/>
      </c>
      <c r="U129" s="15">
        <f>IF(A129&lt;=1,0,T128)</f>
        <v/>
      </c>
      <c r="V129" s="15">
        <f>IF(A129&lt;=1,0,U128)</f>
        <v/>
      </c>
      <c r="W129" s="15">
        <f>IF(A129&lt;=1,0,V128)</f>
        <v/>
      </c>
      <c r="X129" s="15">
        <f>IF(A129&lt;=1,0,W128)</f>
        <v/>
      </c>
      <c r="Y129" s="15">
        <f>IF(A129&lt;=1,0,X128)</f>
        <v/>
      </c>
      <c r="Z129" s="15">
        <f>IF(A129&lt;=1,0,Y128)</f>
        <v/>
      </c>
      <c r="AA129" s="15">
        <f>IF(A129&lt;=1,0,Z128)</f>
        <v/>
      </c>
    </row>
    <row r="130">
      <c r="A130" s="55" t="n">
        <v>124</v>
      </c>
      <c r="B130" s="15">
        <f>IF(A130&gt;Inputs!$C$62,"",INDEX(Trajectory!$G$23:$G$2000,A130))</f>
        <v/>
      </c>
      <c r="C130" s="15">
        <f>IF(B130="","",IF(A130&lt;=Inputs!$C$75,INDEX(Trajectory!$G$23:$G$2000,1),INDEX(Trajectory!$G$23:$G$2000,MAX(1,A130-Inputs!$C$75))))</f>
        <v/>
      </c>
      <c r="D130" s="15">
        <f>IF(C130="","",MAX(Inputs!$C$76,CEILING(C130/(Inputs!$C$42*Inputs!$C$92),1)))</f>
        <v/>
      </c>
      <c r="E130" s="15">
        <f>IF(D130="","",MAX(E129,D130))</f>
        <v/>
      </c>
      <c r="F130" s="15">
        <f>E130-E129</f>
        <v/>
      </c>
      <c r="G130" s="12">
        <f>IF(E130="",1,IF(E130=0,1,(E130-SUM(L130:AA130)+SUMPRODUCT(L130:AA130,$N$5:$N$20))/E130))</f>
        <v/>
      </c>
      <c r="H130" s="14">
        <f>IF(E130="",0,E130*G130)</f>
        <v/>
      </c>
      <c r="I130" s="15">
        <f>IF(H130="",0,H130*Inputs!$C$42)</f>
        <v/>
      </c>
      <c r="J130" s="14">
        <f>IF(E130="",1,1 + (Inputs!$C$95-1)*IF((1-Inputs!$C$94)=0,0,(1-G130)/(1-Inputs!$C$94)))</f>
        <v/>
      </c>
      <c r="K130" s="12">
        <f>IF(I130=0,"",B130/I130)</f>
        <v/>
      </c>
      <c r="L130" s="15">
        <f>IF(F130="",0,F130)</f>
        <v/>
      </c>
      <c r="M130" s="15">
        <f>IF(A130&lt;=1,0,L129)</f>
        <v/>
      </c>
      <c r="N130" s="15">
        <f>IF(A130&lt;=1,0,M129)</f>
        <v/>
      </c>
      <c r="O130" s="15">
        <f>IF(A130&lt;=1,0,N129)</f>
        <v/>
      </c>
      <c r="P130" s="15">
        <f>IF(A130&lt;=1,0,O129)</f>
        <v/>
      </c>
      <c r="Q130" s="15">
        <f>IF(A130&lt;=1,0,P129)</f>
        <v/>
      </c>
      <c r="R130" s="15">
        <f>IF(A130&lt;=1,0,Q129)</f>
        <v/>
      </c>
      <c r="S130" s="15">
        <f>IF(A130&lt;=1,0,R129)</f>
        <v/>
      </c>
      <c r="T130" s="15">
        <f>IF(A130&lt;=1,0,S129)</f>
        <v/>
      </c>
      <c r="U130" s="15">
        <f>IF(A130&lt;=1,0,T129)</f>
        <v/>
      </c>
      <c r="V130" s="15">
        <f>IF(A130&lt;=1,0,U129)</f>
        <v/>
      </c>
      <c r="W130" s="15">
        <f>IF(A130&lt;=1,0,V129)</f>
        <v/>
      </c>
      <c r="X130" s="15">
        <f>IF(A130&lt;=1,0,W129)</f>
        <v/>
      </c>
      <c r="Y130" s="15">
        <f>IF(A130&lt;=1,0,X129)</f>
        <v/>
      </c>
      <c r="Z130" s="15">
        <f>IF(A130&lt;=1,0,Y129)</f>
        <v/>
      </c>
      <c r="AA130" s="15">
        <f>IF(A130&lt;=1,0,Z129)</f>
        <v/>
      </c>
    </row>
    <row r="131">
      <c r="A131" s="55" t="n">
        <v>125</v>
      </c>
      <c r="B131" s="15">
        <f>IF(A131&gt;Inputs!$C$62,"",INDEX(Trajectory!$G$23:$G$2000,A131))</f>
        <v/>
      </c>
      <c r="C131" s="15">
        <f>IF(B131="","",IF(A131&lt;=Inputs!$C$75,INDEX(Trajectory!$G$23:$G$2000,1),INDEX(Trajectory!$G$23:$G$2000,MAX(1,A131-Inputs!$C$75))))</f>
        <v/>
      </c>
      <c r="D131" s="15">
        <f>IF(C131="","",MAX(Inputs!$C$76,CEILING(C131/(Inputs!$C$42*Inputs!$C$92),1)))</f>
        <v/>
      </c>
      <c r="E131" s="15">
        <f>IF(D131="","",MAX(E130,D131))</f>
        <v/>
      </c>
      <c r="F131" s="15">
        <f>E131-E130</f>
        <v/>
      </c>
      <c r="G131" s="12">
        <f>IF(E131="",1,IF(E131=0,1,(E131-SUM(L131:AA131)+SUMPRODUCT(L131:AA131,$N$5:$N$20))/E131))</f>
        <v/>
      </c>
      <c r="H131" s="14">
        <f>IF(E131="",0,E131*G131)</f>
        <v/>
      </c>
      <c r="I131" s="15">
        <f>IF(H131="",0,H131*Inputs!$C$42)</f>
        <v/>
      </c>
      <c r="J131" s="14">
        <f>IF(E131="",1,1 + (Inputs!$C$95-1)*IF((1-Inputs!$C$94)=0,0,(1-G131)/(1-Inputs!$C$94)))</f>
        <v/>
      </c>
      <c r="K131" s="12">
        <f>IF(I131=0,"",B131/I131)</f>
        <v/>
      </c>
      <c r="L131" s="15">
        <f>IF(F131="",0,F131)</f>
        <v/>
      </c>
      <c r="M131" s="15">
        <f>IF(A131&lt;=1,0,L130)</f>
        <v/>
      </c>
      <c r="N131" s="15">
        <f>IF(A131&lt;=1,0,M130)</f>
        <v/>
      </c>
      <c r="O131" s="15">
        <f>IF(A131&lt;=1,0,N130)</f>
        <v/>
      </c>
      <c r="P131" s="15">
        <f>IF(A131&lt;=1,0,O130)</f>
        <v/>
      </c>
      <c r="Q131" s="15">
        <f>IF(A131&lt;=1,0,P130)</f>
        <v/>
      </c>
      <c r="R131" s="15">
        <f>IF(A131&lt;=1,0,Q130)</f>
        <v/>
      </c>
      <c r="S131" s="15">
        <f>IF(A131&lt;=1,0,R130)</f>
        <v/>
      </c>
      <c r="T131" s="15">
        <f>IF(A131&lt;=1,0,S130)</f>
        <v/>
      </c>
      <c r="U131" s="15">
        <f>IF(A131&lt;=1,0,T130)</f>
        <v/>
      </c>
      <c r="V131" s="15">
        <f>IF(A131&lt;=1,0,U130)</f>
        <v/>
      </c>
      <c r="W131" s="15">
        <f>IF(A131&lt;=1,0,V130)</f>
        <v/>
      </c>
      <c r="X131" s="15">
        <f>IF(A131&lt;=1,0,W130)</f>
        <v/>
      </c>
      <c r="Y131" s="15">
        <f>IF(A131&lt;=1,0,X130)</f>
        <v/>
      </c>
      <c r="Z131" s="15">
        <f>IF(A131&lt;=1,0,Y130)</f>
        <v/>
      </c>
      <c r="AA131" s="15">
        <f>IF(A131&lt;=1,0,Z130)</f>
        <v/>
      </c>
    </row>
    <row r="132">
      <c r="A132" s="55" t="n">
        <v>126</v>
      </c>
      <c r="B132" s="15">
        <f>IF(A132&gt;Inputs!$C$62,"",INDEX(Trajectory!$G$23:$G$2000,A132))</f>
        <v/>
      </c>
      <c r="C132" s="15">
        <f>IF(B132="","",IF(A132&lt;=Inputs!$C$75,INDEX(Trajectory!$G$23:$G$2000,1),INDEX(Trajectory!$G$23:$G$2000,MAX(1,A132-Inputs!$C$75))))</f>
        <v/>
      </c>
      <c r="D132" s="15">
        <f>IF(C132="","",MAX(Inputs!$C$76,CEILING(C132/(Inputs!$C$42*Inputs!$C$92),1)))</f>
        <v/>
      </c>
      <c r="E132" s="15">
        <f>IF(D132="","",MAX(E131,D132))</f>
        <v/>
      </c>
      <c r="F132" s="15">
        <f>E132-E131</f>
        <v/>
      </c>
      <c r="G132" s="12">
        <f>IF(E132="",1,IF(E132=0,1,(E132-SUM(L132:AA132)+SUMPRODUCT(L132:AA132,$N$5:$N$20))/E132))</f>
        <v/>
      </c>
      <c r="H132" s="14">
        <f>IF(E132="",0,E132*G132)</f>
        <v/>
      </c>
      <c r="I132" s="15">
        <f>IF(H132="",0,H132*Inputs!$C$42)</f>
        <v/>
      </c>
      <c r="J132" s="14">
        <f>IF(E132="",1,1 + (Inputs!$C$95-1)*IF((1-Inputs!$C$94)=0,0,(1-G132)/(1-Inputs!$C$94)))</f>
        <v/>
      </c>
      <c r="K132" s="12">
        <f>IF(I132=0,"",B132/I132)</f>
        <v/>
      </c>
      <c r="L132" s="15">
        <f>IF(F132="",0,F132)</f>
        <v/>
      </c>
      <c r="M132" s="15">
        <f>IF(A132&lt;=1,0,L131)</f>
        <v/>
      </c>
      <c r="N132" s="15">
        <f>IF(A132&lt;=1,0,M131)</f>
        <v/>
      </c>
      <c r="O132" s="15">
        <f>IF(A132&lt;=1,0,N131)</f>
        <v/>
      </c>
      <c r="P132" s="15">
        <f>IF(A132&lt;=1,0,O131)</f>
        <v/>
      </c>
      <c r="Q132" s="15">
        <f>IF(A132&lt;=1,0,P131)</f>
        <v/>
      </c>
      <c r="R132" s="15">
        <f>IF(A132&lt;=1,0,Q131)</f>
        <v/>
      </c>
      <c r="S132" s="15">
        <f>IF(A132&lt;=1,0,R131)</f>
        <v/>
      </c>
      <c r="T132" s="15">
        <f>IF(A132&lt;=1,0,S131)</f>
        <v/>
      </c>
      <c r="U132" s="15">
        <f>IF(A132&lt;=1,0,T131)</f>
        <v/>
      </c>
      <c r="V132" s="15">
        <f>IF(A132&lt;=1,0,U131)</f>
        <v/>
      </c>
      <c r="W132" s="15">
        <f>IF(A132&lt;=1,0,V131)</f>
        <v/>
      </c>
      <c r="X132" s="15">
        <f>IF(A132&lt;=1,0,W131)</f>
        <v/>
      </c>
      <c r="Y132" s="15">
        <f>IF(A132&lt;=1,0,X131)</f>
        <v/>
      </c>
      <c r="Z132" s="15">
        <f>IF(A132&lt;=1,0,Y131)</f>
        <v/>
      </c>
      <c r="AA132" s="15">
        <f>IF(A132&lt;=1,0,Z131)</f>
        <v/>
      </c>
    </row>
    <row r="133">
      <c r="A133" s="55" t="n">
        <v>127</v>
      </c>
      <c r="B133" s="15">
        <f>IF(A133&gt;Inputs!$C$62,"",INDEX(Trajectory!$G$23:$G$2000,A133))</f>
        <v/>
      </c>
      <c r="C133" s="15">
        <f>IF(B133="","",IF(A133&lt;=Inputs!$C$75,INDEX(Trajectory!$G$23:$G$2000,1),INDEX(Trajectory!$G$23:$G$2000,MAX(1,A133-Inputs!$C$75))))</f>
        <v/>
      </c>
      <c r="D133" s="15">
        <f>IF(C133="","",MAX(Inputs!$C$76,CEILING(C133/(Inputs!$C$42*Inputs!$C$92),1)))</f>
        <v/>
      </c>
      <c r="E133" s="15">
        <f>IF(D133="","",MAX(E132,D133))</f>
        <v/>
      </c>
      <c r="F133" s="15">
        <f>E133-E132</f>
        <v/>
      </c>
      <c r="G133" s="12">
        <f>IF(E133="",1,IF(E133=0,1,(E133-SUM(L133:AA133)+SUMPRODUCT(L133:AA133,$N$5:$N$20))/E133))</f>
        <v/>
      </c>
      <c r="H133" s="14">
        <f>IF(E133="",0,E133*G133)</f>
        <v/>
      </c>
      <c r="I133" s="15">
        <f>IF(H133="",0,H133*Inputs!$C$42)</f>
        <v/>
      </c>
      <c r="J133" s="14">
        <f>IF(E133="",1,1 + (Inputs!$C$95-1)*IF((1-Inputs!$C$94)=0,0,(1-G133)/(1-Inputs!$C$94)))</f>
        <v/>
      </c>
      <c r="K133" s="12">
        <f>IF(I133=0,"",B133/I133)</f>
        <v/>
      </c>
      <c r="L133" s="15">
        <f>IF(F133="",0,F133)</f>
        <v/>
      </c>
      <c r="M133" s="15">
        <f>IF(A133&lt;=1,0,L132)</f>
        <v/>
      </c>
      <c r="N133" s="15">
        <f>IF(A133&lt;=1,0,M132)</f>
        <v/>
      </c>
      <c r="O133" s="15">
        <f>IF(A133&lt;=1,0,N132)</f>
        <v/>
      </c>
      <c r="P133" s="15">
        <f>IF(A133&lt;=1,0,O132)</f>
        <v/>
      </c>
      <c r="Q133" s="15">
        <f>IF(A133&lt;=1,0,P132)</f>
        <v/>
      </c>
      <c r="R133" s="15">
        <f>IF(A133&lt;=1,0,Q132)</f>
        <v/>
      </c>
      <c r="S133" s="15">
        <f>IF(A133&lt;=1,0,R132)</f>
        <v/>
      </c>
      <c r="T133" s="15">
        <f>IF(A133&lt;=1,0,S132)</f>
        <v/>
      </c>
      <c r="U133" s="15">
        <f>IF(A133&lt;=1,0,T132)</f>
        <v/>
      </c>
      <c r="V133" s="15">
        <f>IF(A133&lt;=1,0,U132)</f>
        <v/>
      </c>
      <c r="W133" s="15">
        <f>IF(A133&lt;=1,0,V132)</f>
        <v/>
      </c>
      <c r="X133" s="15">
        <f>IF(A133&lt;=1,0,W132)</f>
        <v/>
      </c>
      <c r="Y133" s="15">
        <f>IF(A133&lt;=1,0,X132)</f>
        <v/>
      </c>
      <c r="Z133" s="15">
        <f>IF(A133&lt;=1,0,Y132)</f>
        <v/>
      </c>
      <c r="AA133" s="15">
        <f>IF(A133&lt;=1,0,Z132)</f>
        <v/>
      </c>
    </row>
    <row r="134">
      <c r="A134" s="55" t="n">
        <v>128</v>
      </c>
      <c r="B134" s="15">
        <f>IF(A134&gt;Inputs!$C$62,"",INDEX(Trajectory!$G$23:$G$2000,A134))</f>
        <v/>
      </c>
      <c r="C134" s="15">
        <f>IF(B134="","",IF(A134&lt;=Inputs!$C$75,INDEX(Trajectory!$G$23:$G$2000,1),INDEX(Trajectory!$G$23:$G$2000,MAX(1,A134-Inputs!$C$75))))</f>
        <v/>
      </c>
      <c r="D134" s="15">
        <f>IF(C134="","",MAX(Inputs!$C$76,CEILING(C134/(Inputs!$C$42*Inputs!$C$92),1)))</f>
        <v/>
      </c>
      <c r="E134" s="15">
        <f>IF(D134="","",MAX(E133,D134))</f>
        <v/>
      </c>
      <c r="F134" s="15">
        <f>E134-E133</f>
        <v/>
      </c>
      <c r="G134" s="12">
        <f>IF(E134="",1,IF(E134=0,1,(E134-SUM(L134:AA134)+SUMPRODUCT(L134:AA134,$N$5:$N$20))/E134))</f>
        <v/>
      </c>
      <c r="H134" s="14">
        <f>IF(E134="",0,E134*G134)</f>
        <v/>
      </c>
      <c r="I134" s="15">
        <f>IF(H134="",0,H134*Inputs!$C$42)</f>
        <v/>
      </c>
      <c r="J134" s="14">
        <f>IF(E134="",1,1 + (Inputs!$C$95-1)*IF((1-Inputs!$C$94)=0,0,(1-G134)/(1-Inputs!$C$94)))</f>
        <v/>
      </c>
      <c r="K134" s="12">
        <f>IF(I134=0,"",B134/I134)</f>
        <v/>
      </c>
      <c r="L134" s="15">
        <f>IF(F134="",0,F134)</f>
        <v/>
      </c>
      <c r="M134" s="15">
        <f>IF(A134&lt;=1,0,L133)</f>
        <v/>
      </c>
      <c r="N134" s="15">
        <f>IF(A134&lt;=1,0,M133)</f>
        <v/>
      </c>
      <c r="O134" s="15">
        <f>IF(A134&lt;=1,0,N133)</f>
        <v/>
      </c>
      <c r="P134" s="15">
        <f>IF(A134&lt;=1,0,O133)</f>
        <v/>
      </c>
      <c r="Q134" s="15">
        <f>IF(A134&lt;=1,0,P133)</f>
        <v/>
      </c>
      <c r="R134" s="15">
        <f>IF(A134&lt;=1,0,Q133)</f>
        <v/>
      </c>
      <c r="S134" s="15">
        <f>IF(A134&lt;=1,0,R133)</f>
        <v/>
      </c>
      <c r="T134" s="15">
        <f>IF(A134&lt;=1,0,S133)</f>
        <v/>
      </c>
      <c r="U134" s="15">
        <f>IF(A134&lt;=1,0,T133)</f>
        <v/>
      </c>
      <c r="V134" s="15">
        <f>IF(A134&lt;=1,0,U133)</f>
        <v/>
      </c>
      <c r="W134" s="15">
        <f>IF(A134&lt;=1,0,V133)</f>
        <v/>
      </c>
      <c r="X134" s="15">
        <f>IF(A134&lt;=1,0,W133)</f>
        <v/>
      </c>
      <c r="Y134" s="15">
        <f>IF(A134&lt;=1,0,X133)</f>
        <v/>
      </c>
      <c r="Z134" s="15">
        <f>IF(A134&lt;=1,0,Y133)</f>
        <v/>
      </c>
      <c r="AA134" s="15">
        <f>IF(A134&lt;=1,0,Z133)</f>
        <v/>
      </c>
    </row>
    <row r="135">
      <c r="A135" s="55" t="n">
        <v>129</v>
      </c>
      <c r="B135" s="15">
        <f>IF(A135&gt;Inputs!$C$62,"",INDEX(Trajectory!$G$23:$G$2000,A135))</f>
        <v/>
      </c>
      <c r="C135" s="15">
        <f>IF(B135="","",IF(A135&lt;=Inputs!$C$75,INDEX(Trajectory!$G$23:$G$2000,1),INDEX(Trajectory!$G$23:$G$2000,MAX(1,A135-Inputs!$C$75))))</f>
        <v/>
      </c>
      <c r="D135" s="15">
        <f>IF(C135="","",MAX(Inputs!$C$76,CEILING(C135/(Inputs!$C$42*Inputs!$C$92),1)))</f>
        <v/>
      </c>
      <c r="E135" s="15">
        <f>IF(D135="","",MAX(E134,D135))</f>
        <v/>
      </c>
      <c r="F135" s="15">
        <f>E135-E134</f>
        <v/>
      </c>
      <c r="G135" s="12">
        <f>IF(E135="",1,IF(E135=0,1,(E135-SUM(L135:AA135)+SUMPRODUCT(L135:AA135,$N$5:$N$20))/E135))</f>
        <v/>
      </c>
      <c r="H135" s="14">
        <f>IF(E135="",0,E135*G135)</f>
        <v/>
      </c>
      <c r="I135" s="15">
        <f>IF(H135="",0,H135*Inputs!$C$42)</f>
        <v/>
      </c>
      <c r="J135" s="14">
        <f>IF(E135="",1,1 + (Inputs!$C$95-1)*IF((1-Inputs!$C$94)=0,0,(1-G135)/(1-Inputs!$C$94)))</f>
        <v/>
      </c>
      <c r="K135" s="12">
        <f>IF(I135=0,"",B135/I135)</f>
        <v/>
      </c>
      <c r="L135" s="15">
        <f>IF(F135="",0,F135)</f>
        <v/>
      </c>
      <c r="M135" s="15">
        <f>IF(A135&lt;=1,0,L134)</f>
        <v/>
      </c>
      <c r="N135" s="15">
        <f>IF(A135&lt;=1,0,M134)</f>
        <v/>
      </c>
      <c r="O135" s="15">
        <f>IF(A135&lt;=1,0,N134)</f>
        <v/>
      </c>
      <c r="P135" s="15">
        <f>IF(A135&lt;=1,0,O134)</f>
        <v/>
      </c>
      <c r="Q135" s="15">
        <f>IF(A135&lt;=1,0,P134)</f>
        <v/>
      </c>
      <c r="R135" s="15">
        <f>IF(A135&lt;=1,0,Q134)</f>
        <v/>
      </c>
      <c r="S135" s="15">
        <f>IF(A135&lt;=1,0,R134)</f>
        <v/>
      </c>
      <c r="T135" s="15">
        <f>IF(A135&lt;=1,0,S134)</f>
        <v/>
      </c>
      <c r="U135" s="15">
        <f>IF(A135&lt;=1,0,T134)</f>
        <v/>
      </c>
      <c r="V135" s="15">
        <f>IF(A135&lt;=1,0,U134)</f>
        <v/>
      </c>
      <c r="W135" s="15">
        <f>IF(A135&lt;=1,0,V134)</f>
        <v/>
      </c>
      <c r="X135" s="15">
        <f>IF(A135&lt;=1,0,W134)</f>
        <v/>
      </c>
      <c r="Y135" s="15">
        <f>IF(A135&lt;=1,0,X134)</f>
        <v/>
      </c>
      <c r="Z135" s="15">
        <f>IF(A135&lt;=1,0,Y134)</f>
        <v/>
      </c>
      <c r="AA135" s="15">
        <f>IF(A135&lt;=1,0,Z134)</f>
        <v/>
      </c>
    </row>
    <row r="136">
      <c r="A136" s="55" t="n">
        <v>130</v>
      </c>
      <c r="B136" s="15">
        <f>IF(A136&gt;Inputs!$C$62,"",INDEX(Trajectory!$G$23:$G$2000,A136))</f>
        <v/>
      </c>
      <c r="C136" s="15">
        <f>IF(B136="","",IF(A136&lt;=Inputs!$C$75,INDEX(Trajectory!$G$23:$G$2000,1),INDEX(Trajectory!$G$23:$G$2000,MAX(1,A136-Inputs!$C$75))))</f>
        <v/>
      </c>
      <c r="D136" s="15">
        <f>IF(C136="","",MAX(Inputs!$C$76,CEILING(C136/(Inputs!$C$42*Inputs!$C$92),1)))</f>
        <v/>
      </c>
      <c r="E136" s="15">
        <f>IF(D136="","",MAX(E135,D136))</f>
        <v/>
      </c>
      <c r="F136" s="15">
        <f>E136-E135</f>
        <v/>
      </c>
      <c r="G136" s="12">
        <f>IF(E136="",1,IF(E136=0,1,(E136-SUM(L136:AA136)+SUMPRODUCT(L136:AA136,$N$5:$N$20))/E136))</f>
        <v/>
      </c>
      <c r="H136" s="14">
        <f>IF(E136="",0,E136*G136)</f>
        <v/>
      </c>
      <c r="I136" s="15">
        <f>IF(H136="",0,H136*Inputs!$C$42)</f>
        <v/>
      </c>
      <c r="J136" s="14">
        <f>IF(E136="",1,1 + (Inputs!$C$95-1)*IF((1-Inputs!$C$94)=0,0,(1-G136)/(1-Inputs!$C$94)))</f>
        <v/>
      </c>
      <c r="K136" s="12">
        <f>IF(I136=0,"",B136/I136)</f>
        <v/>
      </c>
      <c r="L136" s="15">
        <f>IF(F136="",0,F136)</f>
        <v/>
      </c>
      <c r="M136" s="15">
        <f>IF(A136&lt;=1,0,L135)</f>
        <v/>
      </c>
      <c r="N136" s="15">
        <f>IF(A136&lt;=1,0,M135)</f>
        <v/>
      </c>
      <c r="O136" s="15">
        <f>IF(A136&lt;=1,0,N135)</f>
        <v/>
      </c>
      <c r="P136" s="15">
        <f>IF(A136&lt;=1,0,O135)</f>
        <v/>
      </c>
      <c r="Q136" s="15">
        <f>IF(A136&lt;=1,0,P135)</f>
        <v/>
      </c>
      <c r="R136" s="15">
        <f>IF(A136&lt;=1,0,Q135)</f>
        <v/>
      </c>
      <c r="S136" s="15">
        <f>IF(A136&lt;=1,0,R135)</f>
        <v/>
      </c>
      <c r="T136" s="15">
        <f>IF(A136&lt;=1,0,S135)</f>
        <v/>
      </c>
      <c r="U136" s="15">
        <f>IF(A136&lt;=1,0,T135)</f>
        <v/>
      </c>
      <c r="V136" s="15">
        <f>IF(A136&lt;=1,0,U135)</f>
        <v/>
      </c>
      <c r="W136" s="15">
        <f>IF(A136&lt;=1,0,V135)</f>
        <v/>
      </c>
      <c r="X136" s="15">
        <f>IF(A136&lt;=1,0,W135)</f>
        <v/>
      </c>
      <c r="Y136" s="15">
        <f>IF(A136&lt;=1,0,X135)</f>
        <v/>
      </c>
      <c r="Z136" s="15">
        <f>IF(A136&lt;=1,0,Y135)</f>
        <v/>
      </c>
      <c r="AA136" s="15">
        <f>IF(A136&lt;=1,0,Z135)</f>
        <v/>
      </c>
    </row>
    <row r="137">
      <c r="A137" s="55" t="n">
        <v>131</v>
      </c>
      <c r="B137" s="15">
        <f>IF(A137&gt;Inputs!$C$62,"",INDEX(Trajectory!$G$23:$G$2000,A137))</f>
        <v/>
      </c>
      <c r="C137" s="15">
        <f>IF(B137="","",IF(A137&lt;=Inputs!$C$75,INDEX(Trajectory!$G$23:$G$2000,1),INDEX(Trajectory!$G$23:$G$2000,MAX(1,A137-Inputs!$C$75))))</f>
        <v/>
      </c>
      <c r="D137" s="15">
        <f>IF(C137="","",MAX(Inputs!$C$76,CEILING(C137/(Inputs!$C$42*Inputs!$C$92),1)))</f>
        <v/>
      </c>
      <c r="E137" s="15">
        <f>IF(D137="","",MAX(E136,D137))</f>
        <v/>
      </c>
      <c r="F137" s="15">
        <f>E137-E136</f>
        <v/>
      </c>
      <c r="G137" s="12">
        <f>IF(E137="",1,IF(E137=0,1,(E137-SUM(L137:AA137)+SUMPRODUCT(L137:AA137,$N$5:$N$20))/E137))</f>
        <v/>
      </c>
      <c r="H137" s="14">
        <f>IF(E137="",0,E137*G137)</f>
        <v/>
      </c>
      <c r="I137" s="15">
        <f>IF(H137="",0,H137*Inputs!$C$42)</f>
        <v/>
      </c>
      <c r="J137" s="14">
        <f>IF(E137="",1,1 + (Inputs!$C$95-1)*IF((1-Inputs!$C$94)=0,0,(1-G137)/(1-Inputs!$C$94)))</f>
        <v/>
      </c>
      <c r="K137" s="12">
        <f>IF(I137=0,"",B137/I137)</f>
        <v/>
      </c>
      <c r="L137" s="15">
        <f>IF(F137="",0,F137)</f>
        <v/>
      </c>
      <c r="M137" s="15">
        <f>IF(A137&lt;=1,0,L136)</f>
        <v/>
      </c>
      <c r="N137" s="15">
        <f>IF(A137&lt;=1,0,M136)</f>
        <v/>
      </c>
      <c r="O137" s="15">
        <f>IF(A137&lt;=1,0,N136)</f>
        <v/>
      </c>
      <c r="P137" s="15">
        <f>IF(A137&lt;=1,0,O136)</f>
        <v/>
      </c>
      <c r="Q137" s="15">
        <f>IF(A137&lt;=1,0,P136)</f>
        <v/>
      </c>
      <c r="R137" s="15">
        <f>IF(A137&lt;=1,0,Q136)</f>
        <v/>
      </c>
      <c r="S137" s="15">
        <f>IF(A137&lt;=1,0,R136)</f>
        <v/>
      </c>
      <c r="T137" s="15">
        <f>IF(A137&lt;=1,0,S136)</f>
        <v/>
      </c>
      <c r="U137" s="15">
        <f>IF(A137&lt;=1,0,T136)</f>
        <v/>
      </c>
      <c r="V137" s="15">
        <f>IF(A137&lt;=1,0,U136)</f>
        <v/>
      </c>
      <c r="W137" s="15">
        <f>IF(A137&lt;=1,0,V136)</f>
        <v/>
      </c>
      <c r="X137" s="15">
        <f>IF(A137&lt;=1,0,W136)</f>
        <v/>
      </c>
      <c r="Y137" s="15">
        <f>IF(A137&lt;=1,0,X136)</f>
        <v/>
      </c>
      <c r="Z137" s="15">
        <f>IF(A137&lt;=1,0,Y136)</f>
        <v/>
      </c>
      <c r="AA137" s="15">
        <f>IF(A137&lt;=1,0,Z136)</f>
        <v/>
      </c>
    </row>
    <row r="138">
      <c r="A138" s="55" t="n">
        <v>132</v>
      </c>
      <c r="B138" s="15">
        <f>IF(A138&gt;Inputs!$C$62,"",INDEX(Trajectory!$G$23:$G$2000,A138))</f>
        <v/>
      </c>
      <c r="C138" s="15">
        <f>IF(B138="","",IF(A138&lt;=Inputs!$C$75,INDEX(Trajectory!$G$23:$G$2000,1),INDEX(Trajectory!$G$23:$G$2000,MAX(1,A138-Inputs!$C$75))))</f>
        <v/>
      </c>
      <c r="D138" s="15">
        <f>IF(C138="","",MAX(Inputs!$C$76,CEILING(C138/(Inputs!$C$42*Inputs!$C$92),1)))</f>
        <v/>
      </c>
      <c r="E138" s="15">
        <f>IF(D138="","",MAX(E137,D138))</f>
        <v/>
      </c>
      <c r="F138" s="15">
        <f>E138-E137</f>
        <v/>
      </c>
      <c r="G138" s="12">
        <f>IF(E138="",1,IF(E138=0,1,(E138-SUM(L138:AA138)+SUMPRODUCT(L138:AA138,$N$5:$N$20))/E138))</f>
        <v/>
      </c>
      <c r="H138" s="14">
        <f>IF(E138="",0,E138*G138)</f>
        <v/>
      </c>
      <c r="I138" s="15">
        <f>IF(H138="",0,H138*Inputs!$C$42)</f>
        <v/>
      </c>
      <c r="J138" s="14">
        <f>IF(E138="",1,1 + (Inputs!$C$95-1)*IF((1-Inputs!$C$94)=0,0,(1-G138)/(1-Inputs!$C$94)))</f>
        <v/>
      </c>
      <c r="K138" s="12">
        <f>IF(I138=0,"",B138/I138)</f>
        <v/>
      </c>
      <c r="L138" s="15">
        <f>IF(F138="",0,F138)</f>
        <v/>
      </c>
      <c r="M138" s="15">
        <f>IF(A138&lt;=1,0,L137)</f>
        <v/>
      </c>
      <c r="N138" s="15">
        <f>IF(A138&lt;=1,0,M137)</f>
        <v/>
      </c>
      <c r="O138" s="15">
        <f>IF(A138&lt;=1,0,N137)</f>
        <v/>
      </c>
      <c r="P138" s="15">
        <f>IF(A138&lt;=1,0,O137)</f>
        <v/>
      </c>
      <c r="Q138" s="15">
        <f>IF(A138&lt;=1,0,P137)</f>
        <v/>
      </c>
      <c r="R138" s="15">
        <f>IF(A138&lt;=1,0,Q137)</f>
        <v/>
      </c>
      <c r="S138" s="15">
        <f>IF(A138&lt;=1,0,R137)</f>
        <v/>
      </c>
      <c r="T138" s="15">
        <f>IF(A138&lt;=1,0,S137)</f>
        <v/>
      </c>
      <c r="U138" s="15">
        <f>IF(A138&lt;=1,0,T137)</f>
        <v/>
      </c>
      <c r="V138" s="15">
        <f>IF(A138&lt;=1,0,U137)</f>
        <v/>
      </c>
      <c r="W138" s="15">
        <f>IF(A138&lt;=1,0,V137)</f>
        <v/>
      </c>
      <c r="X138" s="15">
        <f>IF(A138&lt;=1,0,W137)</f>
        <v/>
      </c>
      <c r="Y138" s="15">
        <f>IF(A138&lt;=1,0,X137)</f>
        <v/>
      </c>
      <c r="Z138" s="15">
        <f>IF(A138&lt;=1,0,Y137)</f>
        <v/>
      </c>
      <c r="AA138" s="15">
        <f>IF(A138&lt;=1,0,Z137)</f>
        <v/>
      </c>
    </row>
    <row r="139">
      <c r="A139" s="55" t="n">
        <v>133</v>
      </c>
      <c r="B139" s="15">
        <f>IF(A139&gt;Inputs!$C$62,"",INDEX(Trajectory!$G$23:$G$2000,A139))</f>
        <v/>
      </c>
      <c r="C139" s="15">
        <f>IF(B139="","",IF(A139&lt;=Inputs!$C$75,INDEX(Trajectory!$G$23:$G$2000,1),INDEX(Trajectory!$G$23:$G$2000,MAX(1,A139-Inputs!$C$75))))</f>
        <v/>
      </c>
      <c r="D139" s="15">
        <f>IF(C139="","",MAX(Inputs!$C$76,CEILING(C139/(Inputs!$C$42*Inputs!$C$92),1)))</f>
        <v/>
      </c>
      <c r="E139" s="15">
        <f>IF(D139="","",MAX(E138,D139))</f>
        <v/>
      </c>
      <c r="F139" s="15">
        <f>E139-E138</f>
        <v/>
      </c>
      <c r="G139" s="12">
        <f>IF(E139="",1,IF(E139=0,1,(E139-SUM(L139:AA139)+SUMPRODUCT(L139:AA139,$N$5:$N$20))/E139))</f>
        <v/>
      </c>
      <c r="H139" s="14">
        <f>IF(E139="",0,E139*G139)</f>
        <v/>
      </c>
      <c r="I139" s="15">
        <f>IF(H139="",0,H139*Inputs!$C$42)</f>
        <v/>
      </c>
      <c r="J139" s="14">
        <f>IF(E139="",1,1 + (Inputs!$C$95-1)*IF((1-Inputs!$C$94)=0,0,(1-G139)/(1-Inputs!$C$94)))</f>
        <v/>
      </c>
      <c r="K139" s="12">
        <f>IF(I139=0,"",B139/I139)</f>
        <v/>
      </c>
      <c r="L139" s="15">
        <f>IF(F139="",0,F139)</f>
        <v/>
      </c>
      <c r="M139" s="15">
        <f>IF(A139&lt;=1,0,L138)</f>
        <v/>
      </c>
      <c r="N139" s="15">
        <f>IF(A139&lt;=1,0,M138)</f>
        <v/>
      </c>
      <c r="O139" s="15">
        <f>IF(A139&lt;=1,0,N138)</f>
        <v/>
      </c>
      <c r="P139" s="15">
        <f>IF(A139&lt;=1,0,O138)</f>
        <v/>
      </c>
      <c r="Q139" s="15">
        <f>IF(A139&lt;=1,0,P138)</f>
        <v/>
      </c>
      <c r="R139" s="15">
        <f>IF(A139&lt;=1,0,Q138)</f>
        <v/>
      </c>
      <c r="S139" s="15">
        <f>IF(A139&lt;=1,0,R138)</f>
        <v/>
      </c>
      <c r="T139" s="15">
        <f>IF(A139&lt;=1,0,S138)</f>
        <v/>
      </c>
      <c r="U139" s="15">
        <f>IF(A139&lt;=1,0,T138)</f>
        <v/>
      </c>
      <c r="V139" s="15">
        <f>IF(A139&lt;=1,0,U138)</f>
        <v/>
      </c>
      <c r="W139" s="15">
        <f>IF(A139&lt;=1,0,V138)</f>
        <v/>
      </c>
      <c r="X139" s="15">
        <f>IF(A139&lt;=1,0,W138)</f>
        <v/>
      </c>
      <c r="Y139" s="15">
        <f>IF(A139&lt;=1,0,X138)</f>
        <v/>
      </c>
      <c r="Z139" s="15">
        <f>IF(A139&lt;=1,0,Y138)</f>
        <v/>
      </c>
      <c r="AA139" s="15">
        <f>IF(A139&lt;=1,0,Z138)</f>
        <v/>
      </c>
    </row>
    <row r="140">
      <c r="A140" s="55" t="n">
        <v>134</v>
      </c>
      <c r="B140" s="15">
        <f>IF(A140&gt;Inputs!$C$62,"",INDEX(Trajectory!$G$23:$G$2000,A140))</f>
        <v/>
      </c>
      <c r="C140" s="15">
        <f>IF(B140="","",IF(A140&lt;=Inputs!$C$75,INDEX(Trajectory!$G$23:$G$2000,1),INDEX(Trajectory!$G$23:$G$2000,MAX(1,A140-Inputs!$C$75))))</f>
        <v/>
      </c>
      <c r="D140" s="15">
        <f>IF(C140="","",MAX(Inputs!$C$76,CEILING(C140/(Inputs!$C$42*Inputs!$C$92),1)))</f>
        <v/>
      </c>
      <c r="E140" s="15">
        <f>IF(D140="","",MAX(E139,D140))</f>
        <v/>
      </c>
      <c r="F140" s="15">
        <f>E140-E139</f>
        <v/>
      </c>
      <c r="G140" s="12">
        <f>IF(E140="",1,IF(E140=0,1,(E140-SUM(L140:AA140)+SUMPRODUCT(L140:AA140,$N$5:$N$20))/E140))</f>
        <v/>
      </c>
      <c r="H140" s="14">
        <f>IF(E140="",0,E140*G140)</f>
        <v/>
      </c>
      <c r="I140" s="15">
        <f>IF(H140="",0,H140*Inputs!$C$42)</f>
        <v/>
      </c>
      <c r="J140" s="14">
        <f>IF(E140="",1,1 + (Inputs!$C$95-1)*IF((1-Inputs!$C$94)=0,0,(1-G140)/(1-Inputs!$C$94)))</f>
        <v/>
      </c>
      <c r="K140" s="12">
        <f>IF(I140=0,"",B140/I140)</f>
        <v/>
      </c>
      <c r="L140" s="15">
        <f>IF(F140="",0,F140)</f>
        <v/>
      </c>
      <c r="M140" s="15">
        <f>IF(A140&lt;=1,0,L139)</f>
        <v/>
      </c>
      <c r="N140" s="15">
        <f>IF(A140&lt;=1,0,M139)</f>
        <v/>
      </c>
      <c r="O140" s="15">
        <f>IF(A140&lt;=1,0,N139)</f>
        <v/>
      </c>
      <c r="P140" s="15">
        <f>IF(A140&lt;=1,0,O139)</f>
        <v/>
      </c>
      <c r="Q140" s="15">
        <f>IF(A140&lt;=1,0,P139)</f>
        <v/>
      </c>
      <c r="R140" s="15">
        <f>IF(A140&lt;=1,0,Q139)</f>
        <v/>
      </c>
      <c r="S140" s="15">
        <f>IF(A140&lt;=1,0,R139)</f>
        <v/>
      </c>
      <c r="T140" s="15">
        <f>IF(A140&lt;=1,0,S139)</f>
        <v/>
      </c>
      <c r="U140" s="15">
        <f>IF(A140&lt;=1,0,T139)</f>
        <v/>
      </c>
      <c r="V140" s="15">
        <f>IF(A140&lt;=1,0,U139)</f>
        <v/>
      </c>
      <c r="W140" s="15">
        <f>IF(A140&lt;=1,0,V139)</f>
        <v/>
      </c>
      <c r="X140" s="15">
        <f>IF(A140&lt;=1,0,W139)</f>
        <v/>
      </c>
      <c r="Y140" s="15">
        <f>IF(A140&lt;=1,0,X139)</f>
        <v/>
      </c>
      <c r="Z140" s="15">
        <f>IF(A140&lt;=1,0,Y139)</f>
        <v/>
      </c>
      <c r="AA140" s="15">
        <f>IF(A140&lt;=1,0,Z139)</f>
        <v/>
      </c>
    </row>
    <row r="141">
      <c r="A141" s="55" t="n">
        <v>135</v>
      </c>
      <c r="B141" s="15">
        <f>IF(A141&gt;Inputs!$C$62,"",INDEX(Trajectory!$G$23:$G$2000,A141))</f>
        <v/>
      </c>
      <c r="C141" s="15">
        <f>IF(B141="","",IF(A141&lt;=Inputs!$C$75,INDEX(Trajectory!$G$23:$G$2000,1),INDEX(Trajectory!$G$23:$G$2000,MAX(1,A141-Inputs!$C$75))))</f>
        <v/>
      </c>
      <c r="D141" s="15">
        <f>IF(C141="","",MAX(Inputs!$C$76,CEILING(C141/(Inputs!$C$42*Inputs!$C$92),1)))</f>
        <v/>
      </c>
      <c r="E141" s="15">
        <f>IF(D141="","",MAX(E140,D141))</f>
        <v/>
      </c>
      <c r="F141" s="15">
        <f>E141-E140</f>
        <v/>
      </c>
      <c r="G141" s="12">
        <f>IF(E141="",1,IF(E141=0,1,(E141-SUM(L141:AA141)+SUMPRODUCT(L141:AA141,$N$5:$N$20))/E141))</f>
        <v/>
      </c>
      <c r="H141" s="14">
        <f>IF(E141="",0,E141*G141)</f>
        <v/>
      </c>
      <c r="I141" s="15">
        <f>IF(H141="",0,H141*Inputs!$C$42)</f>
        <v/>
      </c>
      <c r="J141" s="14">
        <f>IF(E141="",1,1 + (Inputs!$C$95-1)*IF((1-Inputs!$C$94)=0,0,(1-G141)/(1-Inputs!$C$94)))</f>
        <v/>
      </c>
      <c r="K141" s="12">
        <f>IF(I141=0,"",B141/I141)</f>
        <v/>
      </c>
      <c r="L141" s="15">
        <f>IF(F141="",0,F141)</f>
        <v/>
      </c>
      <c r="M141" s="15">
        <f>IF(A141&lt;=1,0,L140)</f>
        <v/>
      </c>
      <c r="N141" s="15">
        <f>IF(A141&lt;=1,0,M140)</f>
        <v/>
      </c>
      <c r="O141" s="15">
        <f>IF(A141&lt;=1,0,N140)</f>
        <v/>
      </c>
      <c r="P141" s="15">
        <f>IF(A141&lt;=1,0,O140)</f>
        <v/>
      </c>
      <c r="Q141" s="15">
        <f>IF(A141&lt;=1,0,P140)</f>
        <v/>
      </c>
      <c r="R141" s="15">
        <f>IF(A141&lt;=1,0,Q140)</f>
        <v/>
      </c>
      <c r="S141" s="15">
        <f>IF(A141&lt;=1,0,R140)</f>
        <v/>
      </c>
      <c r="T141" s="15">
        <f>IF(A141&lt;=1,0,S140)</f>
        <v/>
      </c>
      <c r="U141" s="15">
        <f>IF(A141&lt;=1,0,T140)</f>
        <v/>
      </c>
      <c r="V141" s="15">
        <f>IF(A141&lt;=1,0,U140)</f>
        <v/>
      </c>
      <c r="W141" s="15">
        <f>IF(A141&lt;=1,0,V140)</f>
        <v/>
      </c>
      <c r="X141" s="15">
        <f>IF(A141&lt;=1,0,W140)</f>
        <v/>
      </c>
      <c r="Y141" s="15">
        <f>IF(A141&lt;=1,0,X140)</f>
        <v/>
      </c>
      <c r="Z141" s="15">
        <f>IF(A141&lt;=1,0,Y140)</f>
        <v/>
      </c>
      <c r="AA141" s="15">
        <f>IF(A141&lt;=1,0,Z140)</f>
        <v/>
      </c>
    </row>
    <row r="142">
      <c r="A142" s="55" t="n">
        <v>136</v>
      </c>
      <c r="B142" s="15">
        <f>IF(A142&gt;Inputs!$C$62,"",INDEX(Trajectory!$G$23:$G$2000,A142))</f>
        <v/>
      </c>
      <c r="C142" s="15">
        <f>IF(B142="","",IF(A142&lt;=Inputs!$C$75,INDEX(Trajectory!$G$23:$G$2000,1),INDEX(Trajectory!$G$23:$G$2000,MAX(1,A142-Inputs!$C$75))))</f>
        <v/>
      </c>
      <c r="D142" s="15">
        <f>IF(C142="","",MAX(Inputs!$C$76,CEILING(C142/(Inputs!$C$42*Inputs!$C$92),1)))</f>
        <v/>
      </c>
      <c r="E142" s="15">
        <f>IF(D142="","",MAX(E141,D142))</f>
        <v/>
      </c>
      <c r="F142" s="15">
        <f>E142-E141</f>
        <v/>
      </c>
      <c r="G142" s="12">
        <f>IF(E142="",1,IF(E142=0,1,(E142-SUM(L142:AA142)+SUMPRODUCT(L142:AA142,$N$5:$N$20))/E142))</f>
        <v/>
      </c>
      <c r="H142" s="14">
        <f>IF(E142="",0,E142*G142)</f>
        <v/>
      </c>
      <c r="I142" s="15">
        <f>IF(H142="",0,H142*Inputs!$C$42)</f>
        <v/>
      </c>
      <c r="J142" s="14">
        <f>IF(E142="",1,1 + (Inputs!$C$95-1)*IF((1-Inputs!$C$94)=0,0,(1-G142)/(1-Inputs!$C$94)))</f>
        <v/>
      </c>
      <c r="K142" s="12">
        <f>IF(I142=0,"",B142/I142)</f>
        <v/>
      </c>
      <c r="L142" s="15">
        <f>IF(F142="",0,F142)</f>
        <v/>
      </c>
      <c r="M142" s="15">
        <f>IF(A142&lt;=1,0,L141)</f>
        <v/>
      </c>
      <c r="N142" s="15">
        <f>IF(A142&lt;=1,0,M141)</f>
        <v/>
      </c>
      <c r="O142" s="15">
        <f>IF(A142&lt;=1,0,N141)</f>
        <v/>
      </c>
      <c r="P142" s="15">
        <f>IF(A142&lt;=1,0,O141)</f>
        <v/>
      </c>
      <c r="Q142" s="15">
        <f>IF(A142&lt;=1,0,P141)</f>
        <v/>
      </c>
      <c r="R142" s="15">
        <f>IF(A142&lt;=1,0,Q141)</f>
        <v/>
      </c>
      <c r="S142" s="15">
        <f>IF(A142&lt;=1,0,R141)</f>
        <v/>
      </c>
      <c r="T142" s="15">
        <f>IF(A142&lt;=1,0,S141)</f>
        <v/>
      </c>
      <c r="U142" s="15">
        <f>IF(A142&lt;=1,0,T141)</f>
        <v/>
      </c>
      <c r="V142" s="15">
        <f>IF(A142&lt;=1,0,U141)</f>
        <v/>
      </c>
      <c r="W142" s="15">
        <f>IF(A142&lt;=1,0,V141)</f>
        <v/>
      </c>
      <c r="X142" s="15">
        <f>IF(A142&lt;=1,0,W141)</f>
        <v/>
      </c>
      <c r="Y142" s="15">
        <f>IF(A142&lt;=1,0,X141)</f>
        <v/>
      </c>
      <c r="Z142" s="15">
        <f>IF(A142&lt;=1,0,Y141)</f>
        <v/>
      </c>
      <c r="AA142" s="15">
        <f>IF(A142&lt;=1,0,Z141)</f>
        <v/>
      </c>
    </row>
    <row r="143">
      <c r="A143" s="55" t="n">
        <v>137</v>
      </c>
      <c r="B143" s="15">
        <f>IF(A143&gt;Inputs!$C$62,"",INDEX(Trajectory!$G$23:$G$2000,A143))</f>
        <v/>
      </c>
      <c r="C143" s="15">
        <f>IF(B143="","",IF(A143&lt;=Inputs!$C$75,INDEX(Trajectory!$G$23:$G$2000,1),INDEX(Trajectory!$G$23:$G$2000,MAX(1,A143-Inputs!$C$75))))</f>
        <v/>
      </c>
      <c r="D143" s="15">
        <f>IF(C143="","",MAX(Inputs!$C$76,CEILING(C143/(Inputs!$C$42*Inputs!$C$92),1)))</f>
        <v/>
      </c>
      <c r="E143" s="15">
        <f>IF(D143="","",MAX(E142,D143))</f>
        <v/>
      </c>
      <c r="F143" s="15">
        <f>E143-E142</f>
        <v/>
      </c>
      <c r="G143" s="12">
        <f>IF(E143="",1,IF(E143=0,1,(E143-SUM(L143:AA143)+SUMPRODUCT(L143:AA143,$N$5:$N$20))/E143))</f>
        <v/>
      </c>
      <c r="H143" s="14">
        <f>IF(E143="",0,E143*G143)</f>
        <v/>
      </c>
      <c r="I143" s="15">
        <f>IF(H143="",0,H143*Inputs!$C$42)</f>
        <v/>
      </c>
      <c r="J143" s="14">
        <f>IF(E143="",1,1 + (Inputs!$C$95-1)*IF((1-Inputs!$C$94)=0,0,(1-G143)/(1-Inputs!$C$94)))</f>
        <v/>
      </c>
      <c r="K143" s="12">
        <f>IF(I143=0,"",B143/I143)</f>
        <v/>
      </c>
      <c r="L143" s="15">
        <f>IF(F143="",0,F143)</f>
        <v/>
      </c>
      <c r="M143" s="15">
        <f>IF(A143&lt;=1,0,L142)</f>
        <v/>
      </c>
      <c r="N143" s="15">
        <f>IF(A143&lt;=1,0,M142)</f>
        <v/>
      </c>
      <c r="O143" s="15">
        <f>IF(A143&lt;=1,0,N142)</f>
        <v/>
      </c>
      <c r="P143" s="15">
        <f>IF(A143&lt;=1,0,O142)</f>
        <v/>
      </c>
      <c r="Q143" s="15">
        <f>IF(A143&lt;=1,0,P142)</f>
        <v/>
      </c>
      <c r="R143" s="15">
        <f>IF(A143&lt;=1,0,Q142)</f>
        <v/>
      </c>
      <c r="S143" s="15">
        <f>IF(A143&lt;=1,0,R142)</f>
        <v/>
      </c>
      <c r="T143" s="15">
        <f>IF(A143&lt;=1,0,S142)</f>
        <v/>
      </c>
      <c r="U143" s="15">
        <f>IF(A143&lt;=1,0,T142)</f>
        <v/>
      </c>
      <c r="V143" s="15">
        <f>IF(A143&lt;=1,0,U142)</f>
        <v/>
      </c>
      <c r="W143" s="15">
        <f>IF(A143&lt;=1,0,V142)</f>
        <v/>
      </c>
      <c r="X143" s="15">
        <f>IF(A143&lt;=1,0,W142)</f>
        <v/>
      </c>
      <c r="Y143" s="15">
        <f>IF(A143&lt;=1,0,X142)</f>
        <v/>
      </c>
      <c r="Z143" s="15">
        <f>IF(A143&lt;=1,0,Y142)</f>
        <v/>
      </c>
      <c r="AA143" s="15">
        <f>IF(A143&lt;=1,0,Z142)</f>
        <v/>
      </c>
    </row>
    <row r="144">
      <c r="A144" s="55" t="n">
        <v>138</v>
      </c>
      <c r="B144" s="15">
        <f>IF(A144&gt;Inputs!$C$62,"",INDEX(Trajectory!$G$23:$G$2000,A144))</f>
        <v/>
      </c>
      <c r="C144" s="15">
        <f>IF(B144="","",IF(A144&lt;=Inputs!$C$75,INDEX(Trajectory!$G$23:$G$2000,1),INDEX(Trajectory!$G$23:$G$2000,MAX(1,A144-Inputs!$C$75))))</f>
        <v/>
      </c>
      <c r="D144" s="15">
        <f>IF(C144="","",MAX(Inputs!$C$76,CEILING(C144/(Inputs!$C$42*Inputs!$C$92),1)))</f>
        <v/>
      </c>
      <c r="E144" s="15">
        <f>IF(D144="","",MAX(E143,D144))</f>
        <v/>
      </c>
      <c r="F144" s="15">
        <f>E144-E143</f>
        <v/>
      </c>
      <c r="G144" s="12">
        <f>IF(E144="",1,IF(E144=0,1,(E144-SUM(L144:AA144)+SUMPRODUCT(L144:AA144,$N$5:$N$20))/E144))</f>
        <v/>
      </c>
      <c r="H144" s="14">
        <f>IF(E144="",0,E144*G144)</f>
        <v/>
      </c>
      <c r="I144" s="15">
        <f>IF(H144="",0,H144*Inputs!$C$42)</f>
        <v/>
      </c>
      <c r="J144" s="14">
        <f>IF(E144="",1,1 + (Inputs!$C$95-1)*IF((1-Inputs!$C$94)=0,0,(1-G144)/(1-Inputs!$C$94)))</f>
        <v/>
      </c>
      <c r="K144" s="12">
        <f>IF(I144=0,"",B144/I144)</f>
        <v/>
      </c>
      <c r="L144" s="15">
        <f>IF(F144="",0,F144)</f>
        <v/>
      </c>
      <c r="M144" s="15">
        <f>IF(A144&lt;=1,0,L143)</f>
        <v/>
      </c>
      <c r="N144" s="15">
        <f>IF(A144&lt;=1,0,M143)</f>
        <v/>
      </c>
      <c r="O144" s="15">
        <f>IF(A144&lt;=1,0,N143)</f>
        <v/>
      </c>
      <c r="P144" s="15">
        <f>IF(A144&lt;=1,0,O143)</f>
        <v/>
      </c>
      <c r="Q144" s="15">
        <f>IF(A144&lt;=1,0,P143)</f>
        <v/>
      </c>
      <c r="R144" s="15">
        <f>IF(A144&lt;=1,0,Q143)</f>
        <v/>
      </c>
      <c r="S144" s="15">
        <f>IF(A144&lt;=1,0,R143)</f>
        <v/>
      </c>
      <c r="T144" s="15">
        <f>IF(A144&lt;=1,0,S143)</f>
        <v/>
      </c>
      <c r="U144" s="15">
        <f>IF(A144&lt;=1,0,T143)</f>
        <v/>
      </c>
      <c r="V144" s="15">
        <f>IF(A144&lt;=1,0,U143)</f>
        <v/>
      </c>
      <c r="W144" s="15">
        <f>IF(A144&lt;=1,0,V143)</f>
        <v/>
      </c>
      <c r="X144" s="15">
        <f>IF(A144&lt;=1,0,W143)</f>
        <v/>
      </c>
      <c r="Y144" s="15">
        <f>IF(A144&lt;=1,0,X143)</f>
        <v/>
      </c>
      <c r="Z144" s="15">
        <f>IF(A144&lt;=1,0,Y143)</f>
        <v/>
      </c>
      <c r="AA144" s="15">
        <f>IF(A144&lt;=1,0,Z143)</f>
        <v/>
      </c>
    </row>
    <row r="145">
      <c r="A145" s="55" t="n">
        <v>139</v>
      </c>
      <c r="B145" s="15">
        <f>IF(A145&gt;Inputs!$C$62,"",INDEX(Trajectory!$G$23:$G$2000,A145))</f>
        <v/>
      </c>
      <c r="C145" s="15">
        <f>IF(B145="","",IF(A145&lt;=Inputs!$C$75,INDEX(Trajectory!$G$23:$G$2000,1),INDEX(Trajectory!$G$23:$G$2000,MAX(1,A145-Inputs!$C$75))))</f>
        <v/>
      </c>
      <c r="D145" s="15">
        <f>IF(C145="","",MAX(Inputs!$C$76,CEILING(C145/(Inputs!$C$42*Inputs!$C$92),1)))</f>
        <v/>
      </c>
      <c r="E145" s="15">
        <f>IF(D145="","",MAX(E144,D145))</f>
        <v/>
      </c>
      <c r="F145" s="15">
        <f>E145-E144</f>
        <v/>
      </c>
      <c r="G145" s="12">
        <f>IF(E145="",1,IF(E145=0,1,(E145-SUM(L145:AA145)+SUMPRODUCT(L145:AA145,$N$5:$N$20))/E145))</f>
        <v/>
      </c>
      <c r="H145" s="14">
        <f>IF(E145="",0,E145*G145)</f>
        <v/>
      </c>
      <c r="I145" s="15">
        <f>IF(H145="",0,H145*Inputs!$C$42)</f>
        <v/>
      </c>
      <c r="J145" s="14">
        <f>IF(E145="",1,1 + (Inputs!$C$95-1)*IF((1-Inputs!$C$94)=0,0,(1-G145)/(1-Inputs!$C$94)))</f>
        <v/>
      </c>
      <c r="K145" s="12">
        <f>IF(I145=0,"",B145/I145)</f>
        <v/>
      </c>
      <c r="L145" s="15">
        <f>IF(F145="",0,F145)</f>
        <v/>
      </c>
      <c r="M145" s="15">
        <f>IF(A145&lt;=1,0,L144)</f>
        <v/>
      </c>
      <c r="N145" s="15">
        <f>IF(A145&lt;=1,0,M144)</f>
        <v/>
      </c>
      <c r="O145" s="15">
        <f>IF(A145&lt;=1,0,N144)</f>
        <v/>
      </c>
      <c r="P145" s="15">
        <f>IF(A145&lt;=1,0,O144)</f>
        <v/>
      </c>
      <c r="Q145" s="15">
        <f>IF(A145&lt;=1,0,P144)</f>
        <v/>
      </c>
      <c r="R145" s="15">
        <f>IF(A145&lt;=1,0,Q144)</f>
        <v/>
      </c>
      <c r="S145" s="15">
        <f>IF(A145&lt;=1,0,R144)</f>
        <v/>
      </c>
      <c r="T145" s="15">
        <f>IF(A145&lt;=1,0,S144)</f>
        <v/>
      </c>
      <c r="U145" s="15">
        <f>IF(A145&lt;=1,0,T144)</f>
        <v/>
      </c>
      <c r="V145" s="15">
        <f>IF(A145&lt;=1,0,U144)</f>
        <v/>
      </c>
      <c r="W145" s="15">
        <f>IF(A145&lt;=1,0,V144)</f>
        <v/>
      </c>
      <c r="X145" s="15">
        <f>IF(A145&lt;=1,0,W144)</f>
        <v/>
      </c>
      <c r="Y145" s="15">
        <f>IF(A145&lt;=1,0,X144)</f>
        <v/>
      </c>
      <c r="Z145" s="15">
        <f>IF(A145&lt;=1,0,Y144)</f>
        <v/>
      </c>
      <c r="AA145" s="15">
        <f>IF(A145&lt;=1,0,Z144)</f>
        <v/>
      </c>
    </row>
    <row r="146">
      <c r="A146" s="55" t="n">
        <v>140</v>
      </c>
      <c r="B146" s="15">
        <f>IF(A146&gt;Inputs!$C$62,"",INDEX(Trajectory!$G$23:$G$2000,A146))</f>
        <v/>
      </c>
      <c r="C146" s="15">
        <f>IF(B146="","",IF(A146&lt;=Inputs!$C$75,INDEX(Trajectory!$G$23:$G$2000,1),INDEX(Trajectory!$G$23:$G$2000,MAX(1,A146-Inputs!$C$75))))</f>
        <v/>
      </c>
      <c r="D146" s="15">
        <f>IF(C146="","",MAX(Inputs!$C$76,CEILING(C146/(Inputs!$C$42*Inputs!$C$92),1)))</f>
        <v/>
      </c>
      <c r="E146" s="15">
        <f>IF(D146="","",MAX(E145,D146))</f>
        <v/>
      </c>
      <c r="F146" s="15">
        <f>E146-E145</f>
        <v/>
      </c>
      <c r="G146" s="12">
        <f>IF(E146="",1,IF(E146=0,1,(E146-SUM(L146:AA146)+SUMPRODUCT(L146:AA146,$N$5:$N$20))/E146))</f>
        <v/>
      </c>
      <c r="H146" s="14">
        <f>IF(E146="",0,E146*G146)</f>
        <v/>
      </c>
      <c r="I146" s="15">
        <f>IF(H146="",0,H146*Inputs!$C$42)</f>
        <v/>
      </c>
      <c r="J146" s="14">
        <f>IF(E146="",1,1 + (Inputs!$C$95-1)*IF((1-Inputs!$C$94)=0,0,(1-G146)/(1-Inputs!$C$94)))</f>
        <v/>
      </c>
      <c r="K146" s="12">
        <f>IF(I146=0,"",B146/I146)</f>
        <v/>
      </c>
      <c r="L146" s="15">
        <f>IF(F146="",0,F146)</f>
        <v/>
      </c>
      <c r="M146" s="15">
        <f>IF(A146&lt;=1,0,L145)</f>
        <v/>
      </c>
      <c r="N146" s="15">
        <f>IF(A146&lt;=1,0,M145)</f>
        <v/>
      </c>
      <c r="O146" s="15">
        <f>IF(A146&lt;=1,0,N145)</f>
        <v/>
      </c>
      <c r="P146" s="15">
        <f>IF(A146&lt;=1,0,O145)</f>
        <v/>
      </c>
      <c r="Q146" s="15">
        <f>IF(A146&lt;=1,0,P145)</f>
        <v/>
      </c>
      <c r="R146" s="15">
        <f>IF(A146&lt;=1,0,Q145)</f>
        <v/>
      </c>
      <c r="S146" s="15">
        <f>IF(A146&lt;=1,0,R145)</f>
        <v/>
      </c>
      <c r="T146" s="15">
        <f>IF(A146&lt;=1,0,S145)</f>
        <v/>
      </c>
      <c r="U146" s="15">
        <f>IF(A146&lt;=1,0,T145)</f>
        <v/>
      </c>
      <c r="V146" s="15">
        <f>IF(A146&lt;=1,0,U145)</f>
        <v/>
      </c>
      <c r="W146" s="15">
        <f>IF(A146&lt;=1,0,V145)</f>
        <v/>
      </c>
      <c r="X146" s="15">
        <f>IF(A146&lt;=1,0,W145)</f>
        <v/>
      </c>
      <c r="Y146" s="15">
        <f>IF(A146&lt;=1,0,X145)</f>
        <v/>
      </c>
      <c r="Z146" s="15">
        <f>IF(A146&lt;=1,0,Y145)</f>
        <v/>
      </c>
      <c r="AA146" s="15">
        <f>IF(A146&lt;=1,0,Z145)</f>
        <v/>
      </c>
    </row>
    <row r="147">
      <c r="A147" s="55" t="n">
        <v>141</v>
      </c>
      <c r="B147" s="15">
        <f>IF(A147&gt;Inputs!$C$62,"",INDEX(Trajectory!$G$23:$G$2000,A147))</f>
        <v/>
      </c>
      <c r="C147" s="15">
        <f>IF(B147="","",IF(A147&lt;=Inputs!$C$75,INDEX(Trajectory!$G$23:$G$2000,1),INDEX(Trajectory!$G$23:$G$2000,MAX(1,A147-Inputs!$C$75))))</f>
        <v/>
      </c>
      <c r="D147" s="15">
        <f>IF(C147="","",MAX(Inputs!$C$76,CEILING(C147/(Inputs!$C$42*Inputs!$C$92),1)))</f>
        <v/>
      </c>
      <c r="E147" s="15">
        <f>IF(D147="","",MAX(E146,D147))</f>
        <v/>
      </c>
      <c r="F147" s="15">
        <f>E147-E146</f>
        <v/>
      </c>
      <c r="G147" s="12">
        <f>IF(E147="",1,IF(E147=0,1,(E147-SUM(L147:AA147)+SUMPRODUCT(L147:AA147,$N$5:$N$20))/E147))</f>
        <v/>
      </c>
      <c r="H147" s="14">
        <f>IF(E147="",0,E147*G147)</f>
        <v/>
      </c>
      <c r="I147" s="15">
        <f>IF(H147="",0,H147*Inputs!$C$42)</f>
        <v/>
      </c>
      <c r="J147" s="14">
        <f>IF(E147="",1,1 + (Inputs!$C$95-1)*IF((1-Inputs!$C$94)=0,0,(1-G147)/(1-Inputs!$C$94)))</f>
        <v/>
      </c>
      <c r="K147" s="12">
        <f>IF(I147=0,"",B147/I147)</f>
        <v/>
      </c>
      <c r="L147" s="15">
        <f>IF(F147="",0,F147)</f>
        <v/>
      </c>
      <c r="M147" s="15">
        <f>IF(A147&lt;=1,0,L146)</f>
        <v/>
      </c>
      <c r="N147" s="15">
        <f>IF(A147&lt;=1,0,M146)</f>
        <v/>
      </c>
      <c r="O147" s="15">
        <f>IF(A147&lt;=1,0,N146)</f>
        <v/>
      </c>
      <c r="P147" s="15">
        <f>IF(A147&lt;=1,0,O146)</f>
        <v/>
      </c>
      <c r="Q147" s="15">
        <f>IF(A147&lt;=1,0,P146)</f>
        <v/>
      </c>
      <c r="R147" s="15">
        <f>IF(A147&lt;=1,0,Q146)</f>
        <v/>
      </c>
      <c r="S147" s="15">
        <f>IF(A147&lt;=1,0,R146)</f>
        <v/>
      </c>
      <c r="T147" s="15">
        <f>IF(A147&lt;=1,0,S146)</f>
        <v/>
      </c>
      <c r="U147" s="15">
        <f>IF(A147&lt;=1,0,T146)</f>
        <v/>
      </c>
      <c r="V147" s="15">
        <f>IF(A147&lt;=1,0,U146)</f>
        <v/>
      </c>
      <c r="W147" s="15">
        <f>IF(A147&lt;=1,0,V146)</f>
        <v/>
      </c>
      <c r="X147" s="15">
        <f>IF(A147&lt;=1,0,W146)</f>
        <v/>
      </c>
      <c r="Y147" s="15">
        <f>IF(A147&lt;=1,0,X146)</f>
        <v/>
      </c>
      <c r="Z147" s="15">
        <f>IF(A147&lt;=1,0,Y146)</f>
        <v/>
      </c>
      <c r="AA147" s="15">
        <f>IF(A147&lt;=1,0,Z146)</f>
        <v/>
      </c>
    </row>
    <row r="148">
      <c r="A148" s="55" t="n">
        <v>142</v>
      </c>
      <c r="B148" s="15">
        <f>IF(A148&gt;Inputs!$C$62,"",INDEX(Trajectory!$G$23:$G$2000,A148))</f>
        <v/>
      </c>
      <c r="C148" s="15">
        <f>IF(B148="","",IF(A148&lt;=Inputs!$C$75,INDEX(Trajectory!$G$23:$G$2000,1),INDEX(Trajectory!$G$23:$G$2000,MAX(1,A148-Inputs!$C$75))))</f>
        <v/>
      </c>
      <c r="D148" s="15">
        <f>IF(C148="","",MAX(Inputs!$C$76,CEILING(C148/(Inputs!$C$42*Inputs!$C$92),1)))</f>
        <v/>
      </c>
      <c r="E148" s="15">
        <f>IF(D148="","",MAX(E147,D148))</f>
        <v/>
      </c>
      <c r="F148" s="15">
        <f>E148-E147</f>
        <v/>
      </c>
      <c r="G148" s="12">
        <f>IF(E148="",1,IF(E148=0,1,(E148-SUM(L148:AA148)+SUMPRODUCT(L148:AA148,$N$5:$N$20))/E148))</f>
        <v/>
      </c>
      <c r="H148" s="14">
        <f>IF(E148="",0,E148*G148)</f>
        <v/>
      </c>
      <c r="I148" s="15">
        <f>IF(H148="",0,H148*Inputs!$C$42)</f>
        <v/>
      </c>
      <c r="J148" s="14">
        <f>IF(E148="",1,1 + (Inputs!$C$95-1)*IF((1-Inputs!$C$94)=0,0,(1-G148)/(1-Inputs!$C$94)))</f>
        <v/>
      </c>
      <c r="K148" s="12">
        <f>IF(I148=0,"",B148/I148)</f>
        <v/>
      </c>
      <c r="L148" s="15">
        <f>IF(F148="",0,F148)</f>
        <v/>
      </c>
      <c r="M148" s="15">
        <f>IF(A148&lt;=1,0,L147)</f>
        <v/>
      </c>
      <c r="N148" s="15">
        <f>IF(A148&lt;=1,0,M147)</f>
        <v/>
      </c>
      <c r="O148" s="15">
        <f>IF(A148&lt;=1,0,N147)</f>
        <v/>
      </c>
      <c r="P148" s="15">
        <f>IF(A148&lt;=1,0,O147)</f>
        <v/>
      </c>
      <c r="Q148" s="15">
        <f>IF(A148&lt;=1,0,P147)</f>
        <v/>
      </c>
      <c r="R148" s="15">
        <f>IF(A148&lt;=1,0,Q147)</f>
        <v/>
      </c>
      <c r="S148" s="15">
        <f>IF(A148&lt;=1,0,R147)</f>
        <v/>
      </c>
      <c r="T148" s="15">
        <f>IF(A148&lt;=1,0,S147)</f>
        <v/>
      </c>
      <c r="U148" s="15">
        <f>IF(A148&lt;=1,0,T147)</f>
        <v/>
      </c>
      <c r="V148" s="15">
        <f>IF(A148&lt;=1,0,U147)</f>
        <v/>
      </c>
      <c r="W148" s="15">
        <f>IF(A148&lt;=1,0,V147)</f>
        <v/>
      </c>
      <c r="X148" s="15">
        <f>IF(A148&lt;=1,0,W147)</f>
        <v/>
      </c>
      <c r="Y148" s="15">
        <f>IF(A148&lt;=1,0,X147)</f>
        <v/>
      </c>
      <c r="Z148" s="15">
        <f>IF(A148&lt;=1,0,Y147)</f>
        <v/>
      </c>
      <c r="AA148" s="15">
        <f>IF(A148&lt;=1,0,Z147)</f>
        <v/>
      </c>
    </row>
    <row r="149">
      <c r="A149" s="55" t="n">
        <v>143</v>
      </c>
      <c r="B149" s="15">
        <f>IF(A149&gt;Inputs!$C$62,"",INDEX(Trajectory!$G$23:$G$2000,A149))</f>
        <v/>
      </c>
      <c r="C149" s="15">
        <f>IF(B149="","",IF(A149&lt;=Inputs!$C$75,INDEX(Trajectory!$G$23:$G$2000,1),INDEX(Trajectory!$G$23:$G$2000,MAX(1,A149-Inputs!$C$75))))</f>
        <v/>
      </c>
      <c r="D149" s="15">
        <f>IF(C149="","",MAX(Inputs!$C$76,CEILING(C149/(Inputs!$C$42*Inputs!$C$92),1)))</f>
        <v/>
      </c>
      <c r="E149" s="15">
        <f>IF(D149="","",MAX(E148,D149))</f>
        <v/>
      </c>
      <c r="F149" s="15">
        <f>E149-E148</f>
        <v/>
      </c>
      <c r="G149" s="12">
        <f>IF(E149="",1,IF(E149=0,1,(E149-SUM(L149:AA149)+SUMPRODUCT(L149:AA149,$N$5:$N$20))/E149))</f>
        <v/>
      </c>
      <c r="H149" s="14">
        <f>IF(E149="",0,E149*G149)</f>
        <v/>
      </c>
      <c r="I149" s="15">
        <f>IF(H149="",0,H149*Inputs!$C$42)</f>
        <v/>
      </c>
      <c r="J149" s="14">
        <f>IF(E149="",1,1 + (Inputs!$C$95-1)*IF((1-Inputs!$C$94)=0,0,(1-G149)/(1-Inputs!$C$94)))</f>
        <v/>
      </c>
      <c r="K149" s="12">
        <f>IF(I149=0,"",B149/I149)</f>
        <v/>
      </c>
      <c r="L149" s="15">
        <f>IF(F149="",0,F149)</f>
        <v/>
      </c>
      <c r="M149" s="15">
        <f>IF(A149&lt;=1,0,L148)</f>
        <v/>
      </c>
      <c r="N149" s="15">
        <f>IF(A149&lt;=1,0,M148)</f>
        <v/>
      </c>
      <c r="O149" s="15">
        <f>IF(A149&lt;=1,0,N148)</f>
        <v/>
      </c>
      <c r="P149" s="15">
        <f>IF(A149&lt;=1,0,O148)</f>
        <v/>
      </c>
      <c r="Q149" s="15">
        <f>IF(A149&lt;=1,0,P148)</f>
        <v/>
      </c>
      <c r="R149" s="15">
        <f>IF(A149&lt;=1,0,Q148)</f>
        <v/>
      </c>
      <c r="S149" s="15">
        <f>IF(A149&lt;=1,0,R148)</f>
        <v/>
      </c>
      <c r="T149" s="15">
        <f>IF(A149&lt;=1,0,S148)</f>
        <v/>
      </c>
      <c r="U149" s="15">
        <f>IF(A149&lt;=1,0,T148)</f>
        <v/>
      </c>
      <c r="V149" s="15">
        <f>IF(A149&lt;=1,0,U148)</f>
        <v/>
      </c>
      <c r="W149" s="15">
        <f>IF(A149&lt;=1,0,V148)</f>
        <v/>
      </c>
      <c r="X149" s="15">
        <f>IF(A149&lt;=1,0,W148)</f>
        <v/>
      </c>
      <c r="Y149" s="15">
        <f>IF(A149&lt;=1,0,X148)</f>
        <v/>
      </c>
      <c r="Z149" s="15">
        <f>IF(A149&lt;=1,0,Y148)</f>
        <v/>
      </c>
      <c r="AA149" s="15">
        <f>IF(A149&lt;=1,0,Z148)</f>
        <v/>
      </c>
    </row>
    <row r="150">
      <c r="A150" s="55" t="n">
        <v>144</v>
      </c>
      <c r="B150" s="15">
        <f>IF(A150&gt;Inputs!$C$62,"",INDEX(Trajectory!$G$23:$G$2000,A150))</f>
        <v/>
      </c>
      <c r="C150" s="15">
        <f>IF(B150="","",IF(A150&lt;=Inputs!$C$75,INDEX(Trajectory!$G$23:$G$2000,1),INDEX(Trajectory!$G$23:$G$2000,MAX(1,A150-Inputs!$C$75))))</f>
        <v/>
      </c>
      <c r="D150" s="15">
        <f>IF(C150="","",MAX(Inputs!$C$76,CEILING(C150/(Inputs!$C$42*Inputs!$C$92),1)))</f>
        <v/>
      </c>
      <c r="E150" s="15">
        <f>IF(D150="","",MAX(E149,D150))</f>
        <v/>
      </c>
      <c r="F150" s="15">
        <f>E150-E149</f>
        <v/>
      </c>
      <c r="G150" s="12">
        <f>IF(E150="",1,IF(E150=0,1,(E150-SUM(L150:AA150)+SUMPRODUCT(L150:AA150,$N$5:$N$20))/E150))</f>
        <v/>
      </c>
      <c r="H150" s="14">
        <f>IF(E150="",0,E150*G150)</f>
        <v/>
      </c>
      <c r="I150" s="15">
        <f>IF(H150="",0,H150*Inputs!$C$42)</f>
        <v/>
      </c>
      <c r="J150" s="14">
        <f>IF(E150="",1,1 + (Inputs!$C$95-1)*IF((1-Inputs!$C$94)=0,0,(1-G150)/(1-Inputs!$C$94)))</f>
        <v/>
      </c>
      <c r="K150" s="12">
        <f>IF(I150=0,"",B150/I150)</f>
        <v/>
      </c>
      <c r="L150" s="15">
        <f>IF(F150="",0,F150)</f>
        <v/>
      </c>
      <c r="M150" s="15">
        <f>IF(A150&lt;=1,0,L149)</f>
        <v/>
      </c>
      <c r="N150" s="15">
        <f>IF(A150&lt;=1,0,M149)</f>
        <v/>
      </c>
      <c r="O150" s="15">
        <f>IF(A150&lt;=1,0,N149)</f>
        <v/>
      </c>
      <c r="P150" s="15">
        <f>IF(A150&lt;=1,0,O149)</f>
        <v/>
      </c>
      <c r="Q150" s="15">
        <f>IF(A150&lt;=1,0,P149)</f>
        <v/>
      </c>
      <c r="R150" s="15">
        <f>IF(A150&lt;=1,0,Q149)</f>
        <v/>
      </c>
      <c r="S150" s="15">
        <f>IF(A150&lt;=1,0,R149)</f>
        <v/>
      </c>
      <c r="T150" s="15">
        <f>IF(A150&lt;=1,0,S149)</f>
        <v/>
      </c>
      <c r="U150" s="15">
        <f>IF(A150&lt;=1,0,T149)</f>
        <v/>
      </c>
      <c r="V150" s="15">
        <f>IF(A150&lt;=1,0,U149)</f>
        <v/>
      </c>
      <c r="W150" s="15">
        <f>IF(A150&lt;=1,0,V149)</f>
        <v/>
      </c>
      <c r="X150" s="15">
        <f>IF(A150&lt;=1,0,W149)</f>
        <v/>
      </c>
      <c r="Y150" s="15">
        <f>IF(A150&lt;=1,0,X149)</f>
        <v/>
      </c>
      <c r="Z150" s="15">
        <f>IF(A150&lt;=1,0,Y149)</f>
        <v/>
      </c>
      <c r="AA150" s="15">
        <f>IF(A150&lt;=1,0,Z149)</f>
        <v/>
      </c>
    </row>
    <row r="151">
      <c r="A151" s="55" t="n">
        <v>145</v>
      </c>
      <c r="B151" s="15">
        <f>IF(A151&gt;Inputs!$C$62,"",INDEX(Trajectory!$G$23:$G$2000,A151))</f>
        <v/>
      </c>
      <c r="C151" s="15">
        <f>IF(B151="","",IF(A151&lt;=Inputs!$C$75,INDEX(Trajectory!$G$23:$G$2000,1),INDEX(Trajectory!$G$23:$G$2000,MAX(1,A151-Inputs!$C$75))))</f>
        <v/>
      </c>
      <c r="D151" s="15">
        <f>IF(C151="","",MAX(Inputs!$C$76,CEILING(C151/(Inputs!$C$42*Inputs!$C$92),1)))</f>
        <v/>
      </c>
      <c r="E151" s="15">
        <f>IF(D151="","",MAX(E150,D151))</f>
        <v/>
      </c>
      <c r="F151" s="15">
        <f>E151-E150</f>
        <v/>
      </c>
      <c r="G151" s="12">
        <f>IF(E151="",1,IF(E151=0,1,(E151-SUM(L151:AA151)+SUMPRODUCT(L151:AA151,$N$5:$N$20))/E151))</f>
        <v/>
      </c>
      <c r="H151" s="14">
        <f>IF(E151="",0,E151*G151)</f>
        <v/>
      </c>
      <c r="I151" s="15">
        <f>IF(H151="",0,H151*Inputs!$C$42)</f>
        <v/>
      </c>
      <c r="J151" s="14">
        <f>IF(E151="",1,1 + (Inputs!$C$95-1)*IF((1-Inputs!$C$94)=0,0,(1-G151)/(1-Inputs!$C$94)))</f>
        <v/>
      </c>
      <c r="K151" s="12">
        <f>IF(I151=0,"",B151/I151)</f>
        <v/>
      </c>
      <c r="L151" s="15">
        <f>IF(F151="",0,F151)</f>
        <v/>
      </c>
      <c r="M151" s="15">
        <f>IF(A151&lt;=1,0,L150)</f>
        <v/>
      </c>
      <c r="N151" s="15">
        <f>IF(A151&lt;=1,0,M150)</f>
        <v/>
      </c>
      <c r="O151" s="15">
        <f>IF(A151&lt;=1,0,N150)</f>
        <v/>
      </c>
      <c r="P151" s="15">
        <f>IF(A151&lt;=1,0,O150)</f>
        <v/>
      </c>
      <c r="Q151" s="15">
        <f>IF(A151&lt;=1,0,P150)</f>
        <v/>
      </c>
      <c r="R151" s="15">
        <f>IF(A151&lt;=1,0,Q150)</f>
        <v/>
      </c>
      <c r="S151" s="15">
        <f>IF(A151&lt;=1,0,R150)</f>
        <v/>
      </c>
      <c r="T151" s="15">
        <f>IF(A151&lt;=1,0,S150)</f>
        <v/>
      </c>
      <c r="U151" s="15">
        <f>IF(A151&lt;=1,0,T150)</f>
        <v/>
      </c>
      <c r="V151" s="15">
        <f>IF(A151&lt;=1,0,U150)</f>
        <v/>
      </c>
      <c r="W151" s="15">
        <f>IF(A151&lt;=1,0,V150)</f>
        <v/>
      </c>
      <c r="X151" s="15">
        <f>IF(A151&lt;=1,0,W150)</f>
        <v/>
      </c>
      <c r="Y151" s="15">
        <f>IF(A151&lt;=1,0,X150)</f>
        <v/>
      </c>
      <c r="Z151" s="15">
        <f>IF(A151&lt;=1,0,Y150)</f>
        <v/>
      </c>
      <c r="AA151" s="15">
        <f>IF(A151&lt;=1,0,Z150)</f>
        <v/>
      </c>
    </row>
    <row r="152">
      <c r="A152" s="55" t="n">
        <v>146</v>
      </c>
      <c r="B152" s="15">
        <f>IF(A152&gt;Inputs!$C$62,"",INDEX(Trajectory!$G$23:$G$2000,A152))</f>
        <v/>
      </c>
      <c r="C152" s="15">
        <f>IF(B152="","",IF(A152&lt;=Inputs!$C$75,INDEX(Trajectory!$G$23:$G$2000,1),INDEX(Trajectory!$G$23:$G$2000,MAX(1,A152-Inputs!$C$75))))</f>
        <v/>
      </c>
      <c r="D152" s="15">
        <f>IF(C152="","",MAX(Inputs!$C$76,CEILING(C152/(Inputs!$C$42*Inputs!$C$92),1)))</f>
        <v/>
      </c>
      <c r="E152" s="15">
        <f>IF(D152="","",MAX(E151,D152))</f>
        <v/>
      </c>
      <c r="F152" s="15">
        <f>E152-E151</f>
        <v/>
      </c>
      <c r="G152" s="12">
        <f>IF(E152="",1,IF(E152=0,1,(E152-SUM(L152:AA152)+SUMPRODUCT(L152:AA152,$N$5:$N$20))/E152))</f>
        <v/>
      </c>
      <c r="H152" s="14">
        <f>IF(E152="",0,E152*G152)</f>
        <v/>
      </c>
      <c r="I152" s="15">
        <f>IF(H152="",0,H152*Inputs!$C$42)</f>
        <v/>
      </c>
      <c r="J152" s="14">
        <f>IF(E152="",1,1 + (Inputs!$C$95-1)*IF((1-Inputs!$C$94)=0,0,(1-G152)/(1-Inputs!$C$94)))</f>
        <v/>
      </c>
      <c r="K152" s="12">
        <f>IF(I152=0,"",B152/I152)</f>
        <v/>
      </c>
      <c r="L152" s="15">
        <f>IF(F152="",0,F152)</f>
        <v/>
      </c>
      <c r="M152" s="15">
        <f>IF(A152&lt;=1,0,L151)</f>
        <v/>
      </c>
      <c r="N152" s="15">
        <f>IF(A152&lt;=1,0,M151)</f>
        <v/>
      </c>
      <c r="O152" s="15">
        <f>IF(A152&lt;=1,0,N151)</f>
        <v/>
      </c>
      <c r="P152" s="15">
        <f>IF(A152&lt;=1,0,O151)</f>
        <v/>
      </c>
      <c r="Q152" s="15">
        <f>IF(A152&lt;=1,0,P151)</f>
        <v/>
      </c>
      <c r="R152" s="15">
        <f>IF(A152&lt;=1,0,Q151)</f>
        <v/>
      </c>
      <c r="S152" s="15">
        <f>IF(A152&lt;=1,0,R151)</f>
        <v/>
      </c>
      <c r="T152" s="15">
        <f>IF(A152&lt;=1,0,S151)</f>
        <v/>
      </c>
      <c r="U152" s="15">
        <f>IF(A152&lt;=1,0,T151)</f>
        <v/>
      </c>
      <c r="V152" s="15">
        <f>IF(A152&lt;=1,0,U151)</f>
        <v/>
      </c>
      <c r="W152" s="15">
        <f>IF(A152&lt;=1,0,V151)</f>
        <v/>
      </c>
      <c r="X152" s="15">
        <f>IF(A152&lt;=1,0,W151)</f>
        <v/>
      </c>
      <c r="Y152" s="15">
        <f>IF(A152&lt;=1,0,X151)</f>
        <v/>
      </c>
      <c r="Z152" s="15">
        <f>IF(A152&lt;=1,0,Y151)</f>
        <v/>
      </c>
      <c r="AA152" s="15">
        <f>IF(A152&lt;=1,0,Z151)</f>
        <v/>
      </c>
    </row>
    <row r="153">
      <c r="A153" s="55" t="n">
        <v>147</v>
      </c>
      <c r="B153" s="15">
        <f>IF(A153&gt;Inputs!$C$62,"",INDEX(Trajectory!$G$23:$G$2000,A153))</f>
        <v/>
      </c>
      <c r="C153" s="15">
        <f>IF(B153="","",IF(A153&lt;=Inputs!$C$75,INDEX(Trajectory!$G$23:$G$2000,1),INDEX(Trajectory!$G$23:$G$2000,MAX(1,A153-Inputs!$C$75))))</f>
        <v/>
      </c>
      <c r="D153" s="15">
        <f>IF(C153="","",MAX(Inputs!$C$76,CEILING(C153/(Inputs!$C$42*Inputs!$C$92),1)))</f>
        <v/>
      </c>
      <c r="E153" s="15">
        <f>IF(D153="","",MAX(E152,D153))</f>
        <v/>
      </c>
      <c r="F153" s="15">
        <f>E153-E152</f>
        <v/>
      </c>
      <c r="G153" s="12">
        <f>IF(E153="",1,IF(E153=0,1,(E153-SUM(L153:AA153)+SUMPRODUCT(L153:AA153,$N$5:$N$20))/E153))</f>
        <v/>
      </c>
      <c r="H153" s="14">
        <f>IF(E153="",0,E153*G153)</f>
        <v/>
      </c>
      <c r="I153" s="15">
        <f>IF(H153="",0,H153*Inputs!$C$42)</f>
        <v/>
      </c>
      <c r="J153" s="14">
        <f>IF(E153="",1,1 + (Inputs!$C$95-1)*IF((1-Inputs!$C$94)=0,0,(1-G153)/(1-Inputs!$C$94)))</f>
        <v/>
      </c>
      <c r="K153" s="12">
        <f>IF(I153=0,"",B153/I153)</f>
        <v/>
      </c>
      <c r="L153" s="15">
        <f>IF(F153="",0,F153)</f>
        <v/>
      </c>
      <c r="M153" s="15">
        <f>IF(A153&lt;=1,0,L152)</f>
        <v/>
      </c>
      <c r="N153" s="15">
        <f>IF(A153&lt;=1,0,M152)</f>
        <v/>
      </c>
      <c r="O153" s="15">
        <f>IF(A153&lt;=1,0,N152)</f>
        <v/>
      </c>
      <c r="P153" s="15">
        <f>IF(A153&lt;=1,0,O152)</f>
        <v/>
      </c>
      <c r="Q153" s="15">
        <f>IF(A153&lt;=1,0,P152)</f>
        <v/>
      </c>
      <c r="R153" s="15">
        <f>IF(A153&lt;=1,0,Q152)</f>
        <v/>
      </c>
      <c r="S153" s="15">
        <f>IF(A153&lt;=1,0,R152)</f>
        <v/>
      </c>
      <c r="T153" s="15">
        <f>IF(A153&lt;=1,0,S152)</f>
        <v/>
      </c>
      <c r="U153" s="15">
        <f>IF(A153&lt;=1,0,T152)</f>
        <v/>
      </c>
      <c r="V153" s="15">
        <f>IF(A153&lt;=1,0,U152)</f>
        <v/>
      </c>
      <c r="W153" s="15">
        <f>IF(A153&lt;=1,0,V152)</f>
        <v/>
      </c>
      <c r="X153" s="15">
        <f>IF(A153&lt;=1,0,W152)</f>
        <v/>
      </c>
      <c r="Y153" s="15">
        <f>IF(A153&lt;=1,0,X152)</f>
        <v/>
      </c>
      <c r="Z153" s="15">
        <f>IF(A153&lt;=1,0,Y152)</f>
        <v/>
      </c>
      <c r="AA153" s="15">
        <f>IF(A153&lt;=1,0,Z152)</f>
        <v/>
      </c>
    </row>
    <row r="154">
      <c r="A154" s="55" t="n">
        <v>148</v>
      </c>
      <c r="B154" s="15">
        <f>IF(A154&gt;Inputs!$C$62,"",INDEX(Trajectory!$G$23:$G$2000,A154))</f>
        <v/>
      </c>
      <c r="C154" s="15">
        <f>IF(B154="","",IF(A154&lt;=Inputs!$C$75,INDEX(Trajectory!$G$23:$G$2000,1),INDEX(Trajectory!$G$23:$G$2000,MAX(1,A154-Inputs!$C$75))))</f>
        <v/>
      </c>
      <c r="D154" s="15">
        <f>IF(C154="","",MAX(Inputs!$C$76,CEILING(C154/(Inputs!$C$42*Inputs!$C$92),1)))</f>
        <v/>
      </c>
      <c r="E154" s="15">
        <f>IF(D154="","",MAX(E153,D154))</f>
        <v/>
      </c>
      <c r="F154" s="15">
        <f>E154-E153</f>
        <v/>
      </c>
      <c r="G154" s="12">
        <f>IF(E154="",1,IF(E154=0,1,(E154-SUM(L154:AA154)+SUMPRODUCT(L154:AA154,$N$5:$N$20))/E154))</f>
        <v/>
      </c>
      <c r="H154" s="14">
        <f>IF(E154="",0,E154*G154)</f>
        <v/>
      </c>
      <c r="I154" s="15">
        <f>IF(H154="",0,H154*Inputs!$C$42)</f>
        <v/>
      </c>
      <c r="J154" s="14">
        <f>IF(E154="",1,1 + (Inputs!$C$95-1)*IF((1-Inputs!$C$94)=0,0,(1-G154)/(1-Inputs!$C$94)))</f>
        <v/>
      </c>
      <c r="K154" s="12">
        <f>IF(I154=0,"",B154/I154)</f>
        <v/>
      </c>
      <c r="L154" s="15">
        <f>IF(F154="",0,F154)</f>
        <v/>
      </c>
      <c r="M154" s="15">
        <f>IF(A154&lt;=1,0,L153)</f>
        <v/>
      </c>
      <c r="N154" s="15">
        <f>IF(A154&lt;=1,0,M153)</f>
        <v/>
      </c>
      <c r="O154" s="15">
        <f>IF(A154&lt;=1,0,N153)</f>
        <v/>
      </c>
      <c r="P154" s="15">
        <f>IF(A154&lt;=1,0,O153)</f>
        <v/>
      </c>
      <c r="Q154" s="15">
        <f>IF(A154&lt;=1,0,P153)</f>
        <v/>
      </c>
      <c r="R154" s="15">
        <f>IF(A154&lt;=1,0,Q153)</f>
        <v/>
      </c>
      <c r="S154" s="15">
        <f>IF(A154&lt;=1,0,R153)</f>
        <v/>
      </c>
      <c r="T154" s="15">
        <f>IF(A154&lt;=1,0,S153)</f>
        <v/>
      </c>
      <c r="U154" s="15">
        <f>IF(A154&lt;=1,0,T153)</f>
        <v/>
      </c>
      <c r="V154" s="15">
        <f>IF(A154&lt;=1,0,U153)</f>
        <v/>
      </c>
      <c r="W154" s="15">
        <f>IF(A154&lt;=1,0,V153)</f>
        <v/>
      </c>
      <c r="X154" s="15">
        <f>IF(A154&lt;=1,0,W153)</f>
        <v/>
      </c>
      <c r="Y154" s="15">
        <f>IF(A154&lt;=1,0,X153)</f>
        <v/>
      </c>
      <c r="Z154" s="15">
        <f>IF(A154&lt;=1,0,Y153)</f>
        <v/>
      </c>
      <c r="AA154" s="15">
        <f>IF(A154&lt;=1,0,Z153)</f>
        <v/>
      </c>
    </row>
    <row r="155">
      <c r="A155" s="55" t="n">
        <v>149</v>
      </c>
      <c r="B155" s="15">
        <f>IF(A155&gt;Inputs!$C$62,"",INDEX(Trajectory!$G$23:$G$2000,A155))</f>
        <v/>
      </c>
      <c r="C155" s="15">
        <f>IF(B155="","",IF(A155&lt;=Inputs!$C$75,INDEX(Trajectory!$G$23:$G$2000,1),INDEX(Trajectory!$G$23:$G$2000,MAX(1,A155-Inputs!$C$75))))</f>
        <v/>
      </c>
      <c r="D155" s="15">
        <f>IF(C155="","",MAX(Inputs!$C$76,CEILING(C155/(Inputs!$C$42*Inputs!$C$92),1)))</f>
        <v/>
      </c>
      <c r="E155" s="15">
        <f>IF(D155="","",MAX(E154,D155))</f>
        <v/>
      </c>
      <c r="F155" s="15">
        <f>E155-E154</f>
        <v/>
      </c>
      <c r="G155" s="12">
        <f>IF(E155="",1,IF(E155=0,1,(E155-SUM(L155:AA155)+SUMPRODUCT(L155:AA155,$N$5:$N$20))/E155))</f>
        <v/>
      </c>
      <c r="H155" s="14">
        <f>IF(E155="",0,E155*G155)</f>
        <v/>
      </c>
      <c r="I155" s="15">
        <f>IF(H155="",0,H155*Inputs!$C$42)</f>
        <v/>
      </c>
      <c r="J155" s="14">
        <f>IF(E155="",1,1 + (Inputs!$C$95-1)*IF((1-Inputs!$C$94)=0,0,(1-G155)/(1-Inputs!$C$94)))</f>
        <v/>
      </c>
      <c r="K155" s="12">
        <f>IF(I155=0,"",B155/I155)</f>
        <v/>
      </c>
      <c r="L155" s="15">
        <f>IF(F155="",0,F155)</f>
        <v/>
      </c>
      <c r="M155" s="15">
        <f>IF(A155&lt;=1,0,L154)</f>
        <v/>
      </c>
      <c r="N155" s="15">
        <f>IF(A155&lt;=1,0,M154)</f>
        <v/>
      </c>
      <c r="O155" s="15">
        <f>IF(A155&lt;=1,0,N154)</f>
        <v/>
      </c>
      <c r="P155" s="15">
        <f>IF(A155&lt;=1,0,O154)</f>
        <v/>
      </c>
      <c r="Q155" s="15">
        <f>IF(A155&lt;=1,0,P154)</f>
        <v/>
      </c>
      <c r="R155" s="15">
        <f>IF(A155&lt;=1,0,Q154)</f>
        <v/>
      </c>
      <c r="S155" s="15">
        <f>IF(A155&lt;=1,0,R154)</f>
        <v/>
      </c>
      <c r="T155" s="15">
        <f>IF(A155&lt;=1,0,S154)</f>
        <v/>
      </c>
      <c r="U155" s="15">
        <f>IF(A155&lt;=1,0,T154)</f>
        <v/>
      </c>
      <c r="V155" s="15">
        <f>IF(A155&lt;=1,0,U154)</f>
        <v/>
      </c>
      <c r="W155" s="15">
        <f>IF(A155&lt;=1,0,V154)</f>
        <v/>
      </c>
      <c r="X155" s="15">
        <f>IF(A155&lt;=1,0,W154)</f>
        <v/>
      </c>
      <c r="Y155" s="15">
        <f>IF(A155&lt;=1,0,X154)</f>
        <v/>
      </c>
      <c r="Z155" s="15">
        <f>IF(A155&lt;=1,0,Y154)</f>
        <v/>
      </c>
      <c r="AA155" s="15">
        <f>IF(A155&lt;=1,0,Z154)</f>
        <v/>
      </c>
    </row>
    <row r="156">
      <c r="A156" s="55" t="n">
        <v>150</v>
      </c>
      <c r="B156" s="15">
        <f>IF(A156&gt;Inputs!$C$62,"",INDEX(Trajectory!$G$23:$G$2000,A156))</f>
        <v/>
      </c>
      <c r="C156" s="15">
        <f>IF(B156="","",IF(A156&lt;=Inputs!$C$75,INDEX(Trajectory!$G$23:$G$2000,1),INDEX(Trajectory!$G$23:$G$2000,MAX(1,A156-Inputs!$C$75))))</f>
        <v/>
      </c>
      <c r="D156" s="15">
        <f>IF(C156="","",MAX(Inputs!$C$76,CEILING(C156/(Inputs!$C$42*Inputs!$C$92),1)))</f>
        <v/>
      </c>
      <c r="E156" s="15">
        <f>IF(D156="","",MAX(E155,D156))</f>
        <v/>
      </c>
      <c r="F156" s="15">
        <f>E156-E155</f>
        <v/>
      </c>
      <c r="G156" s="12">
        <f>IF(E156="",1,IF(E156=0,1,(E156-SUM(L156:AA156)+SUMPRODUCT(L156:AA156,$N$5:$N$20))/E156))</f>
        <v/>
      </c>
      <c r="H156" s="14">
        <f>IF(E156="",0,E156*G156)</f>
        <v/>
      </c>
      <c r="I156" s="15">
        <f>IF(H156="",0,H156*Inputs!$C$42)</f>
        <v/>
      </c>
      <c r="J156" s="14">
        <f>IF(E156="",1,1 + (Inputs!$C$95-1)*IF((1-Inputs!$C$94)=0,0,(1-G156)/(1-Inputs!$C$94)))</f>
        <v/>
      </c>
      <c r="K156" s="12">
        <f>IF(I156=0,"",B156/I156)</f>
        <v/>
      </c>
      <c r="L156" s="15">
        <f>IF(F156="",0,F156)</f>
        <v/>
      </c>
      <c r="M156" s="15">
        <f>IF(A156&lt;=1,0,L155)</f>
        <v/>
      </c>
      <c r="N156" s="15">
        <f>IF(A156&lt;=1,0,M155)</f>
        <v/>
      </c>
      <c r="O156" s="15">
        <f>IF(A156&lt;=1,0,N155)</f>
        <v/>
      </c>
      <c r="P156" s="15">
        <f>IF(A156&lt;=1,0,O155)</f>
        <v/>
      </c>
      <c r="Q156" s="15">
        <f>IF(A156&lt;=1,0,P155)</f>
        <v/>
      </c>
      <c r="R156" s="15">
        <f>IF(A156&lt;=1,0,Q155)</f>
        <v/>
      </c>
      <c r="S156" s="15">
        <f>IF(A156&lt;=1,0,R155)</f>
        <v/>
      </c>
      <c r="T156" s="15">
        <f>IF(A156&lt;=1,0,S155)</f>
        <v/>
      </c>
      <c r="U156" s="15">
        <f>IF(A156&lt;=1,0,T155)</f>
        <v/>
      </c>
      <c r="V156" s="15">
        <f>IF(A156&lt;=1,0,U155)</f>
        <v/>
      </c>
      <c r="W156" s="15">
        <f>IF(A156&lt;=1,0,V155)</f>
        <v/>
      </c>
      <c r="X156" s="15">
        <f>IF(A156&lt;=1,0,W155)</f>
        <v/>
      </c>
      <c r="Y156" s="15">
        <f>IF(A156&lt;=1,0,X155)</f>
        <v/>
      </c>
      <c r="Z156" s="15">
        <f>IF(A156&lt;=1,0,Y155)</f>
        <v/>
      </c>
      <c r="AA156" s="15">
        <f>IF(A156&lt;=1,0,Z155)</f>
        <v/>
      </c>
    </row>
    <row r="157">
      <c r="A157" s="55" t="n">
        <v>151</v>
      </c>
      <c r="B157" s="15">
        <f>IF(A157&gt;Inputs!$C$62,"",INDEX(Trajectory!$G$23:$G$2000,A157))</f>
        <v/>
      </c>
      <c r="C157" s="15">
        <f>IF(B157="","",IF(A157&lt;=Inputs!$C$75,INDEX(Trajectory!$G$23:$G$2000,1),INDEX(Trajectory!$G$23:$G$2000,MAX(1,A157-Inputs!$C$75))))</f>
        <v/>
      </c>
      <c r="D157" s="15">
        <f>IF(C157="","",MAX(Inputs!$C$76,CEILING(C157/(Inputs!$C$42*Inputs!$C$92),1)))</f>
        <v/>
      </c>
      <c r="E157" s="15">
        <f>IF(D157="","",MAX(E156,D157))</f>
        <v/>
      </c>
      <c r="F157" s="15">
        <f>E157-E156</f>
        <v/>
      </c>
      <c r="G157" s="12">
        <f>IF(E157="",1,IF(E157=0,1,(E157-SUM(L157:AA157)+SUMPRODUCT(L157:AA157,$N$5:$N$20))/E157))</f>
        <v/>
      </c>
      <c r="H157" s="14">
        <f>IF(E157="",0,E157*G157)</f>
        <v/>
      </c>
      <c r="I157" s="15">
        <f>IF(H157="",0,H157*Inputs!$C$42)</f>
        <v/>
      </c>
      <c r="J157" s="14">
        <f>IF(E157="",1,1 + (Inputs!$C$95-1)*IF((1-Inputs!$C$94)=0,0,(1-G157)/(1-Inputs!$C$94)))</f>
        <v/>
      </c>
      <c r="K157" s="12">
        <f>IF(I157=0,"",B157/I157)</f>
        <v/>
      </c>
      <c r="L157" s="15">
        <f>IF(F157="",0,F157)</f>
        <v/>
      </c>
      <c r="M157" s="15">
        <f>IF(A157&lt;=1,0,L156)</f>
        <v/>
      </c>
      <c r="N157" s="15">
        <f>IF(A157&lt;=1,0,M156)</f>
        <v/>
      </c>
      <c r="O157" s="15">
        <f>IF(A157&lt;=1,0,N156)</f>
        <v/>
      </c>
      <c r="P157" s="15">
        <f>IF(A157&lt;=1,0,O156)</f>
        <v/>
      </c>
      <c r="Q157" s="15">
        <f>IF(A157&lt;=1,0,P156)</f>
        <v/>
      </c>
      <c r="R157" s="15">
        <f>IF(A157&lt;=1,0,Q156)</f>
        <v/>
      </c>
      <c r="S157" s="15">
        <f>IF(A157&lt;=1,0,R156)</f>
        <v/>
      </c>
      <c r="T157" s="15">
        <f>IF(A157&lt;=1,0,S156)</f>
        <v/>
      </c>
      <c r="U157" s="15">
        <f>IF(A157&lt;=1,0,T156)</f>
        <v/>
      </c>
      <c r="V157" s="15">
        <f>IF(A157&lt;=1,0,U156)</f>
        <v/>
      </c>
      <c r="W157" s="15">
        <f>IF(A157&lt;=1,0,V156)</f>
        <v/>
      </c>
      <c r="X157" s="15">
        <f>IF(A157&lt;=1,0,W156)</f>
        <v/>
      </c>
      <c r="Y157" s="15">
        <f>IF(A157&lt;=1,0,X156)</f>
        <v/>
      </c>
      <c r="Z157" s="15">
        <f>IF(A157&lt;=1,0,Y156)</f>
        <v/>
      </c>
      <c r="AA157" s="15">
        <f>IF(A157&lt;=1,0,Z156)</f>
        <v/>
      </c>
    </row>
    <row r="158">
      <c r="A158" s="55" t="n">
        <v>152</v>
      </c>
      <c r="B158" s="15">
        <f>IF(A158&gt;Inputs!$C$62,"",INDEX(Trajectory!$G$23:$G$2000,A158))</f>
        <v/>
      </c>
      <c r="C158" s="15">
        <f>IF(B158="","",IF(A158&lt;=Inputs!$C$75,INDEX(Trajectory!$G$23:$G$2000,1),INDEX(Trajectory!$G$23:$G$2000,MAX(1,A158-Inputs!$C$75))))</f>
        <v/>
      </c>
      <c r="D158" s="15">
        <f>IF(C158="","",MAX(Inputs!$C$76,CEILING(C158/(Inputs!$C$42*Inputs!$C$92),1)))</f>
        <v/>
      </c>
      <c r="E158" s="15">
        <f>IF(D158="","",MAX(E157,D158))</f>
        <v/>
      </c>
      <c r="F158" s="15">
        <f>E158-E157</f>
        <v/>
      </c>
      <c r="G158" s="12">
        <f>IF(E158="",1,IF(E158=0,1,(E158-SUM(L158:AA158)+SUMPRODUCT(L158:AA158,$N$5:$N$20))/E158))</f>
        <v/>
      </c>
      <c r="H158" s="14">
        <f>IF(E158="",0,E158*G158)</f>
        <v/>
      </c>
      <c r="I158" s="15">
        <f>IF(H158="",0,H158*Inputs!$C$42)</f>
        <v/>
      </c>
      <c r="J158" s="14">
        <f>IF(E158="",1,1 + (Inputs!$C$95-1)*IF((1-Inputs!$C$94)=0,0,(1-G158)/(1-Inputs!$C$94)))</f>
        <v/>
      </c>
      <c r="K158" s="12">
        <f>IF(I158=0,"",B158/I158)</f>
        <v/>
      </c>
      <c r="L158" s="15">
        <f>IF(F158="",0,F158)</f>
        <v/>
      </c>
      <c r="M158" s="15">
        <f>IF(A158&lt;=1,0,L157)</f>
        <v/>
      </c>
      <c r="N158" s="15">
        <f>IF(A158&lt;=1,0,M157)</f>
        <v/>
      </c>
      <c r="O158" s="15">
        <f>IF(A158&lt;=1,0,N157)</f>
        <v/>
      </c>
      <c r="P158" s="15">
        <f>IF(A158&lt;=1,0,O157)</f>
        <v/>
      </c>
      <c r="Q158" s="15">
        <f>IF(A158&lt;=1,0,P157)</f>
        <v/>
      </c>
      <c r="R158" s="15">
        <f>IF(A158&lt;=1,0,Q157)</f>
        <v/>
      </c>
      <c r="S158" s="15">
        <f>IF(A158&lt;=1,0,R157)</f>
        <v/>
      </c>
      <c r="T158" s="15">
        <f>IF(A158&lt;=1,0,S157)</f>
        <v/>
      </c>
      <c r="U158" s="15">
        <f>IF(A158&lt;=1,0,T157)</f>
        <v/>
      </c>
      <c r="V158" s="15">
        <f>IF(A158&lt;=1,0,U157)</f>
        <v/>
      </c>
      <c r="W158" s="15">
        <f>IF(A158&lt;=1,0,V157)</f>
        <v/>
      </c>
      <c r="X158" s="15">
        <f>IF(A158&lt;=1,0,W157)</f>
        <v/>
      </c>
      <c r="Y158" s="15">
        <f>IF(A158&lt;=1,0,X157)</f>
        <v/>
      </c>
      <c r="Z158" s="15">
        <f>IF(A158&lt;=1,0,Y157)</f>
        <v/>
      </c>
      <c r="AA158" s="15">
        <f>IF(A158&lt;=1,0,Z157)</f>
        <v/>
      </c>
    </row>
    <row r="159">
      <c r="A159" s="55" t="n">
        <v>153</v>
      </c>
      <c r="B159" s="15">
        <f>IF(A159&gt;Inputs!$C$62,"",INDEX(Trajectory!$G$23:$G$2000,A159))</f>
        <v/>
      </c>
      <c r="C159" s="15">
        <f>IF(B159="","",IF(A159&lt;=Inputs!$C$75,INDEX(Trajectory!$G$23:$G$2000,1),INDEX(Trajectory!$G$23:$G$2000,MAX(1,A159-Inputs!$C$75))))</f>
        <v/>
      </c>
      <c r="D159" s="15">
        <f>IF(C159="","",MAX(Inputs!$C$76,CEILING(C159/(Inputs!$C$42*Inputs!$C$92),1)))</f>
        <v/>
      </c>
      <c r="E159" s="15">
        <f>IF(D159="","",MAX(E158,D159))</f>
        <v/>
      </c>
      <c r="F159" s="15">
        <f>E159-E158</f>
        <v/>
      </c>
      <c r="G159" s="12">
        <f>IF(E159="",1,IF(E159=0,1,(E159-SUM(L159:AA159)+SUMPRODUCT(L159:AA159,$N$5:$N$20))/E159))</f>
        <v/>
      </c>
      <c r="H159" s="14">
        <f>IF(E159="",0,E159*G159)</f>
        <v/>
      </c>
      <c r="I159" s="15">
        <f>IF(H159="",0,H159*Inputs!$C$42)</f>
        <v/>
      </c>
      <c r="J159" s="14">
        <f>IF(E159="",1,1 + (Inputs!$C$95-1)*IF((1-Inputs!$C$94)=0,0,(1-G159)/(1-Inputs!$C$94)))</f>
        <v/>
      </c>
      <c r="K159" s="12">
        <f>IF(I159=0,"",B159/I159)</f>
        <v/>
      </c>
      <c r="L159" s="15">
        <f>IF(F159="",0,F159)</f>
        <v/>
      </c>
      <c r="M159" s="15">
        <f>IF(A159&lt;=1,0,L158)</f>
        <v/>
      </c>
      <c r="N159" s="15">
        <f>IF(A159&lt;=1,0,M158)</f>
        <v/>
      </c>
      <c r="O159" s="15">
        <f>IF(A159&lt;=1,0,N158)</f>
        <v/>
      </c>
      <c r="P159" s="15">
        <f>IF(A159&lt;=1,0,O158)</f>
        <v/>
      </c>
      <c r="Q159" s="15">
        <f>IF(A159&lt;=1,0,P158)</f>
        <v/>
      </c>
      <c r="R159" s="15">
        <f>IF(A159&lt;=1,0,Q158)</f>
        <v/>
      </c>
      <c r="S159" s="15">
        <f>IF(A159&lt;=1,0,R158)</f>
        <v/>
      </c>
      <c r="T159" s="15">
        <f>IF(A159&lt;=1,0,S158)</f>
        <v/>
      </c>
      <c r="U159" s="15">
        <f>IF(A159&lt;=1,0,T158)</f>
        <v/>
      </c>
      <c r="V159" s="15">
        <f>IF(A159&lt;=1,0,U158)</f>
        <v/>
      </c>
      <c r="W159" s="15">
        <f>IF(A159&lt;=1,0,V158)</f>
        <v/>
      </c>
      <c r="X159" s="15">
        <f>IF(A159&lt;=1,0,W158)</f>
        <v/>
      </c>
      <c r="Y159" s="15">
        <f>IF(A159&lt;=1,0,X158)</f>
        <v/>
      </c>
      <c r="Z159" s="15">
        <f>IF(A159&lt;=1,0,Y158)</f>
        <v/>
      </c>
      <c r="AA159" s="15">
        <f>IF(A159&lt;=1,0,Z158)</f>
        <v/>
      </c>
    </row>
    <row r="160">
      <c r="A160" s="55" t="n">
        <v>154</v>
      </c>
      <c r="B160" s="15">
        <f>IF(A160&gt;Inputs!$C$62,"",INDEX(Trajectory!$G$23:$G$2000,A160))</f>
        <v/>
      </c>
      <c r="C160" s="15">
        <f>IF(B160="","",IF(A160&lt;=Inputs!$C$75,INDEX(Trajectory!$G$23:$G$2000,1),INDEX(Trajectory!$G$23:$G$2000,MAX(1,A160-Inputs!$C$75))))</f>
        <v/>
      </c>
      <c r="D160" s="15">
        <f>IF(C160="","",MAX(Inputs!$C$76,CEILING(C160/(Inputs!$C$42*Inputs!$C$92),1)))</f>
        <v/>
      </c>
      <c r="E160" s="15">
        <f>IF(D160="","",MAX(E159,D160))</f>
        <v/>
      </c>
      <c r="F160" s="15">
        <f>E160-E159</f>
        <v/>
      </c>
      <c r="G160" s="12">
        <f>IF(E160="",1,IF(E160=0,1,(E160-SUM(L160:AA160)+SUMPRODUCT(L160:AA160,$N$5:$N$20))/E160))</f>
        <v/>
      </c>
      <c r="H160" s="14">
        <f>IF(E160="",0,E160*G160)</f>
        <v/>
      </c>
      <c r="I160" s="15">
        <f>IF(H160="",0,H160*Inputs!$C$42)</f>
        <v/>
      </c>
      <c r="J160" s="14">
        <f>IF(E160="",1,1 + (Inputs!$C$95-1)*IF((1-Inputs!$C$94)=0,0,(1-G160)/(1-Inputs!$C$94)))</f>
        <v/>
      </c>
      <c r="K160" s="12">
        <f>IF(I160=0,"",B160/I160)</f>
        <v/>
      </c>
      <c r="L160" s="15">
        <f>IF(F160="",0,F160)</f>
        <v/>
      </c>
      <c r="M160" s="15">
        <f>IF(A160&lt;=1,0,L159)</f>
        <v/>
      </c>
      <c r="N160" s="15">
        <f>IF(A160&lt;=1,0,M159)</f>
        <v/>
      </c>
      <c r="O160" s="15">
        <f>IF(A160&lt;=1,0,N159)</f>
        <v/>
      </c>
      <c r="P160" s="15">
        <f>IF(A160&lt;=1,0,O159)</f>
        <v/>
      </c>
      <c r="Q160" s="15">
        <f>IF(A160&lt;=1,0,P159)</f>
        <v/>
      </c>
      <c r="R160" s="15">
        <f>IF(A160&lt;=1,0,Q159)</f>
        <v/>
      </c>
      <c r="S160" s="15">
        <f>IF(A160&lt;=1,0,R159)</f>
        <v/>
      </c>
      <c r="T160" s="15">
        <f>IF(A160&lt;=1,0,S159)</f>
        <v/>
      </c>
      <c r="U160" s="15">
        <f>IF(A160&lt;=1,0,T159)</f>
        <v/>
      </c>
      <c r="V160" s="15">
        <f>IF(A160&lt;=1,0,U159)</f>
        <v/>
      </c>
      <c r="W160" s="15">
        <f>IF(A160&lt;=1,0,V159)</f>
        <v/>
      </c>
      <c r="X160" s="15">
        <f>IF(A160&lt;=1,0,W159)</f>
        <v/>
      </c>
      <c r="Y160" s="15">
        <f>IF(A160&lt;=1,0,X159)</f>
        <v/>
      </c>
      <c r="Z160" s="15">
        <f>IF(A160&lt;=1,0,Y159)</f>
        <v/>
      </c>
      <c r="AA160" s="15">
        <f>IF(A160&lt;=1,0,Z159)</f>
        <v/>
      </c>
    </row>
    <row r="161">
      <c r="A161" s="55" t="n">
        <v>155</v>
      </c>
      <c r="B161" s="15">
        <f>IF(A161&gt;Inputs!$C$62,"",INDEX(Trajectory!$G$23:$G$2000,A161))</f>
        <v/>
      </c>
      <c r="C161" s="15">
        <f>IF(B161="","",IF(A161&lt;=Inputs!$C$75,INDEX(Trajectory!$G$23:$G$2000,1),INDEX(Trajectory!$G$23:$G$2000,MAX(1,A161-Inputs!$C$75))))</f>
        <v/>
      </c>
      <c r="D161" s="15">
        <f>IF(C161="","",MAX(Inputs!$C$76,CEILING(C161/(Inputs!$C$42*Inputs!$C$92),1)))</f>
        <v/>
      </c>
      <c r="E161" s="15">
        <f>IF(D161="","",MAX(E160,D161))</f>
        <v/>
      </c>
      <c r="F161" s="15">
        <f>E161-E160</f>
        <v/>
      </c>
      <c r="G161" s="12">
        <f>IF(E161="",1,IF(E161=0,1,(E161-SUM(L161:AA161)+SUMPRODUCT(L161:AA161,$N$5:$N$20))/E161))</f>
        <v/>
      </c>
      <c r="H161" s="14">
        <f>IF(E161="",0,E161*G161)</f>
        <v/>
      </c>
      <c r="I161" s="15">
        <f>IF(H161="",0,H161*Inputs!$C$42)</f>
        <v/>
      </c>
      <c r="J161" s="14">
        <f>IF(E161="",1,1 + (Inputs!$C$95-1)*IF((1-Inputs!$C$94)=0,0,(1-G161)/(1-Inputs!$C$94)))</f>
        <v/>
      </c>
      <c r="K161" s="12">
        <f>IF(I161=0,"",B161/I161)</f>
        <v/>
      </c>
      <c r="L161" s="15">
        <f>IF(F161="",0,F161)</f>
        <v/>
      </c>
      <c r="M161" s="15">
        <f>IF(A161&lt;=1,0,L160)</f>
        <v/>
      </c>
      <c r="N161" s="15">
        <f>IF(A161&lt;=1,0,M160)</f>
        <v/>
      </c>
      <c r="O161" s="15">
        <f>IF(A161&lt;=1,0,N160)</f>
        <v/>
      </c>
      <c r="P161" s="15">
        <f>IF(A161&lt;=1,0,O160)</f>
        <v/>
      </c>
      <c r="Q161" s="15">
        <f>IF(A161&lt;=1,0,P160)</f>
        <v/>
      </c>
      <c r="R161" s="15">
        <f>IF(A161&lt;=1,0,Q160)</f>
        <v/>
      </c>
      <c r="S161" s="15">
        <f>IF(A161&lt;=1,0,R160)</f>
        <v/>
      </c>
      <c r="T161" s="15">
        <f>IF(A161&lt;=1,0,S160)</f>
        <v/>
      </c>
      <c r="U161" s="15">
        <f>IF(A161&lt;=1,0,T160)</f>
        <v/>
      </c>
      <c r="V161" s="15">
        <f>IF(A161&lt;=1,0,U160)</f>
        <v/>
      </c>
      <c r="W161" s="15">
        <f>IF(A161&lt;=1,0,V160)</f>
        <v/>
      </c>
      <c r="X161" s="15">
        <f>IF(A161&lt;=1,0,W160)</f>
        <v/>
      </c>
      <c r="Y161" s="15">
        <f>IF(A161&lt;=1,0,X160)</f>
        <v/>
      </c>
      <c r="Z161" s="15">
        <f>IF(A161&lt;=1,0,Y160)</f>
        <v/>
      </c>
      <c r="AA161" s="15">
        <f>IF(A161&lt;=1,0,Z160)</f>
        <v/>
      </c>
    </row>
    <row r="162">
      <c r="A162" s="55" t="n">
        <v>156</v>
      </c>
      <c r="B162" s="15">
        <f>IF(A162&gt;Inputs!$C$62,"",INDEX(Trajectory!$G$23:$G$2000,A162))</f>
        <v/>
      </c>
      <c r="C162" s="15">
        <f>IF(B162="","",IF(A162&lt;=Inputs!$C$75,INDEX(Trajectory!$G$23:$G$2000,1),INDEX(Trajectory!$G$23:$G$2000,MAX(1,A162-Inputs!$C$75))))</f>
        <v/>
      </c>
      <c r="D162" s="15">
        <f>IF(C162="","",MAX(Inputs!$C$76,CEILING(C162/(Inputs!$C$42*Inputs!$C$92),1)))</f>
        <v/>
      </c>
      <c r="E162" s="15">
        <f>IF(D162="","",MAX(E161,D162))</f>
        <v/>
      </c>
      <c r="F162" s="15">
        <f>E162-E161</f>
        <v/>
      </c>
      <c r="G162" s="12">
        <f>IF(E162="",1,IF(E162=0,1,(E162-SUM(L162:AA162)+SUMPRODUCT(L162:AA162,$N$5:$N$20))/E162))</f>
        <v/>
      </c>
      <c r="H162" s="14">
        <f>IF(E162="",0,E162*G162)</f>
        <v/>
      </c>
      <c r="I162" s="15">
        <f>IF(H162="",0,H162*Inputs!$C$42)</f>
        <v/>
      </c>
      <c r="J162" s="14">
        <f>IF(E162="",1,1 + (Inputs!$C$95-1)*IF((1-Inputs!$C$94)=0,0,(1-G162)/(1-Inputs!$C$94)))</f>
        <v/>
      </c>
      <c r="K162" s="12">
        <f>IF(I162=0,"",B162/I162)</f>
        <v/>
      </c>
      <c r="L162" s="15">
        <f>IF(F162="",0,F162)</f>
        <v/>
      </c>
      <c r="M162" s="15">
        <f>IF(A162&lt;=1,0,L161)</f>
        <v/>
      </c>
      <c r="N162" s="15">
        <f>IF(A162&lt;=1,0,M161)</f>
        <v/>
      </c>
      <c r="O162" s="15">
        <f>IF(A162&lt;=1,0,N161)</f>
        <v/>
      </c>
      <c r="P162" s="15">
        <f>IF(A162&lt;=1,0,O161)</f>
        <v/>
      </c>
      <c r="Q162" s="15">
        <f>IF(A162&lt;=1,0,P161)</f>
        <v/>
      </c>
      <c r="R162" s="15">
        <f>IF(A162&lt;=1,0,Q161)</f>
        <v/>
      </c>
      <c r="S162" s="15">
        <f>IF(A162&lt;=1,0,R161)</f>
        <v/>
      </c>
      <c r="T162" s="15">
        <f>IF(A162&lt;=1,0,S161)</f>
        <v/>
      </c>
      <c r="U162" s="15">
        <f>IF(A162&lt;=1,0,T161)</f>
        <v/>
      </c>
      <c r="V162" s="15">
        <f>IF(A162&lt;=1,0,U161)</f>
        <v/>
      </c>
      <c r="W162" s="15">
        <f>IF(A162&lt;=1,0,V161)</f>
        <v/>
      </c>
      <c r="X162" s="15">
        <f>IF(A162&lt;=1,0,W161)</f>
        <v/>
      </c>
      <c r="Y162" s="15">
        <f>IF(A162&lt;=1,0,X161)</f>
        <v/>
      </c>
      <c r="Z162" s="15">
        <f>IF(A162&lt;=1,0,Y161)</f>
        <v/>
      </c>
      <c r="AA162" s="15">
        <f>IF(A162&lt;=1,0,Z161)</f>
        <v/>
      </c>
    </row>
    <row r="163">
      <c r="A163" s="55" t="n">
        <v>157</v>
      </c>
      <c r="B163" s="15">
        <f>IF(A163&gt;Inputs!$C$62,"",INDEX(Trajectory!$G$23:$G$2000,A163))</f>
        <v/>
      </c>
      <c r="C163" s="15">
        <f>IF(B163="","",IF(A163&lt;=Inputs!$C$75,INDEX(Trajectory!$G$23:$G$2000,1),INDEX(Trajectory!$G$23:$G$2000,MAX(1,A163-Inputs!$C$75))))</f>
        <v/>
      </c>
      <c r="D163" s="15">
        <f>IF(C163="","",MAX(Inputs!$C$76,CEILING(C163/(Inputs!$C$42*Inputs!$C$92),1)))</f>
        <v/>
      </c>
      <c r="E163" s="15">
        <f>IF(D163="","",MAX(E162,D163))</f>
        <v/>
      </c>
      <c r="F163" s="15">
        <f>E163-E162</f>
        <v/>
      </c>
      <c r="G163" s="12">
        <f>IF(E163="",1,IF(E163=0,1,(E163-SUM(L163:AA163)+SUMPRODUCT(L163:AA163,$N$5:$N$20))/E163))</f>
        <v/>
      </c>
      <c r="H163" s="14">
        <f>IF(E163="",0,E163*G163)</f>
        <v/>
      </c>
      <c r="I163" s="15">
        <f>IF(H163="",0,H163*Inputs!$C$42)</f>
        <v/>
      </c>
      <c r="J163" s="14">
        <f>IF(E163="",1,1 + (Inputs!$C$95-1)*IF((1-Inputs!$C$94)=0,0,(1-G163)/(1-Inputs!$C$94)))</f>
        <v/>
      </c>
      <c r="K163" s="12">
        <f>IF(I163=0,"",B163/I163)</f>
        <v/>
      </c>
      <c r="L163" s="15">
        <f>IF(F163="",0,F163)</f>
        <v/>
      </c>
      <c r="M163" s="15">
        <f>IF(A163&lt;=1,0,L162)</f>
        <v/>
      </c>
      <c r="N163" s="15">
        <f>IF(A163&lt;=1,0,M162)</f>
        <v/>
      </c>
      <c r="O163" s="15">
        <f>IF(A163&lt;=1,0,N162)</f>
        <v/>
      </c>
      <c r="P163" s="15">
        <f>IF(A163&lt;=1,0,O162)</f>
        <v/>
      </c>
      <c r="Q163" s="15">
        <f>IF(A163&lt;=1,0,P162)</f>
        <v/>
      </c>
      <c r="R163" s="15">
        <f>IF(A163&lt;=1,0,Q162)</f>
        <v/>
      </c>
      <c r="S163" s="15">
        <f>IF(A163&lt;=1,0,R162)</f>
        <v/>
      </c>
      <c r="T163" s="15">
        <f>IF(A163&lt;=1,0,S162)</f>
        <v/>
      </c>
      <c r="U163" s="15">
        <f>IF(A163&lt;=1,0,T162)</f>
        <v/>
      </c>
      <c r="V163" s="15">
        <f>IF(A163&lt;=1,0,U162)</f>
        <v/>
      </c>
      <c r="W163" s="15">
        <f>IF(A163&lt;=1,0,V162)</f>
        <v/>
      </c>
      <c r="X163" s="15">
        <f>IF(A163&lt;=1,0,W162)</f>
        <v/>
      </c>
      <c r="Y163" s="15">
        <f>IF(A163&lt;=1,0,X162)</f>
        <v/>
      </c>
      <c r="Z163" s="15">
        <f>IF(A163&lt;=1,0,Y162)</f>
        <v/>
      </c>
      <c r="AA163" s="15">
        <f>IF(A163&lt;=1,0,Z162)</f>
        <v/>
      </c>
    </row>
    <row r="164">
      <c r="A164" s="55" t="n">
        <v>158</v>
      </c>
      <c r="B164" s="15">
        <f>IF(A164&gt;Inputs!$C$62,"",INDEX(Trajectory!$G$23:$G$2000,A164))</f>
        <v/>
      </c>
      <c r="C164" s="15">
        <f>IF(B164="","",IF(A164&lt;=Inputs!$C$75,INDEX(Trajectory!$G$23:$G$2000,1),INDEX(Trajectory!$G$23:$G$2000,MAX(1,A164-Inputs!$C$75))))</f>
        <v/>
      </c>
      <c r="D164" s="15">
        <f>IF(C164="","",MAX(Inputs!$C$76,CEILING(C164/(Inputs!$C$42*Inputs!$C$92),1)))</f>
        <v/>
      </c>
      <c r="E164" s="15">
        <f>IF(D164="","",MAX(E163,D164))</f>
        <v/>
      </c>
      <c r="F164" s="15">
        <f>E164-E163</f>
        <v/>
      </c>
      <c r="G164" s="12">
        <f>IF(E164="",1,IF(E164=0,1,(E164-SUM(L164:AA164)+SUMPRODUCT(L164:AA164,$N$5:$N$20))/E164))</f>
        <v/>
      </c>
      <c r="H164" s="14">
        <f>IF(E164="",0,E164*G164)</f>
        <v/>
      </c>
      <c r="I164" s="15">
        <f>IF(H164="",0,H164*Inputs!$C$42)</f>
        <v/>
      </c>
      <c r="J164" s="14">
        <f>IF(E164="",1,1 + (Inputs!$C$95-1)*IF((1-Inputs!$C$94)=0,0,(1-G164)/(1-Inputs!$C$94)))</f>
        <v/>
      </c>
      <c r="K164" s="12">
        <f>IF(I164=0,"",B164/I164)</f>
        <v/>
      </c>
      <c r="L164" s="15">
        <f>IF(F164="",0,F164)</f>
        <v/>
      </c>
      <c r="M164" s="15">
        <f>IF(A164&lt;=1,0,L163)</f>
        <v/>
      </c>
      <c r="N164" s="15">
        <f>IF(A164&lt;=1,0,M163)</f>
        <v/>
      </c>
      <c r="O164" s="15">
        <f>IF(A164&lt;=1,0,N163)</f>
        <v/>
      </c>
      <c r="P164" s="15">
        <f>IF(A164&lt;=1,0,O163)</f>
        <v/>
      </c>
      <c r="Q164" s="15">
        <f>IF(A164&lt;=1,0,P163)</f>
        <v/>
      </c>
      <c r="R164" s="15">
        <f>IF(A164&lt;=1,0,Q163)</f>
        <v/>
      </c>
      <c r="S164" s="15">
        <f>IF(A164&lt;=1,0,R163)</f>
        <v/>
      </c>
      <c r="T164" s="15">
        <f>IF(A164&lt;=1,0,S163)</f>
        <v/>
      </c>
      <c r="U164" s="15">
        <f>IF(A164&lt;=1,0,T163)</f>
        <v/>
      </c>
      <c r="V164" s="15">
        <f>IF(A164&lt;=1,0,U163)</f>
        <v/>
      </c>
      <c r="W164" s="15">
        <f>IF(A164&lt;=1,0,V163)</f>
        <v/>
      </c>
      <c r="X164" s="15">
        <f>IF(A164&lt;=1,0,W163)</f>
        <v/>
      </c>
      <c r="Y164" s="15">
        <f>IF(A164&lt;=1,0,X163)</f>
        <v/>
      </c>
      <c r="Z164" s="15">
        <f>IF(A164&lt;=1,0,Y163)</f>
        <v/>
      </c>
      <c r="AA164" s="15">
        <f>IF(A164&lt;=1,0,Z163)</f>
        <v/>
      </c>
    </row>
    <row r="165">
      <c r="A165" s="55" t="n">
        <v>159</v>
      </c>
      <c r="B165" s="15">
        <f>IF(A165&gt;Inputs!$C$62,"",INDEX(Trajectory!$G$23:$G$2000,A165))</f>
        <v/>
      </c>
      <c r="C165" s="15">
        <f>IF(B165="","",IF(A165&lt;=Inputs!$C$75,INDEX(Trajectory!$G$23:$G$2000,1),INDEX(Trajectory!$G$23:$G$2000,MAX(1,A165-Inputs!$C$75))))</f>
        <v/>
      </c>
      <c r="D165" s="15">
        <f>IF(C165="","",MAX(Inputs!$C$76,CEILING(C165/(Inputs!$C$42*Inputs!$C$92),1)))</f>
        <v/>
      </c>
      <c r="E165" s="15">
        <f>IF(D165="","",MAX(E164,D165))</f>
        <v/>
      </c>
      <c r="F165" s="15">
        <f>E165-E164</f>
        <v/>
      </c>
      <c r="G165" s="12">
        <f>IF(E165="",1,IF(E165=0,1,(E165-SUM(L165:AA165)+SUMPRODUCT(L165:AA165,$N$5:$N$20))/E165))</f>
        <v/>
      </c>
      <c r="H165" s="14">
        <f>IF(E165="",0,E165*G165)</f>
        <v/>
      </c>
      <c r="I165" s="15">
        <f>IF(H165="",0,H165*Inputs!$C$42)</f>
        <v/>
      </c>
      <c r="J165" s="14">
        <f>IF(E165="",1,1 + (Inputs!$C$95-1)*IF((1-Inputs!$C$94)=0,0,(1-G165)/(1-Inputs!$C$94)))</f>
        <v/>
      </c>
      <c r="K165" s="12">
        <f>IF(I165=0,"",B165/I165)</f>
        <v/>
      </c>
      <c r="L165" s="15">
        <f>IF(F165="",0,F165)</f>
        <v/>
      </c>
      <c r="M165" s="15">
        <f>IF(A165&lt;=1,0,L164)</f>
        <v/>
      </c>
      <c r="N165" s="15">
        <f>IF(A165&lt;=1,0,M164)</f>
        <v/>
      </c>
      <c r="O165" s="15">
        <f>IF(A165&lt;=1,0,N164)</f>
        <v/>
      </c>
      <c r="P165" s="15">
        <f>IF(A165&lt;=1,0,O164)</f>
        <v/>
      </c>
      <c r="Q165" s="15">
        <f>IF(A165&lt;=1,0,P164)</f>
        <v/>
      </c>
      <c r="R165" s="15">
        <f>IF(A165&lt;=1,0,Q164)</f>
        <v/>
      </c>
      <c r="S165" s="15">
        <f>IF(A165&lt;=1,0,R164)</f>
        <v/>
      </c>
      <c r="T165" s="15">
        <f>IF(A165&lt;=1,0,S164)</f>
        <v/>
      </c>
      <c r="U165" s="15">
        <f>IF(A165&lt;=1,0,T164)</f>
        <v/>
      </c>
      <c r="V165" s="15">
        <f>IF(A165&lt;=1,0,U164)</f>
        <v/>
      </c>
      <c r="W165" s="15">
        <f>IF(A165&lt;=1,0,V164)</f>
        <v/>
      </c>
      <c r="X165" s="15">
        <f>IF(A165&lt;=1,0,W164)</f>
        <v/>
      </c>
      <c r="Y165" s="15">
        <f>IF(A165&lt;=1,0,X164)</f>
        <v/>
      </c>
      <c r="Z165" s="15">
        <f>IF(A165&lt;=1,0,Y164)</f>
        <v/>
      </c>
      <c r="AA165" s="15">
        <f>IF(A165&lt;=1,0,Z164)</f>
        <v/>
      </c>
    </row>
    <row r="166">
      <c r="A166" s="55" t="n">
        <v>160</v>
      </c>
      <c r="B166" s="15">
        <f>IF(A166&gt;Inputs!$C$62,"",INDEX(Trajectory!$G$23:$G$2000,A166))</f>
        <v/>
      </c>
      <c r="C166" s="15">
        <f>IF(B166="","",IF(A166&lt;=Inputs!$C$75,INDEX(Trajectory!$G$23:$G$2000,1),INDEX(Trajectory!$G$23:$G$2000,MAX(1,A166-Inputs!$C$75))))</f>
        <v/>
      </c>
      <c r="D166" s="15">
        <f>IF(C166="","",MAX(Inputs!$C$76,CEILING(C166/(Inputs!$C$42*Inputs!$C$92),1)))</f>
        <v/>
      </c>
      <c r="E166" s="15">
        <f>IF(D166="","",MAX(E165,D166))</f>
        <v/>
      </c>
      <c r="F166" s="15">
        <f>E166-E165</f>
        <v/>
      </c>
      <c r="G166" s="12">
        <f>IF(E166="",1,IF(E166=0,1,(E166-SUM(L166:AA166)+SUMPRODUCT(L166:AA166,$N$5:$N$20))/E166))</f>
        <v/>
      </c>
      <c r="H166" s="14">
        <f>IF(E166="",0,E166*G166)</f>
        <v/>
      </c>
      <c r="I166" s="15">
        <f>IF(H166="",0,H166*Inputs!$C$42)</f>
        <v/>
      </c>
      <c r="J166" s="14">
        <f>IF(E166="",1,1 + (Inputs!$C$95-1)*IF((1-Inputs!$C$94)=0,0,(1-G166)/(1-Inputs!$C$94)))</f>
        <v/>
      </c>
      <c r="K166" s="12">
        <f>IF(I166=0,"",B166/I166)</f>
        <v/>
      </c>
      <c r="L166" s="15">
        <f>IF(F166="",0,F166)</f>
        <v/>
      </c>
      <c r="M166" s="15">
        <f>IF(A166&lt;=1,0,L165)</f>
        <v/>
      </c>
      <c r="N166" s="15">
        <f>IF(A166&lt;=1,0,M165)</f>
        <v/>
      </c>
      <c r="O166" s="15">
        <f>IF(A166&lt;=1,0,N165)</f>
        <v/>
      </c>
      <c r="P166" s="15">
        <f>IF(A166&lt;=1,0,O165)</f>
        <v/>
      </c>
      <c r="Q166" s="15">
        <f>IF(A166&lt;=1,0,P165)</f>
        <v/>
      </c>
      <c r="R166" s="15">
        <f>IF(A166&lt;=1,0,Q165)</f>
        <v/>
      </c>
      <c r="S166" s="15">
        <f>IF(A166&lt;=1,0,R165)</f>
        <v/>
      </c>
      <c r="T166" s="15">
        <f>IF(A166&lt;=1,0,S165)</f>
        <v/>
      </c>
      <c r="U166" s="15">
        <f>IF(A166&lt;=1,0,T165)</f>
        <v/>
      </c>
      <c r="V166" s="15">
        <f>IF(A166&lt;=1,0,U165)</f>
        <v/>
      </c>
      <c r="W166" s="15">
        <f>IF(A166&lt;=1,0,V165)</f>
        <v/>
      </c>
      <c r="X166" s="15">
        <f>IF(A166&lt;=1,0,W165)</f>
        <v/>
      </c>
      <c r="Y166" s="15">
        <f>IF(A166&lt;=1,0,X165)</f>
        <v/>
      </c>
      <c r="Z166" s="15">
        <f>IF(A166&lt;=1,0,Y165)</f>
        <v/>
      </c>
      <c r="AA166" s="15">
        <f>IF(A166&lt;=1,0,Z165)</f>
        <v/>
      </c>
    </row>
    <row r="167">
      <c r="A167" s="55" t="n">
        <v>161</v>
      </c>
      <c r="B167" s="15">
        <f>IF(A167&gt;Inputs!$C$62,"",INDEX(Trajectory!$G$23:$G$2000,A167))</f>
        <v/>
      </c>
      <c r="C167" s="15">
        <f>IF(B167="","",IF(A167&lt;=Inputs!$C$75,INDEX(Trajectory!$G$23:$G$2000,1),INDEX(Trajectory!$G$23:$G$2000,MAX(1,A167-Inputs!$C$75))))</f>
        <v/>
      </c>
      <c r="D167" s="15">
        <f>IF(C167="","",MAX(Inputs!$C$76,CEILING(C167/(Inputs!$C$42*Inputs!$C$92),1)))</f>
        <v/>
      </c>
      <c r="E167" s="15">
        <f>IF(D167="","",MAX(E166,D167))</f>
        <v/>
      </c>
      <c r="F167" s="15">
        <f>E167-E166</f>
        <v/>
      </c>
      <c r="G167" s="12">
        <f>IF(E167="",1,IF(E167=0,1,(E167-SUM(L167:AA167)+SUMPRODUCT(L167:AA167,$N$5:$N$20))/E167))</f>
        <v/>
      </c>
      <c r="H167" s="14">
        <f>IF(E167="",0,E167*G167)</f>
        <v/>
      </c>
      <c r="I167" s="15">
        <f>IF(H167="",0,H167*Inputs!$C$42)</f>
        <v/>
      </c>
      <c r="J167" s="14">
        <f>IF(E167="",1,1 + (Inputs!$C$95-1)*IF((1-Inputs!$C$94)=0,0,(1-G167)/(1-Inputs!$C$94)))</f>
        <v/>
      </c>
      <c r="K167" s="12">
        <f>IF(I167=0,"",B167/I167)</f>
        <v/>
      </c>
      <c r="L167" s="15">
        <f>IF(F167="",0,F167)</f>
        <v/>
      </c>
      <c r="M167" s="15">
        <f>IF(A167&lt;=1,0,L166)</f>
        <v/>
      </c>
      <c r="N167" s="15">
        <f>IF(A167&lt;=1,0,M166)</f>
        <v/>
      </c>
      <c r="O167" s="15">
        <f>IF(A167&lt;=1,0,N166)</f>
        <v/>
      </c>
      <c r="P167" s="15">
        <f>IF(A167&lt;=1,0,O166)</f>
        <v/>
      </c>
      <c r="Q167" s="15">
        <f>IF(A167&lt;=1,0,P166)</f>
        <v/>
      </c>
      <c r="R167" s="15">
        <f>IF(A167&lt;=1,0,Q166)</f>
        <v/>
      </c>
      <c r="S167" s="15">
        <f>IF(A167&lt;=1,0,R166)</f>
        <v/>
      </c>
      <c r="T167" s="15">
        <f>IF(A167&lt;=1,0,S166)</f>
        <v/>
      </c>
      <c r="U167" s="15">
        <f>IF(A167&lt;=1,0,T166)</f>
        <v/>
      </c>
      <c r="V167" s="15">
        <f>IF(A167&lt;=1,0,U166)</f>
        <v/>
      </c>
      <c r="W167" s="15">
        <f>IF(A167&lt;=1,0,V166)</f>
        <v/>
      </c>
      <c r="X167" s="15">
        <f>IF(A167&lt;=1,0,W166)</f>
        <v/>
      </c>
      <c r="Y167" s="15">
        <f>IF(A167&lt;=1,0,X166)</f>
        <v/>
      </c>
      <c r="Z167" s="15">
        <f>IF(A167&lt;=1,0,Y166)</f>
        <v/>
      </c>
      <c r="AA167" s="15">
        <f>IF(A167&lt;=1,0,Z166)</f>
        <v/>
      </c>
    </row>
    <row r="168">
      <c r="A168" s="55" t="n">
        <v>162</v>
      </c>
      <c r="B168" s="15">
        <f>IF(A168&gt;Inputs!$C$62,"",INDEX(Trajectory!$G$23:$G$2000,A168))</f>
        <v/>
      </c>
      <c r="C168" s="15">
        <f>IF(B168="","",IF(A168&lt;=Inputs!$C$75,INDEX(Trajectory!$G$23:$G$2000,1),INDEX(Trajectory!$G$23:$G$2000,MAX(1,A168-Inputs!$C$75))))</f>
        <v/>
      </c>
      <c r="D168" s="15">
        <f>IF(C168="","",MAX(Inputs!$C$76,CEILING(C168/(Inputs!$C$42*Inputs!$C$92),1)))</f>
        <v/>
      </c>
      <c r="E168" s="15">
        <f>IF(D168="","",MAX(E167,D168))</f>
        <v/>
      </c>
      <c r="F168" s="15">
        <f>E168-E167</f>
        <v/>
      </c>
      <c r="G168" s="12">
        <f>IF(E168="",1,IF(E168=0,1,(E168-SUM(L168:AA168)+SUMPRODUCT(L168:AA168,$N$5:$N$20))/E168))</f>
        <v/>
      </c>
      <c r="H168" s="14">
        <f>IF(E168="",0,E168*G168)</f>
        <v/>
      </c>
      <c r="I168" s="15">
        <f>IF(H168="",0,H168*Inputs!$C$42)</f>
        <v/>
      </c>
      <c r="J168" s="14">
        <f>IF(E168="",1,1 + (Inputs!$C$95-1)*IF((1-Inputs!$C$94)=0,0,(1-G168)/(1-Inputs!$C$94)))</f>
        <v/>
      </c>
      <c r="K168" s="12">
        <f>IF(I168=0,"",B168/I168)</f>
        <v/>
      </c>
      <c r="L168" s="15">
        <f>IF(F168="",0,F168)</f>
        <v/>
      </c>
      <c r="M168" s="15">
        <f>IF(A168&lt;=1,0,L167)</f>
        <v/>
      </c>
      <c r="N168" s="15">
        <f>IF(A168&lt;=1,0,M167)</f>
        <v/>
      </c>
      <c r="O168" s="15">
        <f>IF(A168&lt;=1,0,N167)</f>
        <v/>
      </c>
      <c r="P168" s="15">
        <f>IF(A168&lt;=1,0,O167)</f>
        <v/>
      </c>
      <c r="Q168" s="15">
        <f>IF(A168&lt;=1,0,P167)</f>
        <v/>
      </c>
      <c r="R168" s="15">
        <f>IF(A168&lt;=1,0,Q167)</f>
        <v/>
      </c>
      <c r="S168" s="15">
        <f>IF(A168&lt;=1,0,R167)</f>
        <v/>
      </c>
      <c r="T168" s="15">
        <f>IF(A168&lt;=1,0,S167)</f>
        <v/>
      </c>
      <c r="U168" s="15">
        <f>IF(A168&lt;=1,0,T167)</f>
        <v/>
      </c>
      <c r="V168" s="15">
        <f>IF(A168&lt;=1,0,U167)</f>
        <v/>
      </c>
      <c r="W168" s="15">
        <f>IF(A168&lt;=1,0,V167)</f>
        <v/>
      </c>
      <c r="X168" s="15">
        <f>IF(A168&lt;=1,0,W167)</f>
        <v/>
      </c>
      <c r="Y168" s="15">
        <f>IF(A168&lt;=1,0,X167)</f>
        <v/>
      </c>
      <c r="Z168" s="15">
        <f>IF(A168&lt;=1,0,Y167)</f>
        <v/>
      </c>
      <c r="AA168" s="15">
        <f>IF(A168&lt;=1,0,Z167)</f>
        <v/>
      </c>
    </row>
    <row r="169">
      <c r="A169" s="55" t="n">
        <v>163</v>
      </c>
      <c r="B169" s="15">
        <f>IF(A169&gt;Inputs!$C$62,"",INDEX(Trajectory!$G$23:$G$2000,A169))</f>
        <v/>
      </c>
      <c r="C169" s="15">
        <f>IF(B169="","",IF(A169&lt;=Inputs!$C$75,INDEX(Trajectory!$G$23:$G$2000,1),INDEX(Trajectory!$G$23:$G$2000,MAX(1,A169-Inputs!$C$75))))</f>
        <v/>
      </c>
      <c r="D169" s="15">
        <f>IF(C169="","",MAX(Inputs!$C$76,CEILING(C169/(Inputs!$C$42*Inputs!$C$92),1)))</f>
        <v/>
      </c>
      <c r="E169" s="15">
        <f>IF(D169="","",MAX(E168,D169))</f>
        <v/>
      </c>
      <c r="F169" s="15">
        <f>E169-E168</f>
        <v/>
      </c>
      <c r="G169" s="12">
        <f>IF(E169="",1,IF(E169=0,1,(E169-SUM(L169:AA169)+SUMPRODUCT(L169:AA169,$N$5:$N$20))/E169))</f>
        <v/>
      </c>
      <c r="H169" s="14">
        <f>IF(E169="",0,E169*G169)</f>
        <v/>
      </c>
      <c r="I169" s="15">
        <f>IF(H169="",0,H169*Inputs!$C$42)</f>
        <v/>
      </c>
      <c r="J169" s="14">
        <f>IF(E169="",1,1 + (Inputs!$C$95-1)*IF((1-Inputs!$C$94)=0,0,(1-G169)/(1-Inputs!$C$94)))</f>
        <v/>
      </c>
      <c r="K169" s="12">
        <f>IF(I169=0,"",B169/I169)</f>
        <v/>
      </c>
      <c r="L169" s="15">
        <f>IF(F169="",0,F169)</f>
        <v/>
      </c>
      <c r="M169" s="15">
        <f>IF(A169&lt;=1,0,L168)</f>
        <v/>
      </c>
      <c r="N169" s="15">
        <f>IF(A169&lt;=1,0,M168)</f>
        <v/>
      </c>
      <c r="O169" s="15">
        <f>IF(A169&lt;=1,0,N168)</f>
        <v/>
      </c>
      <c r="P169" s="15">
        <f>IF(A169&lt;=1,0,O168)</f>
        <v/>
      </c>
      <c r="Q169" s="15">
        <f>IF(A169&lt;=1,0,P168)</f>
        <v/>
      </c>
      <c r="R169" s="15">
        <f>IF(A169&lt;=1,0,Q168)</f>
        <v/>
      </c>
      <c r="S169" s="15">
        <f>IF(A169&lt;=1,0,R168)</f>
        <v/>
      </c>
      <c r="T169" s="15">
        <f>IF(A169&lt;=1,0,S168)</f>
        <v/>
      </c>
      <c r="U169" s="15">
        <f>IF(A169&lt;=1,0,T168)</f>
        <v/>
      </c>
      <c r="V169" s="15">
        <f>IF(A169&lt;=1,0,U168)</f>
        <v/>
      </c>
      <c r="W169" s="15">
        <f>IF(A169&lt;=1,0,V168)</f>
        <v/>
      </c>
      <c r="X169" s="15">
        <f>IF(A169&lt;=1,0,W168)</f>
        <v/>
      </c>
      <c r="Y169" s="15">
        <f>IF(A169&lt;=1,0,X168)</f>
        <v/>
      </c>
      <c r="Z169" s="15">
        <f>IF(A169&lt;=1,0,Y168)</f>
        <v/>
      </c>
      <c r="AA169" s="15">
        <f>IF(A169&lt;=1,0,Z168)</f>
        <v/>
      </c>
    </row>
    <row r="170">
      <c r="A170" s="55" t="n">
        <v>164</v>
      </c>
      <c r="B170" s="15">
        <f>IF(A170&gt;Inputs!$C$62,"",INDEX(Trajectory!$G$23:$G$2000,A170))</f>
        <v/>
      </c>
      <c r="C170" s="15">
        <f>IF(B170="","",IF(A170&lt;=Inputs!$C$75,INDEX(Trajectory!$G$23:$G$2000,1),INDEX(Trajectory!$G$23:$G$2000,MAX(1,A170-Inputs!$C$75))))</f>
        <v/>
      </c>
      <c r="D170" s="15">
        <f>IF(C170="","",MAX(Inputs!$C$76,CEILING(C170/(Inputs!$C$42*Inputs!$C$92),1)))</f>
        <v/>
      </c>
      <c r="E170" s="15">
        <f>IF(D170="","",MAX(E169,D170))</f>
        <v/>
      </c>
      <c r="F170" s="15">
        <f>E170-E169</f>
        <v/>
      </c>
      <c r="G170" s="12">
        <f>IF(E170="",1,IF(E170=0,1,(E170-SUM(L170:AA170)+SUMPRODUCT(L170:AA170,$N$5:$N$20))/E170))</f>
        <v/>
      </c>
      <c r="H170" s="14">
        <f>IF(E170="",0,E170*G170)</f>
        <v/>
      </c>
      <c r="I170" s="15">
        <f>IF(H170="",0,H170*Inputs!$C$42)</f>
        <v/>
      </c>
      <c r="J170" s="14">
        <f>IF(E170="",1,1 + (Inputs!$C$95-1)*IF((1-Inputs!$C$94)=0,0,(1-G170)/(1-Inputs!$C$94)))</f>
        <v/>
      </c>
      <c r="K170" s="12">
        <f>IF(I170=0,"",B170/I170)</f>
        <v/>
      </c>
      <c r="L170" s="15">
        <f>IF(F170="",0,F170)</f>
        <v/>
      </c>
      <c r="M170" s="15">
        <f>IF(A170&lt;=1,0,L169)</f>
        <v/>
      </c>
      <c r="N170" s="15">
        <f>IF(A170&lt;=1,0,M169)</f>
        <v/>
      </c>
      <c r="O170" s="15">
        <f>IF(A170&lt;=1,0,N169)</f>
        <v/>
      </c>
      <c r="P170" s="15">
        <f>IF(A170&lt;=1,0,O169)</f>
        <v/>
      </c>
      <c r="Q170" s="15">
        <f>IF(A170&lt;=1,0,P169)</f>
        <v/>
      </c>
      <c r="R170" s="15">
        <f>IF(A170&lt;=1,0,Q169)</f>
        <v/>
      </c>
      <c r="S170" s="15">
        <f>IF(A170&lt;=1,0,R169)</f>
        <v/>
      </c>
      <c r="T170" s="15">
        <f>IF(A170&lt;=1,0,S169)</f>
        <v/>
      </c>
      <c r="U170" s="15">
        <f>IF(A170&lt;=1,0,T169)</f>
        <v/>
      </c>
      <c r="V170" s="15">
        <f>IF(A170&lt;=1,0,U169)</f>
        <v/>
      </c>
      <c r="W170" s="15">
        <f>IF(A170&lt;=1,0,V169)</f>
        <v/>
      </c>
      <c r="X170" s="15">
        <f>IF(A170&lt;=1,0,W169)</f>
        <v/>
      </c>
      <c r="Y170" s="15">
        <f>IF(A170&lt;=1,0,X169)</f>
        <v/>
      </c>
      <c r="Z170" s="15">
        <f>IF(A170&lt;=1,0,Y169)</f>
        <v/>
      </c>
      <c r="AA170" s="15">
        <f>IF(A170&lt;=1,0,Z169)</f>
        <v/>
      </c>
    </row>
    <row r="171">
      <c r="A171" s="55" t="n">
        <v>165</v>
      </c>
      <c r="B171" s="15">
        <f>IF(A171&gt;Inputs!$C$62,"",INDEX(Trajectory!$G$23:$G$2000,A171))</f>
        <v/>
      </c>
      <c r="C171" s="15">
        <f>IF(B171="","",IF(A171&lt;=Inputs!$C$75,INDEX(Trajectory!$G$23:$G$2000,1),INDEX(Trajectory!$G$23:$G$2000,MAX(1,A171-Inputs!$C$75))))</f>
        <v/>
      </c>
      <c r="D171" s="15">
        <f>IF(C171="","",MAX(Inputs!$C$76,CEILING(C171/(Inputs!$C$42*Inputs!$C$92),1)))</f>
        <v/>
      </c>
      <c r="E171" s="15">
        <f>IF(D171="","",MAX(E170,D171))</f>
        <v/>
      </c>
      <c r="F171" s="15">
        <f>E171-E170</f>
        <v/>
      </c>
      <c r="G171" s="12">
        <f>IF(E171="",1,IF(E171=0,1,(E171-SUM(L171:AA171)+SUMPRODUCT(L171:AA171,$N$5:$N$20))/E171))</f>
        <v/>
      </c>
      <c r="H171" s="14">
        <f>IF(E171="",0,E171*G171)</f>
        <v/>
      </c>
      <c r="I171" s="15">
        <f>IF(H171="",0,H171*Inputs!$C$42)</f>
        <v/>
      </c>
      <c r="J171" s="14">
        <f>IF(E171="",1,1 + (Inputs!$C$95-1)*IF((1-Inputs!$C$94)=0,0,(1-G171)/(1-Inputs!$C$94)))</f>
        <v/>
      </c>
      <c r="K171" s="12">
        <f>IF(I171=0,"",B171/I171)</f>
        <v/>
      </c>
      <c r="L171" s="15">
        <f>IF(F171="",0,F171)</f>
        <v/>
      </c>
      <c r="M171" s="15">
        <f>IF(A171&lt;=1,0,L170)</f>
        <v/>
      </c>
      <c r="N171" s="15">
        <f>IF(A171&lt;=1,0,M170)</f>
        <v/>
      </c>
      <c r="O171" s="15">
        <f>IF(A171&lt;=1,0,N170)</f>
        <v/>
      </c>
      <c r="P171" s="15">
        <f>IF(A171&lt;=1,0,O170)</f>
        <v/>
      </c>
      <c r="Q171" s="15">
        <f>IF(A171&lt;=1,0,P170)</f>
        <v/>
      </c>
      <c r="R171" s="15">
        <f>IF(A171&lt;=1,0,Q170)</f>
        <v/>
      </c>
      <c r="S171" s="15">
        <f>IF(A171&lt;=1,0,R170)</f>
        <v/>
      </c>
      <c r="T171" s="15">
        <f>IF(A171&lt;=1,0,S170)</f>
        <v/>
      </c>
      <c r="U171" s="15">
        <f>IF(A171&lt;=1,0,T170)</f>
        <v/>
      </c>
      <c r="V171" s="15">
        <f>IF(A171&lt;=1,0,U170)</f>
        <v/>
      </c>
      <c r="W171" s="15">
        <f>IF(A171&lt;=1,0,V170)</f>
        <v/>
      </c>
      <c r="X171" s="15">
        <f>IF(A171&lt;=1,0,W170)</f>
        <v/>
      </c>
      <c r="Y171" s="15">
        <f>IF(A171&lt;=1,0,X170)</f>
        <v/>
      </c>
      <c r="Z171" s="15">
        <f>IF(A171&lt;=1,0,Y170)</f>
        <v/>
      </c>
      <c r="AA171" s="15">
        <f>IF(A171&lt;=1,0,Z170)</f>
        <v/>
      </c>
    </row>
    <row r="172">
      <c r="A172" s="55" t="n">
        <v>166</v>
      </c>
      <c r="B172" s="15">
        <f>IF(A172&gt;Inputs!$C$62,"",INDEX(Trajectory!$G$23:$G$2000,A172))</f>
        <v/>
      </c>
      <c r="C172" s="15">
        <f>IF(B172="","",IF(A172&lt;=Inputs!$C$75,INDEX(Trajectory!$G$23:$G$2000,1),INDEX(Trajectory!$G$23:$G$2000,MAX(1,A172-Inputs!$C$75))))</f>
        <v/>
      </c>
      <c r="D172" s="15">
        <f>IF(C172="","",MAX(Inputs!$C$76,CEILING(C172/(Inputs!$C$42*Inputs!$C$92),1)))</f>
        <v/>
      </c>
      <c r="E172" s="15">
        <f>IF(D172="","",MAX(E171,D172))</f>
        <v/>
      </c>
      <c r="F172" s="15">
        <f>E172-E171</f>
        <v/>
      </c>
      <c r="G172" s="12">
        <f>IF(E172="",1,IF(E172=0,1,(E172-SUM(L172:AA172)+SUMPRODUCT(L172:AA172,$N$5:$N$20))/E172))</f>
        <v/>
      </c>
      <c r="H172" s="14">
        <f>IF(E172="",0,E172*G172)</f>
        <v/>
      </c>
      <c r="I172" s="15">
        <f>IF(H172="",0,H172*Inputs!$C$42)</f>
        <v/>
      </c>
      <c r="J172" s="14">
        <f>IF(E172="",1,1 + (Inputs!$C$95-1)*IF((1-Inputs!$C$94)=0,0,(1-G172)/(1-Inputs!$C$94)))</f>
        <v/>
      </c>
      <c r="K172" s="12">
        <f>IF(I172=0,"",B172/I172)</f>
        <v/>
      </c>
      <c r="L172" s="15">
        <f>IF(F172="",0,F172)</f>
        <v/>
      </c>
      <c r="M172" s="15">
        <f>IF(A172&lt;=1,0,L171)</f>
        <v/>
      </c>
      <c r="N172" s="15">
        <f>IF(A172&lt;=1,0,M171)</f>
        <v/>
      </c>
      <c r="O172" s="15">
        <f>IF(A172&lt;=1,0,N171)</f>
        <v/>
      </c>
      <c r="P172" s="15">
        <f>IF(A172&lt;=1,0,O171)</f>
        <v/>
      </c>
      <c r="Q172" s="15">
        <f>IF(A172&lt;=1,0,P171)</f>
        <v/>
      </c>
      <c r="R172" s="15">
        <f>IF(A172&lt;=1,0,Q171)</f>
        <v/>
      </c>
      <c r="S172" s="15">
        <f>IF(A172&lt;=1,0,R171)</f>
        <v/>
      </c>
      <c r="T172" s="15">
        <f>IF(A172&lt;=1,0,S171)</f>
        <v/>
      </c>
      <c r="U172" s="15">
        <f>IF(A172&lt;=1,0,T171)</f>
        <v/>
      </c>
      <c r="V172" s="15">
        <f>IF(A172&lt;=1,0,U171)</f>
        <v/>
      </c>
      <c r="W172" s="15">
        <f>IF(A172&lt;=1,0,V171)</f>
        <v/>
      </c>
      <c r="X172" s="15">
        <f>IF(A172&lt;=1,0,W171)</f>
        <v/>
      </c>
      <c r="Y172" s="15">
        <f>IF(A172&lt;=1,0,X171)</f>
        <v/>
      </c>
      <c r="Z172" s="15">
        <f>IF(A172&lt;=1,0,Y171)</f>
        <v/>
      </c>
      <c r="AA172" s="15">
        <f>IF(A172&lt;=1,0,Z171)</f>
        <v/>
      </c>
    </row>
    <row r="173">
      <c r="A173" s="55" t="n">
        <v>167</v>
      </c>
      <c r="B173" s="15">
        <f>IF(A173&gt;Inputs!$C$62,"",INDEX(Trajectory!$G$23:$G$2000,A173))</f>
        <v/>
      </c>
      <c r="C173" s="15">
        <f>IF(B173="","",IF(A173&lt;=Inputs!$C$75,INDEX(Trajectory!$G$23:$G$2000,1),INDEX(Trajectory!$G$23:$G$2000,MAX(1,A173-Inputs!$C$75))))</f>
        <v/>
      </c>
      <c r="D173" s="15">
        <f>IF(C173="","",MAX(Inputs!$C$76,CEILING(C173/(Inputs!$C$42*Inputs!$C$92),1)))</f>
        <v/>
      </c>
      <c r="E173" s="15">
        <f>IF(D173="","",MAX(E172,D173))</f>
        <v/>
      </c>
      <c r="F173" s="15">
        <f>E173-E172</f>
        <v/>
      </c>
      <c r="G173" s="12">
        <f>IF(E173="",1,IF(E173=0,1,(E173-SUM(L173:AA173)+SUMPRODUCT(L173:AA173,$N$5:$N$20))/E173))</f>
        <v/>
      </c>
      <c r="H173" s="14">
        <f>IF(E173="",0,E173*G173)</f>
        <v/>
      </c>
      <c r="I173" s="15">
        <f>IF(H173="",0,H173*Inputs!$C$42)</f>
        <v/>
      </c>
      <c r="J173" s="14">
        <f>IF(E173="",1,1 + (Inputs!$C$95-1)*IF((1-Inputs!$C$94)=0,0,(1-G173)/(1-Inputs!$C$94)))</f>
        <v/>
      </c>
      <c r="K173" s="12">
        <f>IF(I173=0,"",B173/I173)</f>
        <v/>
      </c>
      <c r="L173" s="15">
        <f>IF(F173="",0,F173)</f>
        <v/>
      </c>
      <c r="M173" s="15">
        <f>IF(A173&lt;=1,0,L172)</f>
        <v/>
      </c>
      <c r="N173" s="15">
        <f>IF(A173&lt;=1,0,M172)</f>
        <v/>
      </c>
      <c r="O173" s="15">
        <f>IF(A173&lt;=1,0,N172)</f>
        <v/>
      </c>
      <c r="P173" s="15">
        <f>IF(A173&lt;=1,0,O172)</f>
        <v/>
      </c>
      <c r="Q173" s="15">
        <f>IF(A173&lt;=1,0,P172)</f>
        <v/>
      </c>
      <c r="R173" s="15">
        <f>IF(A173&lt;=1,0,Q172)</f>
        <v/>
      </c>
      <c r="S173" s="15">
        <f>IF(A173&lt;=1,0,R172)</f>
        <v/>
      </c>
      <c r="T173" s="15">
        <f>IF(A173&lt;=1,0,S172)</f>
        <v/>
      </c>
      <c r="U173" s="15">
        <f>IF(A173&lt;=1,0,T172)</f>
        <v/>
      </c>
      <c r="V173" s="15">
        <f>IF(A173&lt;=1,0,U172)</f>
        <v/>
      </c>
      <c r="W173" s="15">
        <f>IF(A173&lt;=1,0,V172)</f>
        <v/>
      </c>
      <c r="X173" s="15">
        <f>IF(A173&lt;=1,0,W172)</f>
        <v/>
      </c>
      <c r="Y173" s="15">
        <f>IF(A173&lt;=1,0,X172)</f>
        <v/>
      </c>
      <c r="Z173" s="15">
        <f>IF(A173&lt;=1,0,Y172)</f>
        <v/>
      </c>
      <c r="AA173" s="15">
        <f>IF(A173&lt;=1,0,Z172)</f>
        <v/>
      </c>
    </row>
    <row r="174">
      <c r="A174" s="55" t="n">
        <v>168</v>
      </c>
      <c r="B174" s="15">
        <f>IF(A174&gt;Inputs!$C$62,"",INDEX(Trajectory!$G$23:$G$2000,A174))</f>
        <v/>
      </c>
      <c r="C174" s="15">
        <f>IF(B174="","",IF(A174&lt;=Inputs!$C$75,INDEX(Trajectory!$G$23:$G$2000,1),INDEX(Trajectory!$G$23:$G$2000,MAX(1,A174-Inputs!$C$75))))</f>
        <v/>
      </c>
      <c r="D174" s="15">
        <f>IF(C174="","",MAX(Inputs!$C$76,CEILING(C174/(Inputs!$C$42*Inputs!$C$92),1)))</f>
        <v/>
      </c>
      <c r="E174" s="15">
        <f>IF(D174="","",MAX(E173,D174))</f>
        <v/>
      </c>
      <c r="F174" s="15">
        <f>E174-E173</f>
        <v/>
      </c>
      <c r="G174" s="12">
        <f>IF(E174="",1,IF(E174=0,1,(E174-SUM(L174:AA174)+SUMPRODUCT(L174:AA174,$N$5:$N$20))/E174))</f>
        <v/>
      </c>
      <c r="H174" s="14">
        <f>IF(E174="",0,E174*G174)</f>
        <v/>
      </c>
      <c r="I174" s="15">
        <f>IF(H174="",0,H174*Inputs!$C$42)</f>
        <v/>
      </c>
      <c r="J174" s="14">
        <f>IF(E174="",1,1 + (Inputs!$C$95-1)*IF((1-Inputs!$C$94)=0,0,(1-G174)/(1-Inputs!$C$94)))</f>
        <v/>
      </c>
      <c r="K174" s="12">
        <f>IF(I174=0,"",B174/I174)</f>
        <v/>
      </c>
      <c r="L174" s="15">
        <f>IF(F174="",0,F174)</f>
        <v/>
      </c>
      <c r="M174" s="15">
        <f>IF(A174&lt;=1,0,L173)</f>
        <v/>
      </c>
      <c r="N174" s="15">
        <f>IF(A174&lt;=1,0,M173)</f>
        <v/>
      </c>
      <c r="O174" s="15">
        <f>IF(A174&lt;=1,0,N173)</f>
        <v/>
      </c>
      <c r="P174" s="15">
        <f>IF(A174&lt;=1,0,O173)</f>
        <v/>
      </c>
      <c r="Q174" s="15">
        <f>IF(A174&lt;=1,0,P173)</f>
        <v/>
      </c>
      <c r="R174" s="15">
        <f>IF(A174&lt;=1,0,Q173)</f>
        <v/>
      </c>
      <c r="S174" s="15">
        <f>IF(A174&lt;=1,0,R173)</f>
        <v/>
      </c>
      <c r="T174" s="15">
        <f>IF(A174&lt;=1,0,S173)</f>
        <v/>
      </c>
      <c r="U174" s="15">
        <f>IF(A174&lt;=1,0,T173)</f>
        <v/>
      </c>
      <c r="V174" s="15">
        <f>IF(A174&lt;=1,0,U173)</f>
        <v/>
      </c>
      <c r="W174" s="15">
        <f>IF(A174&lt;=1,0,V173)</f>
        <v/>
      </c>
      <c r="X174" s="15">
        <f>IF(A174&lt;=1,0,W173)</f>
        <v/>
      </c>
      <c r="Y174" s="15">
        <f>IF(A174&lt;=1,0,X173)</f>
        <v/>
      </c>
      <c r="Z174" s="15">
        <f>IF(A174&lt;=1,0,Y173)</f>
        <v/>
      </c>
      <c r="AA174" s="15">
        <f>IF(A174&lt;=1,0,Z173)</f>
        <v/>
      </c>
    </row>
    <row r="175">
      <c r="A175" s="55" t="n">
        <v>169</v>
      </c>
      <c r="B175" s="15">
        <f>IF(A175&gt;Inputs!$C$62,"",INDEX(Trajectory!$G$23:$G$2000,A175))</f>
        <v/>
      </c>
      <c r="C175" s="15">
        <f>IF(B175="","",IF(A175&lt;=Inputs!$C$75,INDEX(Trajectory!$G$23:$G$2000,1),INDEX(Trajectory!$G$23:$G$2000,MAX(1,A175-Inputs!$C$75))))</f>
        <v/>
      </c>
      <c r="D175" s="15">
        <f>IF(C175="","",MAX(Inputs!$C$76,CEILING(C175/(Inputs!$C$42*Inputs!$C$92),1)))</f>
        <v/>
      </c>
      <c r="E175" s="15">
        <f>IF(D175="","",MAX(E174,D175))</f>
        <v/>
      </c>
      <c r="F175" s="15">
        <f>E175-E174</f>
        <v/>
      </c>
      <c r="G175" s="12">
        <f>IF(E175="",1,IF(E175=0,1,(E175-SUM(L175:AA175)+SUMPRODUCT(L175:AA175,$N$5:$N$20))/E175))</f>
        <v/>
      </c>
      <c r="H175" s="14">
        <f>IF(E175="",0,E175*G175)</f>
        <v/>
      </c>
      <c r="I175" s="15">
        <f>IF(H175="",0,H175*Inputs!$C$42)</f>
        <v/>
      </c>
      <c r="J175" s="14">
        <f>IF(E175="",1,1 + (Inputs!$C$95-1)*IF((1-Inputs!$C$94)=0,0,(1-G175)/(1-Inputs!$C$94)))</f>
        <v/>
      </c>
      <c r="K175" s="12">
        <f>IF(I175=0,"",B175/I175)</f>
        <v/>
      </c>
      <c r="L175" s="15">
        <f>IF(F175="",0,F175)</f>
        <v/>
      </c>
      <c r="M175" s="15">
        <f>IF(A175&lt;=1,0,L174)</f>
        <v/>
      </c>
      <c r="N175" s="15">
        <f>IF(A175&lt;=1,0,M174)</f>
        <v/>
      </c>
      <c r="O175" s="15">
        <f>IF(A175&lt;=1,0,N174)</f>
        <v/>
      </c>
      <c r="P175" s="15">
        <f>IF(A175&lt;=1,0,O174)</f>
        <v/>
      </c>
      <c r="Q175" s="15">
        <f>IF(A175&lt;=1,0,P174)</f>
        <v/>
      </c>
      <c r="R175" s="15">
        <f>IF(A175&lt;=1,0,Q174)</f>
        <v/>
      </c>
      <c r="S175" s="15">
        <f>IF(A175&lt;=1,0,R174)</f>
        <v/>
      </c>
      <c r="T175" s="15">
        <f>IF(A175&lt;=1,0,S174)</f>
        <v/>
      </c>
      <c r="U175" s="15">
        <f>IF(A175&lt;=1,0,T174)</f>
        <v/>
      </c>
      <c r="V175" s="15">
        <f>IF(A175&lt;=1,0,U174)</f>
        <v/>
      </c>
      <c r="W175" s="15">
        <f>IF(A175&lt;=1,0,V174)</f>
        <v/>
      </c>
      <c r="X175" s="15">
        <f>IF(A175&lt;=1,0,W174)</f>
        <v/>
      </c>
      <c r="Y175" s="15">
        <f>IF(A175&lt;=1,0,X174)</f>
        <v/>
      </c>
      <c r="Z175" s="15">
        <f>IF(A175&lt;=1,0,Y174)</f>
        <v/>
      </c>
      <c r="AA175" s="15">
        <f>IF(A175&lt;=1,0,Z174)</f>
        <v/>
      </c>
    </row>
    <row r="176">
      <c r="A176" s="55" t="n">
        <v>170</v>
      </c>
      <c r="B176" s="15">
        <f>IF(A176&gt;Inputs!$C$62,"",INDEX(Trajectory!$G$23:$G$2000,A176))</f>
        <v/>
      </c>
      <c r="C176" s="15">
        <f>IF(B176="","",IF(A176&lt;=Inputs!$C$75,INDEX(Trajectory!$G$23:$G$2000,1),INDEX(Trajectory!$G$23:$G$2000,MAX(1,A176-Inputs!$C$75))))</f>
        <v/>
      </c>
      <c r="D176" s="15">
        <f>IF(C176="","",MAX(Inputs!$C$76,CEILING(C176/(Inputs!$C$42*Inputs!$C$92),1)))</f>
        <v/>
      </c>
      <c r="E176" s="15">
        <f>IF(D176="","",MAX(E175,D176))</f>
        <v/>
      </c>
      <c r="F176" s="15">
        <f>E176-E175</f>
        <v/>
      </c>
      <c r="G176" s="12">
        <f>IF(E176="",1,IF(E176=0,1,(E176-SUM(L176:AA176)+SUMPRODUCT(L176:AA176,$N$5:$N$20))/E176))</f>
        <v/>
      </c>
      <c r="H176" s="14">
        <f>IF(E176="",0,E176*G176)</f>
        <v/>
      </c>
      <c r="I176" s="15">
        <f>IF(H176="",0,H176*Inputs!$C$42)</f>
        <v/>
      </c>
      <c r="J176" s="14">
        <f>IF(E176="",1,1 + (Inputs!$C$95-1)*IF((1-Inputs!$C$94)=0,0,(1-G176)/(1-Inputs!$C$94)))</f>
        <v/>
      </c>
      <c r="K176" s="12">
        <f>IF(I176=0,"",B176/I176)</f>
        <v/>
      </c>
      <c r="L176" s="15">
        <f>IF(F176="",0,F176)</f>
        <v/>
      </c>
      <c r="M176" s="15">
        <f>IF(A176&lt;=1,0,L175)</f>
        <v/>
      </c>
      <c r="N176" s="15">
        <f>IF(A176&lt;=1,0,M175)</f>
        <v/>
      </c>
      <c r="O176" s="15">
        <f>IF(A176&lt;=1,0,N175)</f>
        <v/>
      </c>
      <c r="P176" s="15">
        <f>IF(A176&lt;=1,0,O175)</f>
        <v/>
      </c>
      <c r="Q176" s="15">
        <f>IF(A176&lt;=1,0,P175)</f>
        <v/>
      </c>
      <c r="R176" s="15">
        <f>IF(A176&lt;=1,0,Q175)</f>
        <v/>
      </c>
      <c r="S176" s="15">
        <f>IF(A176&lt;=1,0,R175)</f>
        <v/>
      </c>
      <c r="T176" s="15">
        <f>IF(A176&lt;=1,0,S175)</f>
        <v/>
      </c>
      <c r="U176" s="15">
        <f>IF(A176&lt;=1,0,T175)</f>
        <v/>
      </c>
      <c r="V176" s="15">
        <f>IF(A176&lt;=1,0,U175)</f>
        <v/>
      </c>
      <c r="W176" s="15">
        <f>IF(A176&lt;=1,0,V175)</f>
        <v/>
      </c>
      <c r="X176" s="15">
        <f>IF(A176&lt;=1,0,W175)</f>
        <v/>
      </c>
      <c r="Y176" s="15">
        <f>IF(A176&lt;=1,0,X175)</f>
        <v/>
      </c>
      <c r="Z176" s="15">
        <f>IF(A176&lt;=1,0,Y175)</f>
        <v/>
      </c>
      <c r="AA176" s="15">
        <f>IF(A176&lt;=1,0,Z175)</f>
        <v/>
      </c>
    </row>
    <row r="177">
      <c r="A177" s="55" t="n">
        <v>171</v>
      </c>
      <c r="B177" s="15">
        <f>IF(A177&gt;Inputs!$C$62,"",INDEX(Trajectory!$G$23:$G$2000,A177))</f>
        <v/>
      </c>
      <c r="C177" s="15">
        <f>IF(B177="","",IF(A177&lt;=Inputs!$C$75,INDEX(Trajectory!$G$23:$G$2000,1),INDEX(Trajectory!$G$23:$G$2000,MAX(1,A177-Inputs!$C$75))))</f>
        <v/>
      </c>
      <c r="D177" s="15">
        <f>IF(C177="","",MAX(Inputs!$C$76,CEILING(C177/(Inputs!$C$42*Inputs!$C$92),1)))</f>
        <v/>
      </c>
      <c r="E177" s="15">
        <f>IF(D177="","",MAX(E176,D177))</f>
        <v/>
      </c>
      <c r="F177" s="15">
        <f>E177-E176</f>
        <v/>
      </c>
      <c r="G177" s="12">
        <f>IF(E177="",1,IF(E177=0,1,(E177-SUM(L177:AA177)+SUMPRODUCT(L177:AA177,$N$5:$N$20))/E177))</f>
        <v/>
      </c>
      <c r="H177" s="14">
        <f>IF(E177="",0,E177*G177)</f>
        <v/>
      </c>
      <c r="I177" s="15">
        <f>IF(H177="",0,H177*Inputs!$C$42)</f>
        <v/>
      </c>
      <c r="J177" s="14">
        <f>IF(E177="",1,1 + (Inputs!$C$95-1)*IF((1-Inputs!$C$94)=0,0,(1-G177)/(1-Inputs!$C$94)))</f>
        <v/>
      </c>
      <c r="K177" s="12">
        <f>IF(I177=0,"",B177/I177)</f>
        <v/>
      </c>
      <c r="L177" s="15">
        <f>IF(F177="",0,F177)</f>
        <v/>
      </c>
      <c r="M177" s="15">
        <f>IF(A177&lt;=1,0,L176)</f>
        <v/>
      </c>
      <c r="N177" s="15">
        <f>IF(A177&lt;=1,0,M176)</f>
        <v/>
      </c>
      <c r="O177" s="15">
        <f>IF(A177&lt;=1,0,N176)</f>
        <v/>
      </c>
      <c r="P177" s="15">
        <f>IF(A177&lt;=1,0,O176)</f>
        <v/>
      </c>
      <c r="Q177" s="15">
        <f>IF(A177&lt;=1,0,P176)</f>
        <v/>
      </c>
      <c r="R177" s="15">
        <f>IF(A177&lt;=1,0,Q176)</f>
        <v/>
      </c>
      <c r="S177" s="15">
        <f>IF(A177&lt;=1,0,R176)</f>
        <v/>
      </c>
      <c r="T177" s="15">
        <f>IF(A177&lt;=1,0,S176)</f>
        <v/>
      </c>
      <c r="U177" s="15">
        <f>IF(A177&lt;=1,0,T176)</f>
        <v/>
      </c>
      <c r="V177" s="15">
        <f>IF(A177&lt;=1,0,U176)</f>
        <v/>
      </c>
      <c r="W177" s="15">
        <f>IF(A177&lt;=1,0,V176)</f>
        <v/>
      </c>
      <c r="X177" s="15">
        <f>IF(A177&lt;=1,0,W176)</f>
        <v/>
      </c>
      <c r="Y177" s="15">
        <f>IF(A177&lt;=1,0,X176)</f>
        <v/>
      </c>
      <c r="Z177" s="15">
        <f>IF(A177&lt;=1,0,Y176)</f>
        <v/>
      </c>
      <c r="AA177" s="15">
        <f>IF(A177&lt;=1,0,Z176)</f>
        <v/>
      </c>
    </row>
    <row r="178">
      <c r="A178" s="55" t="n">
        <v>172</v>
      </c>
      <c r="B178" s="15">
        <f>IF(A178&gt;Inputs!$C$62,"",INDEX(Trajectory!$G$23:$G$2000,A178))</f>
        <v/>
      </c>
      <c r="C178" s="15">
        <f>IF(B178="","",IF(A178&lt;=Inputs!$C$75,INDEX(Trajectory!$G$23:$G$2000,1),INDEX(Trajectory!$G$23:$G$2000,MAX(1,A178-Inputs!$C$75))))</f>
        <v/>
      </c>
      <c r="D178" s="15">
        <f>IF(C178="","",MAX(Inputs!$C$76,CEILING(C178/(Inputs!$C$42*Inputs!$C$92),1)))</f>
        <v/>
      </c>
      <c r="E178" s="15">
        <f>IF(D178="","",MAX(E177,D178))</f>
        <v/>
      </c>
      <c r="F178" s="15">
        <f>E178-E177</f>
        <v/>
      </c>
      <c r="G178" s="12">
        <f>IF(E178="",1,IF(E178=0,1,(E178-SUM(L178:AA178)+SUMPRODUCT(L178:AA178,$N$5:$N$20))/E178))</f>
        <v/>
      </c>
      <c r="H178" s="14">
        <f>IF(E178="",0,E178*G178)</f>
        <v/>
      </c>
      <c r="I178" s="15">
        <f>IF(H178="",0,H178*Inputs!$C$42)</f>
        <v/>
      </c>
      <c r="J178" s="14">
        <f>IF(E178="",1,1 + (Inputs!$C$95-1)*IF((1-Inputs!$C$94)=0,0,(1-G178)/(1-Inputs!$C$94)))</f>
        <v/>
      </c>
      <c r="K178" s="12">
        <f>IF(I178=0,"",B178/I178)</f>
        <v/>
      </c>
      <c r="L178" s="15">
        <f>IF(F178="",0,F178)</f>
        <v/>
      </c>
      <c r="M178" s="15">
        <f>IF(A178&lt;=1,0,L177)</f>
        <v/>
      </c>
      <c r="N178" s="15">
        <f>IF(A178&lt;=1,0,M177)</f>
        <v/>
      </c>
      <c r="O178" s="15">
        <f>IF(A178&lt;=1,0,N177)</f>
        <v/>
      </c>
      <c r="P178" s="15">
        <f>IF(A178&lt;=1,0,O177)</f>
        <v/>
      </c>
      <c r="Q178" s="15">
        <f>IF(A178&lt;=1,0,P177)</f>
        <v/>
      </c>
      <c r="R178" s="15">
        <f>IF(A178&lt;=1,0,Q177)</f>
        <v/>
      </c>
      <c r="S178" s="15">
        <f>IF(A178&lt;=1,0,R177)</f>
        <v/>
      </c>
      <c r="T178" s="15">
        <f>IF(A178&lt;=1,0,S177)</f>
        <v/>
      </c>
      <c r="U178" s="15">
        <f>IF(A178&lt;=1,0,T177)</f>
        <v/>
      </c>
      <c r="V178" s="15">
        <f>IF(A178&lt;=1,0,U177)</f>
        <v/>
      </c>
      <c r="W178" s="15">
        <f>IF(A178&lt;=1,0,V177)</f>
        <v/>
      </c>
      <c r="X178" s="15">
        <f>IF(A178&lt;=1,0,W177)</f>
        <v/>
      </c>
      <c r="Y178" s="15">
        <f>IF(A178&lt;=1,0,X177)</f>
        <v/>
      </c>
      <c r="Z178" s="15">
        <f>IF(A178&lt;=1,0,Y177)</f>
        <v/>
      </c>
      <c r="AA178" s="15">
        <f>IF(A178&lt;=1,0,Z177)</f>
        <v/>
      </c>
    </row>
    <row r="179">
      <c r="A179" s="55" t="n">
        <v>173</v>
      </c>
      <c r="B179" s="15">
        <f>IF(A179&gt;Inputs!$C$62,"",INDEX(Trajectory!$G$23:$G$2000,A179))</f>
        <v/>
      </c>
      <c r="C179" s="15">
        <f>IF(B179="","",IF(A179&lt;=Inputs!$C$75,INDEX(Trajectory!$G$23:$G$2000,1),INDEX(Trajectory!$G$23:$G$2000,MAX(1,A179-Inputs!$C$75))))</f>
        <v/>
      </c>
      <c r="D179" s="15">
        <f>IF(C179="","",MAX(Inputs!$C$76,CEILING(C179/(Inputs!$C$42*Inputs!$C$92),1)))</f>
        <v/>
      </c>
      <c r="E179" s="15">
        <f>IF(D179="","",MAX(E178,D179))</f>
        <v/>
      </c>
      <c r="F179" s="15">
        <f>E179-E178</f>
        <v/>
      </c>
      <c r="G179" s="12">
        <f>IF(E179="",1,IF(E179=0,1,(E179-SUM(L179:AA179)+SUMPRODUCT(L179:AA179,$N$5:$N$20))/E179))</f>
        <v/>
      </c>
      <c r="H179" s="14">
        <f>IF(E179="",0,E179*G179)</f>
        <v/>
      </c>
      <c r="I179" s="15">
        <f>IF(H179="",0,H179*Inputs!$C$42)</f>
        <v/>
      </c>
      <c r="J179" s="14">
        <f>IF(E179="",1,1 + (Inputs!$C$95-1)*IF((1-Inputs!$C$94)=0,0,(1-G179)/(1-Inputs!$C$94)))</f>
        <v/>
      </c>
      <c r="K179" s="12">
        <f>IF(I179=0,"",B179/I179)</f>
        <v/>
      </c>
      <c r="L179" s="15">
        <f>IF(F179="",0,F179)</f>
        <v/>
      </c>
      <c r="M179" s="15">
        <f>IF(A179&lt;=1,0,L178)</f>
        <v/>
      </c>
      <c r="N179" s="15">
        <f>IF(A179&lt;=1,0,M178)</f>
        <v/>
      </c>
      <c r="O179" s="15">
        <f>IF(A179&lt;=1,0,N178)</f>
        <v/>
      </c>
      <c r="P179" s="15">
        <f>IF(A179&lt;=1,0,O178)</f>
        <v/>
      </c>
      <c r="Q179" s="15">
        <f>IF(A179&lt;=1,0,P178)</f>
        <v/>
      </c>
      <c r="R179" s="15">
        <f>IF(A179&lt;=1,0,Q178)</f>
        <v/>
      </c>
      <c r="S179" s="15">
        <f>IF(A179&lt;=1,0,R178)</f>
        <v/>
      </c>
      <c r="T179" s="15">
        <f>IF(A179&lt;=1,0,S178)</f>
        <v/>
      </c>
      <c r="U179" s="15">
        <f>IF(A179&lt;=1,0,T178)</f>
        <v/>
      </c>
      <c r="V179" s="15">
        <f>IF(A179&lt;=1,0,U178)</f>
        <v/>
      </c>
      <c r="W179" s="15">
        <f>IF(A179&lt;=1,0,V178)</f>
        <v/>
      </c>
      <c r="X179" s="15">
        <f>IF(A179&lt;=1,0,W178)</f>
        <v/>
      </c>
      <c r="Y179" s="15">
        <f>IF(A179&lt;=1,0,X178)</f>
        <v/>
      </c>
      <c r="Z179" s="15">
        <f>IF(A179&lt;=1,0,Y178)</f>
        <v/>
      </c>
      <c r="AA179" s="15">
        <f>IF(A179&lt;=1,0,Z178)</f>
        <v/>
      </c>
    </row>
    <row r="180">
      <c r="A180" s="55" t="n">
        <v>174</v>
      </c>
      <c r="B180" s="15">
        <f>IF(A180&gt;Inputs!$C$62,"",INDEX(Trajectory!$G$23:$G$2000,A180))</f>
        <v/>
      </c>
      <c r="C180" s="15">
        <f>IF(B180="","",IF(A180&lt;=Inputs!$C$75,INDEX(Trajectory!$G$23:$G$2000,1),INDEX(Trajectory!$G$23:$G$2000,MAX(1,A180-Inputs!$C$75))))</f>
        <v/>
      </c>
      <c r="D180" s="15">
        <f>IF(C180="","",MAX(Inputs!$C$76,CEILING(C180/(Inputs!$C$42*Inputs!$C$92),1)))</f>
        <v/>
      </c>
      <c r="E180" s="15">
        <f>IF(D180="","",MAX(E179,D180))</f>
        <v/>
      </c>
      <c r="F180" s="15">
        <f>E180-E179</f>
        <v/>
      </c>
      <c r="G180" s="12">
        <f>IF(E180="",1,IF(E180=0,1,(E180-SUM(L180:AA180)+SUMPRODUCT(L180:AA180,$N$5:$N$20))/E180))</f>
        <v/>
      </c>
      <c r="H180" s="14">
        <f>IF(E180="",0,E180*G180)</f>
        <v/>
      </c>
      <c r="I180" s="15">
        <f>IF(H180="",0,H180*Inputs!$C$42)</f>
        <v/>
      </c>
      <c r="J180" s="14">
        <f>IF(E180="",1,1 + (Inputs!$C$95-1)*IF((1-Inputs!$C$94)=0,0,(1-G180)/(1-Inputs!$C$94)))</f>
        <v/>
      </c>
      <c r="K180" s="12">
        <f>IF(I180=0,"",B180/I180)</f>
        <v/>
      </c>
      <c r="L180" s="15">
        <f>IF(F180="",0,F180)</f>
        <v/>
      </c>
      <c r="M180" s="15">
        <f>IF(A180&lt;=1,0,L179)</f>
        <v/>
      </c>
      <c r="N180" s="15">
        <f>IF(A180&lt;=1,0,M179)</f>
        <v/>
      </c>
      <c r="O180" s="15">
        <f>IF(A180&lt;=1,0,N179)</f>
        <v/>
      </c>
      <c r="P180" s="15">
        <f>IF(A180&lt;=1,0,O179)</f>
        <v/>
      </c>
      <c r="Q180" s="15">
        <f>IF(A180&lt;=1,0,P179)</f>
        <v/>
      </c>
      <c r="R180" s="15">
        <f>IF(A180&lt;=1,0,Q179)</f>
        <v/>
      </c>
      <c r="S180" s="15">
        <f>IF(A180&lt;=1,0,R179)</f>
        <v/>
      </c>
      <c r="T180" s="15">
        <f>IF(A180&lt;=1,0,S179)</f>
        <v/>
      </c>
      <c r="U180" s="15">
        <f>IF(A180&lt;=1,0,T179)</f>
        <v/>
      </c>
      <c r="V180" s="15">
        <f>IF(A180&lt;=1,0,U179)</f>
        <v/>
      </c>
      <c r="W180" s="15">
        <f>IF(A180&lt;=1,0,V179)</f>
        <v/>
      </c>
      <c r="X180" s="15">
        <f>IF(A180&lt;=1,0,W179)</f>
        <v/>
      </c>
      <c r="Y180" s="15">
        <f>IF(A180&lt;=1,0,X179)</f>
        <v/>
      </c>
      <c r="Z180" s="15">
        <f>IF(A180&lt;=1,0,Y179)</f>
        <v/>
      </c>
      <c r="AA180" s="15">
        <f>IF(A180&lt;=1,0,Z179)</f>
        <v/>
      </c>
    </row>
    <row r="181">
      <c r="A181" s="55" t="n">
        <v>175</v>
      </c>
      <c r="B181" s="15">
        <f>IF(A181&gt;Inputs!$C$62,"",INDEX(Trajectory!$G$23:$G$2000,A181))</f>
        <v/>
      </c>
      <c r="C181" s="15">
        <f>IF(B181="","",IF(A181&lt;=Inputs!$C$75,INDEX(Trajectory!$G$23:$G$2000,1),INDEX(Trajectory!$G$23:$G$2000,MAX(1,A181-Inputs!$C$75))))</f>
        <v/>
      </c>
      <c r="D181" s="15">
        <f>IF(C181="","",MAX(Inputs!$C$76,CEILING(C181/(Inputs!$C$42*Inputs!$C$92),1)))</f>
        <v/>
      </c>
      <c r="E181" s="15">
        <f>IF(D181="","",MAX(E180,D181))</f>
        <v/>
      </c>
      <c r="F181" s="15">
        <f>E181-E180</f>
        <v/>
      </c>
      <c r="G181" s="12">
        <f>IF(E181="",1,IF(E181=0,1,(E181-SUM(L181:AA181)+SUMPRODUCT(L181:AA181,$N$5:$N$20))/E181))</f>
        <v/>
      </c>
      <c r="H181" s="14">
        <f>IF(E181="",0,E181*G181)</f>
        <v/>
      </c>
      <c r="I181" s="15">
        <f>IF(H181="",0,H181*Inputs!$C$42)</f>
        <v/>
      </c>
      <c r="J181" s="14">
        <f>IF(E181="",1,1 + (Inputs!$C$95-1)*IF((1-Inputs!$C$94)=0,0,(1-G181)/(1-Inputs!$C$94)))</f>
        <v/>
      </c>
      <c r="K181" s="12">
        <f>IF(I181=0,"",B181/I181)</f>
        <v/>
      </c>
      <c r="L181" s="15">
        <f>IF(F181="",0,F181)</f>
        <v/>
      </c>
      <c r="M181" s="15">
        <f>IF(A181&lt;=1,0,L180)</f>
        <v/>
      </c>
      <c r="N181" s="15">
        <f>IF(A181&lt;=1,0,M180)</f>
        <v/>
      </c>
      <c r="O181" s="15">
        <f>IF(A181&lt;=1,0,N180)</f>
        <v/>
      </c>
      <c r="P181" s="15">
        <f>IF(A181&lt;=1,0,O180)</f>
        <v/>
      </c>
      <c r="Q181" s="15">
        <f>IF(A181&lt;=1,0,P180)</f>
        <v/>
      </c>
      <c r="R181" s="15">
        <f>IF(A181&lt;=1,0,Q180)</f>
        <v/>
      </c>
      <c r="S181" s="15">
        <f>IF(A181&lt;=1,0,R180)</f>
        <v/>
      </c>
      <c r="T181" s="15">
        <f>IF(A181&lt;=1,0,S180)</f>
        <v/>
      </c>
      <c r="U181" s="15">
        <f>IF(A181&lt;=1,0,T180)</f>
        <v/>
      </c>
      <c r="V181" s="15">
        <f>IF(A181&lt;=1,0,U180)</f>
        <v/>
      </c>
      <c r="W181" s="15">
        <f>IF(A181&lt;=1,0,V180)</f>
        <v/>
      </c>
      <c r="X181" s="15">
        <f>IF(A181&lt;=1,0,W180)</f>
        <v/>
      </c>
      <c r="Y181" s="15">
        <f>IF(A181&lt;=1,0,X180)</f>
        <v/>
      </c>
      <c r="Z181" s="15">
        <f>IF(A181&lt;=1,0,Y180)</f>
        <v/>
      </c>
      <c r="AA181" s="15">
        <f>IF(A181&lt;=1,0,Z180)</f>
        <v/>
      </c>
    </row>
    <row r="182">
      <c r="A182" s="55" t="n">
        <v>176</v>
      </c>
      <c r="B182" s="15">
        <f>IF(A182&gt;Inputs!$C$62,"",INDEX(Trajectory!$G$23:$G$2000,A182))</f>
        <v/>
      </c>
      <c r="C182" s="15">
        <f>IF(B182="","",IF(A182&lt;=Inputs!$C$75,INDEX(Trajectory!$G$23:$G$2000,1),INDEX(Trajectory!$G$23:$G$2000,MAX(1,A182-Inputs!$C$75))))</f>
        <v/>
      </c>
      <c r="D182" s="15">
        <f>IF(C182="","",MAX(Inputs!$C$76,CEILING(C182/(Inputs!$C$42*Inputs!$C$92),1)))</f>
        <v/>
      </c>
      <c r="E182" s="15">
        <f>IF(D182="","",MAX(E181,D182))</f>
        <v/>
      </c>
      <c r="F182" s="15">
        <f>E182-E181</f>
        <v/>
      </c>
      <c r="G182" s="12">
        <f>IF(E182="",1,IF(E182=0,1,(E182-SUM(L182:AA182)+SUMPRODUCT(L182:AA182,$N$5:$N$20))/E182))</f>
        <v/>
      </c>
      <c r="H182" s="14">
        <f>IF(E182="",0,E182*G182)</f>
        <v/>
      </c>
      <c r="I182" s="15">
        <f>IF(H182="",0,H182*Inputs!$C$42)</f>
        <v/>
      </c>
      <c r="J182" s="14">
        <f>IF(E182="",1,1 + (Inputs!$C$95-1)*IF((1-Inputs!$C$94)=0,0,(1-G182)/(1-Inputs!$C$94)))</f>
        <v/>
      </c>
      <c r="K182" s="12">
        <f>IF(I182=0,"",B182/I182)</f>
        <v/>
      </c>
      <c r="L182" s="15">
        <f>IF(F182="",0,F182)</f>
        <v/>
      </c>
      <c r="M182" s="15">
        <f>IF(A182&lt;=1,0,L181)</f>
        <v/>
      </c>
      <c r="N182" s="15">
        <f>IF(A182&lt;=1,0,M181)</f>
        <v/>
      </c>
      <c r="O182" s="15">
        <f>IF(A182&lt;=1,0,N181)</f>
        <v/>
      </c>
      <c r="P182" s="15">
        <f>IF(A182&lt;=1,0,O181)</f>
        <v/>
      </c>
      <c r="Q182" s="15">
        <f>IF(A182&lt;=1,0,P181)</f>
        <v/>
      </c>
      <c r="R182" s="15">
        <f>IF(A182&lt;=1,0,Q181)</f>
        <v/>
      </c>
      <c r="S182" s="15">
        <f>IF(A182&lt;=1,0,R181)</f>
        <v/>
      </c>
      <c r="T182" s="15">
        <f>IF(A182&lt;=1,0,S181)</f>
        <v/>
      </c>
      <c r="U182" s="15">
        <f>IF(A182&lt;=1,0,T181)</f>
        <v/>
      </c>
      <c r="V182" s="15">
        <f>IF(A182&lt;=1,0,U181)</f>
        <v/>
      </c>
      <c r="W182" s="15">
        <f>IF(A182&lt;=1,0,V181)</f>
        <v/>
      </c>
      <c r="X182" s="15">
        <f>IF(A182&lt;=1,0,W181)</f>
        <v/>
      </c>
      <c r="Y182" s="15">
        <f>IF(A182&lt;=1,0,X181)</f>
        <v/>
      </c>
      <c r="Z182" s="15">
        <f>IF(A182&lt;=1,0,Y181)</f>
        <v/>
      </c>
      <c r="AA182" s="15">
        <f>IF(A182&lt;=1,0,Z181)</f>
        <v/>
      </c>
    </row>
    <row r="183">
      <c r="A183" s="55" t="n">
        <v>177</v>
      </c>
      <c r="B183" s="15">
        <f>IF(A183&gt;Inputs!$C$62,"",INDEX(Trajectory!$G$23:$G$2000,A183))</f>
        <v/>
      </c>
      <c r="C183" s="15">
        <f>IF(B183="","",IF(A183&lt;=Inputs!$C$75,INDEX(Trajectory!$G$23:$G$2000,1),INDEX(Trajectory!$G$23:$G$2000,MAX(1,A183-Inputs!$C$75))))</f>
        <v/>
      </c>
      <c r="D183" s="15">
        <f>IF(C183="","",MAX(Inputs!$C$76,CEILING(C183/(Inputs!$C$42*Inputs!$C$92),1)))</f>
        <v/>
      </c>
      <c r="E183" s="15">
        <f>IF(D183="","",MAX(E182,D183))</f>
        <v/>
      </c>
      <c r="F183" s="15">
        <f>E183-E182</f>
        <v/>
      </c>
      <c r="G183" s="12">
        <f>IF(E183="",1,IF(E183=0,1,(E183-SUM(L183:AA183)+SUMPRODUCT(L183:AA183,$N$5:$N$20))/E183))</f>
        <v/>
      </c>
      <c r="H183" s="14">
        <f>IF(E183="",0,E183*G183)</f>
        <v/>
      </c>
      <c r="I183" s="15">
        <f>IF(H183="",0,H183*Inputs!$C$42)</f>
        <v/>
      </c>
      <c r="J183" s="14">
        <f>IF(E183="",1,1 + (Inputs!$C$95-1)*IF((1-Inputs!$C$94)=0,0,(1-G183)/(1-Inputs!$C$94)))</f>
        <v/>
      </c>
      <c r="K183" s="12">
        <f>IF(I183=0,"",B183/I183)</f>
        <v/>
      </c>
      <c r="L183" s="15">
        <f>IF(F183="",0,F183)</f>
        <v/>
      </c>
      <c r="M183" s="15">
        <f>IF(A183&lt;=1,0,L182)</f>
        <v/>
      </c>
      <c r="N183" s="15">
        <f>IF(A183&lt;=1,0,M182)</f>
        <v/>
      </c>
      <c r="O183" s="15">
        <f>IF(A183&lt;=1,0,N182)</f>
        <v/>
      </c>
      <c r="P183" s="15">
        <f>IF(A183&lt;=1,0,O182)</f>
        <v/>
      </c>
      <c r="Q183" s="15">
        <f>IF(A183&lt;=1,0,P182)</f>
        <v/>
      </c>
      <c r="R183" s="15">
        <f>IF(A183&lt;=1,0,Q182)</f>
        <v/>
      </c>
      <c r="S183" s="15">
        <f>IF(A183&lt;=1,0,R182)</f>
        <v/>
      </c>
      <c r="T183" s="15">
        <f>IF(A183&lt;=1,0,S182)</f>
        <v/>
      </c>
      <c r="U183" s="15">
        <f>IF(A183&lt;=1,0,T182)</f>
        <v/>
      </c>
      <c r="V183" s="15">
        <f>IF(A183&lt;=1,0,U182)</f>
        <v/>
      </c>
      <c r="W183" s="15">
        <f>IF(A183&lt;=1,0,V182)</f>
        <v/>
      </c>
      <c r="X183" s="15">
        <f>IF(A183&lt;=1,0,W182)</f>
        <v/>
      </c>
      <c r="Y183" s="15">
        <f>IF(A183&lt;=1,0,X182)</f>
        <v/>
      </c>
      <c r="Z183" s="15">
        <f>IF(A183&lt;=1,0,Y182)</f>
        <v/>
      </c>
      <c r="AA183" s="15">
        <f>IF(A183&lt;=1,0,Z182)</f>
        <v/>
      </c>
    </row>
    <row r="184">
      <c r="A184" s="55" t="n">
        <v>178</v>
      </c>
      <c r="B184" s="15">
        <f>IF(A184&gt;Inputs!$C$62,"",INDEX(Trajectory!$G$23:$G$2000,A184))</f>
        <v/>
      </c>
      <c r="C184" s="15">
        <f>IF(B184="","",IF(A184&lt;=Inputs!$C$75,INDEX(Trajectory!$G$23:$G$2000,1),INDEX(Trajectory!$G$23:$G$2000,MAX(1,A184-Inputs!$C$75))))</f>
        <v/>
      </c>
      <c r="D184" s="15">
        <f>IF(C184="","",MAX(Inputs!$C$76,CEILING(C184/(Inputs!$C$42*Inputs!$C$92),1)))</f>
        <v/>
      </c>
      <c r="E184" s="15">
        <f>IF(D184="","",MAX(E183,D184))</f>
        <v/>
      </c>
      <c r="F184" s="15">
        <f>E184-E183</f>
        <v/>
      </c>
      <c r="G184" s="12">
        <f>IF(E184="",1,IF(E184=0,1,(E184-SUM(L184:AA184)+SUMPRODUCT(L184:AA184,$N$5:$N$20))/E184))</f>
        <v/>
      </c>
      <c r="H184" s="14">
        <f>IF(E184="",0,E184*G184)</f>
        <v/>
      </c>
      <c r="I184" s="15">
        <f>IF(H184="",0,H184*Inputs!$C$42)</f>
        <v/>
      </c>
      <c r="J184" s="14">
        <f>IF(E184="",1,1 + (Inputs!$C$95-1)*IF((1-Inputs!$C$94)=0,0,(1-G184)/(1-Inputs!$C$94)))</f>
        <v/>
      </c>
      <c r="K184" s="12">
        <f>IF(I184=0,"",B184/I184)</f>
        <v/>
      </c>
      <c r="L184" s="15">
        <f>IF(F184="",0,F184)</f>
        <v/>
      </c>
      <c r="M184" s="15">
        <f>IF(A184&lt;=1,0,L183)</f>
        <v/>
      </c>
      <c r="N184" s="15">
        <f>IF(A184&lt;=1,0,M183)</f>
        <v/>
      </c>
      <c r="O184" s="15">
        <f>IF(A184&lt;=1,0,N183)</f>
        <v/>
      </c>
      <c r="P184" s="15">
        <f>IF(A184&lt;=1,0,O183)</f>
        <v/>
      </c>
      <c r="Q184" s="15">
        <f>IF(A184&lt;=1,0,P183)</f>
        <v/>
      </c>
      <c r="R184" s="15">
        <f>IF(A184&lt;=1,0,Q183)</f>
        <v/>
      </c>
      <c r="S184" s="15">
        <f>IF(A184&lt;=1,0,R183)</f>
        <v/>
      </c>
      <c r="T184" s="15">
        <f>IF(A184&lt;=1,0,S183)</f>
        <v/>
      </c>
      <c r="U184" s="15">
        <f>IF(A184&lt;=1,0,T183)</f>
        <v/>
      </c>
      <c r="V184" s="15">
        <f>IF(A184&lt;=1,0,U183)</f>
        <v/>
      </c>
      <c r="W184" s="15">
        <f>IF(A184&lt;=1,0,V183)</f>
        <v/>
      </c>
      <c r="X184" s="15">
        <f>IF(A184&lt;=1,0,W183)</f>
        <v/>
      </c>
      <c r="Y184" s="15">
        <f>IF(A184&lt;=1,0,X183)</f>
        <v/>
      </c>
      <c r="Z184" s="15">
        <f>IF(A184&lt;=1,0,Y183)</f>
        <v/>
      </c>
      <c r="AA184" s="15">
        <f>IF(A184&lt;=1,0,Z183)</f>
        <v/>
      </c>
    </row>
    <row r="185">
      <c r="A185" s="55" t="n">
        <v>179</v>
      </c>
      <c r="B185" s="15">
        <f>IF(A185&gt;Inputs!$C$62,"",INDEX(Trajectory!$G$23:$G$2000,A185))</f>
        <v/>
      </c>
      <c r="C185" s="15">
        <f>IF(B185="","",IF(A185&lt;=Inputs!$C$75,INDEX(Trajectory!$G$23:$G$2000,1),INDEX(Trajectory!$G$23:$G$2000,MAX(1,A185-Inputs!$C$75))))</f>
        <v/>
      </c>
      <c r="D185" s="15">
        <f>IF(C185="","",MAX(Inputs!$C$76,CEILING(C185/(Inputs!$C$42*Inputs!$C$92),1)))</f>
        <v/>
      </c>
      <c r="E185" s="15">
        <f>IF(D185="","",MAX(E184,D185))</f>
        <v/>
      </c>
      <c r="F185" s="15">
        <f>E185-E184</f>
        <v/>
      </c>
      <c r="G185" s="12">
        <f>IF(E185="",1,IF(E185=0,1,(E185-SUM(L185:AA185)+SUMPRODUCT(L185:AA185,$N$5:$N$20))/E185))</f>
        <v/>
      </c>
      <c r="H185" s="14">
        <f>IF(E185="",0,E185*G185)</f>
        <v/>
      </c>
      <c r="I185" s="15">
        <f>IF(H185="",0,H185*Inputs!$C$42)</f>
        <v/>
      </c>
      <c r="J185" s="14">
        <f>IF(E185="",1,1 + (Inputs!$C$95-1)*IF((1-Inputs!$C$94)=0,0,(1-G185)/(1-Inputs!$C$94)))</f>
        <v/>
      </c>
      <c r="K185" s="12">
        <f>IF(I185=0,"",B185/I185)</f>
        <v/>
      </c>
      <c r="L185" s="15">
        <f>IF(F185="",0,F185)</f>
        <v/>
      </c>
      <c r="M185" s="15">
        <f>IF(A185&lt;=1,0,L184)</f>
        <v/>
      </c>
      <c r="N185" s="15">
        <f>IF(A185&lt;=1,0,M184)</f>
        <v/>
      </c>
      <c r="O185" s="15">
        <f>IF(A185&lt;=1,0,N184)</f>
        <v/>
      </c>
      <c r="P185" s="15">
        <f>IF(A185&lt;=1,0,O184)</f>
        <v/>
      </c>
      <c r="Q185" s="15">
        <f>IF(A185&lt;=1,0,P184)</f>
        <v/>
      </c>
      <c r="R185" s="15">
        <f>IF(A185&lt;=1,0,Q184)</f>
        <v/>
      </c>
      <c r="S185" s="15">
        <f>IF(A185&lt;=1,0,R184)</f>
        <v/>
      </c>
      <c r="T185" s="15">
        <f>IF(A185&lt;=1,0,S184)</f>
        <v/>
      </c>
      <c r="U185" s="15">
        <f>IF(A185&lt;=1,0,T184)</f>
        <v/>
      </c>
      <c r="V185" s="15">
        <f>IF(A185&lt;=1,0,U184)</f>
        <v/>
      </c>
      <c r="W185" s="15">
        <f>IF(A185&lt;=1,0,V184)</f>
        <v/>
      </c>
      <c r="X185" s="15">
        <f>IF(A185&lt;=1,0,W184)</f>
        <v/>
      </c>
      <c r="Y185" s="15">
        <f>IF(A185&lt;=1,0,X184)</f>
        <v/>
      </c>
      <c r="Z185" s="15">
        <f>IF(A185&lt;=1,0,Y184)</f>
        <v/>
      </c>
      <c r="AA185" s="15">
        <f>IF(A185&lt;=1,0,Z184)</f>
        <v/>
      </c>
    </row>
    <row r="186">
      <c r="A186" s="55" t="n">
        <v>180</v>
      </c>
      <c r="B186" s="15">
        <f>IF(A186&gt;Inputs!$C$62,"",INDEX(Trajectory!$G$23:$G$2000,A186))</f>
        <v/>
      </c>
      <c r="C186" s="15">
        <f>IF(B186="","",IF(A186&lt;=Inputs!$C$75,INDEX(Trajectory!$G$23:$G$2000,1),INDEX(Trajectory!$G$23:$G$2000,MAX(1,A186-Inputs!$C$75))))</f>
        <v/>
      </c>
      <c r="D186" s="15">
        <f>IF(C186="","",MAX(Inputs!$C$76,CEILING(C186/(Inputs!$C$42*Inputs!$C$92),1)))</f>
        <v/>
      </c>
      <c r="E186" s="15">
        <f>IF(D186="","",MAX(E185,D186))</f>
        <v/>
      </c>
      <c r="F186" s="15">
        <f>E186-E185</f>
        <v/>
      </c>
      <c r="G186" s="12">
        <f>IF(E186="",1,IF(E186=0,1,(E186-SUM(L186:AA186)+SUMPRODUCT(L186:AA186,$N$5:$N$20))/E186))</f>
        <v/>
      </c>
      <c r="H186" s="14">
        <f>IF(E186="",0,E186*G186)</f>
        <v/>
      </c>
      <c r="I186" s="15">
        <f>IF(H186="",0,H186*Inputs!$C$42)</f>
        <v/>
      </c>
      <c r="J186" s="14">
        <f>IF(E186="",1,1 + (Inputs!$C$95-1)*IF((1-Inputs!$C$94)=0,0,(1-G186)/(1-Inputs!$C$94)))</f>
        <v/>
      </c>
      <c r="K186" s="12">
        <f>IF(I186=0,"",B186/I186)</f>
        <v/>
      </c>
      <c r="L186" s="15">
        <f>IF(F186="",0,F186)</f>
        <v/>
      </c>
      <c r="M186" s="15">
        <f>IF(A186&lt;=1,0,L185)</f>
        <v/>
      </c>
      <c r="N186" s="15">
        <f>IF(A186&lt;=1,0,M185)</f>
        <v/>
      </c>
      <c r="O186" s="15">
        <f>IF(A186&lt;=1,0,N185)</f>
        <v/>
      </c>
      <c r="P186" s="15">
        <f>IF(A186&lt;=1,0,O185)</f>
        <v/>
      </c>
      <c r="Q186" s="15">
        <f>IF(A186&lt;=1,0,P185)</f>
        <v/>
      </c>
      <c r="R186" s="15">
        <f>IF(A186&lt;=1,0,Q185)</f>
        <v/>
      </c>
      <c r="S186" s="15">
        <f>IF(A186&lt;=1,0,R185)</f>
        <v/>
      </c>
      <c r="T186" s="15">
        <f>IF(A186&lt;=1,0,S185)</f>
        <v/>
      </c>
      <c r="U186" s="15">
        <f>IF(A186&lt;=1,0,T185)</f>
        <v/>
      </c>
      <c r="V186" s="15">
        <f>IF(A186&lt;=1,0,U185)</f>
        <v/>
      </c>
      <c r="W186" s="15">
        <f>IF(A186&lt;=1,0,V185)</f>
        <v/>
      </c>
      <c r="X186" s="15">
        <f>IF(A186&lt;=1,0,W185)</f>
        <v/>
      </c>
      <c r="Y186" s="15">
        <f>IF(A186&lt;=1,0,X185)</f>
        <v/>
      </c>
      <c r="Z186" s="15">
        <f>IF(A186&lt;=1,0,Y185)</f>
        <v/>
      </c>
      <c r="AA186" s="15">
        <f>IF(A186&lt;=1,0,Z185)</f>
        <v/>
      </c>
    </row>
    <row r="187">
      <c r="A187" s="55" t="n">
        <v>181</v>
      </c>
      <c r="B187" s="15">
        <f>IF(A187&gt;Inputs!$C$62,"",INDEX(Trajectory!$G$23:$G$2000,A187))</f>
        <v/>
      </c>
      <c r="C187" s="15">
        <f>IF(B187="","",IF(A187&lt;=Inputs!$C$75,INDEX(Trajectory!$G$23:$G$2000,1),INDEX(Trajectory!$G$23:$G$2000,MAX(1,A187-Inputs!$C$75))))</f>
        <v/>
      </c>
      <c r="D187" s="15">
        <f>IF(C187="","",MAX(Inputs!$C$76,CEILING(C187/(Inputs!$C$42*Inputs!$C$92),1)))</f>
        <v/>
      </c>
      <c r="E187" s="15">
        <f>IF(D187="","",MAX(E186,D187))</f>
        <v/>
      </c>
      <c r="F187" s="15">
        <f>E187-E186</f>
        <v/>
      </c>
      <c r="G187" s="12">
        <f>IF(E187="",1,IF(E187=0,1,(E187-SUM(L187:AA187)+SUMPRODUCT(L187:AA187,$N$5:$N$20))/E187))</f>
        <v/>
      </c>
      <c r="H187" s="14">
        <f>IF(E187="",0,E187*G187)</f>
        <v/>
      </c>
      <c r="I187" s="15">
        <f>IF(H187="",0,H187*Inputs!$C$42)</f>
        <v/>
      </c>
      <c r="J187" s="14">
        <f>IF(E187="",1,1 + (Inputs!$C$95-1)*IF((1-Inputs!$C$94)=0,0,(1-G187)/(1-Inputs!$C$94)))</f>
        <v/>
      </c>
      <c r="K187" s="12">
        <f>IF(I187=0,"",B187/I187)</f>
        <v/>
      </c>
      <c r="L187" s="15">
        <f>IF(F187="",0,F187)</f>
        <v/>
      </c>
      <c r="M187" s="15">
        <f>IF(A187&lt;=1,0,L186)</f>
        <v/>
      </c>
      <c r="N187" s="15">
        <f>IF(A187&lt;=1,0,M186)</f>
        <v/>
      </c>
      <c r="O187" s="15">
        <f>IF(A187&lt;=1,0,N186)</f>
        <v/>
      </c>
      <c r="P187" s="15">
        <f>IF(A187&lt;=1,0,O186)</f>
        <v/>
      </c>
      <c r="Q187" s="15">
        <f>IF(A187&lt;=1,0,P186)</f>
        <v/>
      </c>
      <c r="R187" s="15">
        <f>IF(A187&lt;=1,0,Q186)</f>
        <v/>
      </c>
      <c r="S187" s="15">
        <f>IF(A187&lt;=1,0,R186)</f>
        <v/>
      </c>
      <c r="T187" s="15">
        <f>IF(A187&lt;=1,0,S186)</f>
        <v/>
      </c>
      <c r="U187" s="15">
        <f>IF(A187&lt;=1,0,T186)</f>
        <v/>
      </c>
      <c r="V187" s="15">
        <f>IF(A187&lt;=1,0,U186)</f>
        <v/>
      </c>
      <c r="W187" s="15">
        <f>IF(A187&lt;=1,0,V186)</f>
        <v/>
      </c>
      <c r="X187" s="15">
        <f>IF(A187&lt;=1,0,W186)</f>
        <v/>
      </c>
      <c r="Y187" s="15">
        <f>IF(A187&lt;=1,0,X186)</f>
        <v/>
      </c>
      <c r="Z187" s="15">
        <f>IF(A187&lt;=1,0,Y186)</f>
        <v/>
      </c>
      <c r="AA187" s="15">
        <f>IF(A187&lt;=1,0,Z186)</f>
        <v/>
      </c>
    </row>
    <row r="188">
      <c r="A188" s="55" t="n">
        <v>182</v>
      </c>
      <c r="B188" s="15">
        <f>IF(A188&gt;Inputs!$C$62,"",INDEX(Trajectory!$G$23:$G$2000,A188))</f>
        <v/>
      </c>
      <c r="C188" s="15">
        <f>IF(B188="","",IF(A188&lt;=Inputs!$C$75,INDEX(Trajectory!$G$23:$G$2000,1),INDEX(Trajectory!$G$23:$G$2000,MAX(1,A188-Inputs!$C$75))))</f>
        <v/>
      </c>
      <c r="D188" s="15">
        <f>IF(C188="","",MAX(Inputs!$C$76,CEILING(C188/(Inputs!$C$42*Inputs!$C$92),1)))</f>
        <v/>
      </c>
      <c r="E188" s="15">
        <f>IF(D188="","",MAX(E187,D188))</f>
        <v/>
      </c>
      <c r="F188" s="15">
        <f>E188-E187</f>
        <v/>
      </c>
      <c r="G188" s="12">
        <f>IF(E188="",1,IF(E188=0,1,(E188-SUM(L188:AA188)+SUMPRODUCT(L188:AA188,$N$5:$N$20))/E188))</f>
        <v/>
      </c>
      <c r="H188" s="14">
        <f>IF(E188="",0,E188*G188)</f>
        <v/>
      </c>
      <c r="I188" s="15">
        <f>IF(H188="",0,H188*Inputs!$C$42)</f>
        <v/>
      </c>
      <c r="J188" s="14">
        <f>IF(E188="",1,1 + (Inputs!$C$95-1)*IF((1-Inputs!$C$94)=0,0,(1-G188)/(1-Inputs!$C$94)))</f>
        <v/>
      </c>
      <c r="K188" s="12">
        <f>IF(I188=0,"",B188/I188)</f>
        <v/>
      </c>
      <c r="L188" s="15">
        <f>IF(F188="",0,F188)</f>
        <v/>
      </c>
      <c r="M188" s="15">
        <f>IF(A188&lt;=1,0,L187)</f>
        <v/>
      </c>
      <c r="N188" s="15">
        <f>IF(A188&lt;=1,0,M187)</f>
        <v/>
      </c>
      <c r="O188" s="15">
        <f>IF(A188&lt;=1,0,N187)</f>
        <v/>
      </c>
      <c r="P188" s="15">
        <f>IF(A188&lt;=1,0,O187)</f>
        <v/>
      </c>
      <c r="Q188" s="15">
        <f>IF(A188&lt;=1,0,P187)</f>
        <v/>
      </c>
      <c r="R188" s="15">
        <f>IF(A188&lt;=1,0,Q187)</f>
        <v/>
      </c>
      <c r="S188" s="15">
        <f>IF(A188&lt;=1,0,R187)</f>
        <v/>
      </c>
      <c r="T188" s="15">
        <f>IF(A188&lt;=1,0,S187)</f>
        <v/>
      </c>
      <c r="U188" s="15">
        <f>IF(A188&lt;=1,0,T187)</f>
        <v/>
      </c>
      <c r="V188" s="15">
        <f>IF(A188&lt;=1,0,U187)</f>
        <v/>
      </c>
      <c r="W188" s="15">
        <f>IF(A188&lt;=1,0,V187)</f>
        <v/>
      </c>
      <c r="X188" s="15">
        <f>IF(A188&lt;=1,0,W187)</f>
        <v/>
      </c>
      <c r="Y188" s="15">
        <f>IF(A188&lt;=1,0,X187)</f>
        <v/>
      </c>
      <c r="Z188" s="15">
        <f>IF(A188&lt;=1,0,Y187)</f>
        <v/>
      </c>
      <c r="AA188" s="15">
        <f>IF(A188&lt;=1,0,Z187)</f>
        <v/>
      </c>
    </row>
    <row r="189">
      <c r="A189" s="55" t="n">
        <v>183</v>
      </c>
      <c r="B189" s="15">
        <f>IF(A189&gt;Inputs!$C$62,"",INDEX(Trajectory!$G$23:$G$2000,A189))</f>
        <v/>
      </c>
      <c r="C189" s="15">
        <f>IF(B189="","",IF(A189&lt;=Inputs!$C$75,INDEX(Trajectory!$G$23:$G$2000,1),INDEX(Trajectory!$G$23:$G$2000,MAX(1,A189-Inputs!$C$75))))</f>
        <v/>
      </c>
      <c r="D189" s="15">
        <f>IF(C189="","",MAX(Inputs!$C$76,CEILING(C189/(Inputs!$C$42*Inputs!$C$92),1)))</f>
        <v/>
      </c>
      <c r="E189" s="15">
        <f>IF(D189="","",MAX(E188,D189))</f>
        <v/>
      </c>
      <c r="F189" s="15">
        <f>E189-E188</f>
        <v/>
      </c>
      <c r="G189" s="12">
        <f>IF(E189="",1,IF(E189=0,1,(E189-SUM(L189:AA189)+SUMPRODUCT(L189:AA189,$N$5:$N$20))/E189))</f>
        <v/>
      </c>
      <c r="H189" s="14">
        <f>IF(E189="",0,E189*G189)</f>
        <v/>
      </c>
      <c r="I189" s="15">
        <f>IF(H189="",0,H189*Inputs!$C$42)</f>
        <v/>
      </c>
      <c r="J189" s="14">
        <f>IF(E189="",1,1 + (Inputs!$C$95-1)*IF((1-Inputs!$C$94)=0,0,(1-G189)/(1-Inputs!$C$94)))</f>
        <v/>
      </c>
      <c r="K189" s="12">
        <f>IF(I189=0,"",B189/I189)</f>
        <v/>
      </c>
      <c r="L189" s="15">
        <f>IF(F189="",0,F189)</f>
        <v/>
      </c>
      <c r="M189" s="15">
        <f>IF(A189&lt;=1,0,L188)</f>
        <v/>
      </c>
      <c r="N189" s="15">
        <f>IF(A189&lt;=1,0,M188)</f>
        <v/>
      </c>
      <c r="O189" s="15">
        <f>IF(A189&lt;=1,0,N188)</f>
        <v/>
      </c>
      <c r="P189" s="15">
        <f>IF(A189&lt;=1,0,O188)</f>
        <v/>
      </c>
      <c r="Q189" s="15">
        <f>IF(A189&lt;=1,0,P188)</f>
        <v/>
      </c>
      <c r="R189" s="15">
        <f>IF(A189&lt;=1,0,Q188)</f>
        <v/>
      </c>
      <c r="S189" s="15">
        <f>IF(A189&lt;=1,0,R188)</f>
        <v/>
      </c>
      <c r="T189" s="15">
        <f>IF(A189&lt;=1,0,S188)</f>
        <v/>
      </c>
      <c r="U189" s="15">
        <f>IF(A189&lt;=1,0,T188)</f>
        <v/>
      </c>
      <c r="V189" s="15">
        <f>IF(A189&lt;=1,0,U188)</f>
        <v/>
      </c>
      <c r="W189" s="15">
        <f>IF(A189&lt;=1,0,V188)</f>
        <v/>
      </c>
      <c r="X189" s="15">
        <f>IF(A189&lt;=1,0,W188)</f>
        <v/>
      </c>
      <c r="Y189" s="15">
        <f>IF(A189&lt;=1,0,X188)</f>
        <v/>
      </c>
      <c r="Z189" s="15">
        <f>IF(A189&lt;=1,0,Y188)</f>
        <v/>
      </c>
      <c r="AA189" s="15">
        <f>IF(A189&lt;=1,0,Z188)</f>
        <v/>
      </c>
    </row>
    <row r="190">
      <c r="A190" s="55" t="n">
        <v>184</v>
      </c>
      <c r="B190" s="15">
        <f>IF(A190&gt;Inputs!$C$62,"",INDEX(Trajectory!$G$23:$G$2000,A190))</f>
        <v/>
      </c>
      <c r="C190" s="15">
        <f>IF(B190="","",IF(A190&lt;=Inputs!$C$75,INDEX(Trajectory!$G$23:$G$2000,1),INDEX(Trajectory!$G$23:$G$2000,MAX(1,A190-Inputs!$C$75))))</f>
        <v/>
      </c>
      <c r="D190" s="15">
        <f>IF(C190="","",MAX(Inputs!$C$76,CEILING(C190/(Inputs!$C$42*Inputs!$C$92),1)))</f>
        <v/>
      </c>
      <c r="E190" s="15">
        <f>IF(D190="","",MAX(E189,D190))</f>
        <v/>
      </c>
      <c r="F190" s="15">
        <f>E190-E189</f>
        <v/>
      </c>
      <c r="G190" s="12">
        <f>IF(E190="",1,IF(E190=0,1,(E190-SUM(L190:AA190)+SUMPRODUCT(L190:AA190,$N$5:$N$20))/E190))</f>
        <v/>
      </c>
      <c r="H190" s="14">
        <f>IF(E190="",0,E190*G190)</f>
        <v/>
      </c>
      <c r="I190" s="15">
        <f>IF(H190="",0,H190*Inputs!$C$42)</f>
        <v/>
      </c>
      <c r="J190" s="14">
        <f>IF(E190="",1,1 + (Inputs!$C$95-1)*IF((1-Inputs!$C$94)=0,0,(1-G190)/(1-Inputs!$C$94)))</f>
        <v/>
      </c>
      <c r="K190" s="12">
        <f>IF(I190=0,"",B190/I190)</f>
        <v/>
      </c>
      <c r="L190" s="15">
        <f>IF(F190="",0,F190)</f>
        <v/>
      </c>
      <c r="M190" s="15">
        <f>IF(A190&lt;=1,0,L189)</f>
        <v/>
      </c>
      <c r="N190" s="15">
        <f>IF(A190&lt;=1,0,M189)</f>
        <v/>
      </c>
      <c r="O190" s="15">
        <f>IF(A190&lt;=1,0,N189)</f>
        <v/>
      </c>
      <c r="P190" s="15">
        <f>IF(A190&lt;=1,0,O189)</f>
        <v/>
      </c>
      <c r="Q190" s="15">
        <f>IF(A190&lt;=1,0,P189)</f>
        <v/>
      </c>
      <c r="R190" s="15">
        <f>IF(A190&lt;=1,0,Q189)</f>
        <v/>
      </c>
      <c r="S190" s="15">
        <f>IF(A190&lt;=1,0,R189)</f>
        <v/>
      </c>
      <c r="T190" s="15">
        <f>IF(A190&lt;=1,0,S189)</f>
        <v/>
      </c>
      <c r="U190" s="15">
        <f>IF(A190&lt;=1,0,T189)</f>
        <v/>
      </c>
      <c r="V190" s="15">
        <f>IF(A190&lt;=1,0,U189)</f>
        <v/>
      </c>
      <c r="W190" s="15">
        <f>IF(A190&lt;=1,0,V189)</f>
        <v/>
      </c>
      <c r="X190" s="15">
        <f>IF(A190&lt;=1,0,W189)</f>
        <v/>
      </c>
      <c r="Y190" s="15">
        <f>IF(A190&lt;=1,0,X189)</f>
        <v/>
      </c>
      <c r="Z190" s="15">
        <f>IF(A190&lt;=1,0,Y189)</f>
        <v/>
      </c>
      <c r="AA190" s="15">
        <f>IF(A190&lt;=1,0,Z189)</f>
        <v/>
      </c>
    </row>
    <row r="191">
      <c r="A191" s="55" t="n">
        <v>185</v>
      </c>
      <c r="B191" s="15">
        <f>IF(A191&gt;Inputs!$C$62,"",INDEX(Trajectory!$G$23:$G$2000,A191))</f>
        <v/>
      </c>
      <c r="C191" s="15">
        <f>IF(B191="","",IF(A191&lt;=Inputs!$C$75,INDEX(Trajectory!$G$23:$G$2000,1),INDEX(Trajectory!$G$23:$G$2000,MAX(1,A191-Inputs!$C$75))))</f>
        <v/>
      </c>
      <c r="D191" s="15">
        <f>IF(C191="","",MAX(Inputs!$C$76,CEILING(C191/(Inputs!$C$42*Inputs!$C$92),1)))</f>
        <v/>
      </c>
      <c r="E191" s="15">
        <f>IF(D191="","",MAX(E190,D191))</f>
        <v/>
      </c>
      <c r="F191" s="15">
        <f>E191-E190</f>
        <v/>
      </c>
      <c r="G191" s="12">
        <f>IF(E191="",1,IF(E191=0,1,(E191-SUM(L191:AA191)+SUMPRODUCT(L191:AA191,$N$5:$N$20))/E191))</f>
        <v/>
      </c>
      <c r="H191" s="14">
        <f>IF(E191="",0,E191*G191)</f>
        <v/>
      </c>
      <c r="I191" s="15">
        <f>IF(H191="",0,H191*Inputs!$C$42)</f>
        <v/>
      </c>
      <c r="J191" s="14">
        <f>IF(E191="",1,1 + (Inputs!$C$95-1)*IF((1-Inputs!$C$94)=0,0,(1-G191)/(1-Inputs!$C$94)))</f>
        <v/>
      </c>
      <c r="K191" s="12">
        <f>IF(I191=0,"",B191/I191)</f>
        <v/>
      </c>
      <c r="L191" s="15">
        <f>IF(F191="",0,F191)</f>
        <v/>
      </c>
      <c r="M191" s="15">
        <f>IF(A191&lt;=1,0,L190)</f>
        <v/>
      </c>
      <c r="N191" s="15">
        <f>IF(A191&lt;=1,0,M190)</f>
        <v/>
      </c>
      <c r="O191" s="15">
        <f>IF(A191&lt;=1,0,N190)</f>
        <v/>
      </c>
      <c r="P191" s="15">
        <f>IF(A191&lt;=1,0,O190)</f>
        <v/>
      </c>
      <c r="Q191" s="15">
        <f>IF(A191&lt;=1,0,P190)</f>
        <v/>
      </c>
      <c r="R191" s="15">
        <f>IF(A191&lt;=1,0,Q190)</f>
        <v/>
      </c>
      <c r="S191" s="15">
        <f>IF(A191&lt;=1,0,R190)</f>
        <v/>
      </c>
      <c r="T191" s="15">
        <f>IF(A191&lt;=1,0,S190)</f>
        <v/>
      </c>
      <c r="U191" s="15">
        <f>IF(A191&lt;=1,0,T190)</f>
        <v/>
      </c>
      <c r="V191" s="15">
        <f>IF(A191&lt;=1,0,U190)</f>
        <v/>
      </c>
      <c r="W191" s="15">
        <f>IF(A191&lt;=1,0,V190)</f>
        <v/>
      </c>
      <c r="X191" s="15">
        <f>IF(A191&lt;=1,0,W190)</f>
        <v/>
      </c>
      <c r="Y191" s="15">
        <f>IF(A191&lt;=1,0,X190)</f>
        <v/>
      </c>
      <c r="Z191" s="15">
        <f>IF(A191&lt;=1,0,Y190)</f>
        <v/>
      </c>
      <c r="AA191" s="15">
        <f>IF(A191&lt;=1,0,Z190)</f>
        <v/>
      </c>
    </row>
    <row r="192">
      <c r="A192" s="55" t="n">
        <v>186</v>
      </c>
      <c r="B192" s="15">
        <f>IF(A192&gt;Inputs!$C$62,"",INDEX(Trajectory!$G$23:$G$2000,A192))</f>
        <v/>
      </c>
      <c r="C192" s="15">
        <f>IF(B192="","",IF(A192&lt;=Inputs!$C$75,INDEX(Trajectory!$G$23:$G$2000,1),INDEX(Trajectory!$G$23:$G$2000,MAX(1,A192-Inputs!$C$75))))</f>
        <v/>
      </c>
      <c r="D192" s="15">
        <f>IF(C192="","",MAX(Inputs!$C$76,CEILING(C192/(Inputs!$C$42*Inputs!$C$92),1)))</f>
        <v/>
      </c>
      <c r="E192" s="15">
        <f>IF(D192="","",MAX(E191,D192))</f>
        <v/>
      </c>
      <c r="F192" s="15">
        <f>E192-E191</f>
        <v/>
      </c>
      <c r="G192" s="12">
        <f>IF(E192="",1,IF(E192=0,1,(E192-SUM(L192:AA192)+SUMPRODUCT(L192:AA192,$N$5:$N$20))/E192))</f>
        <v/>
      </c>
      <c r="H192" s="14">
        <f>IF(E192="",0,E192*G192)</f>
        <v/>
      </c>
      <c r="I192" s="15">
        <f>IF(H192="",0,H192*Inputs!$C$42)</f>
        <v/>
      </c>
      <c r="J192" s="14">
        <f>IF(E192="",1,1 + (Inputs!$C$95-1)*IF((1-Inputs!$C$94)=0,0,(1-G192)/(1-Inputs!$C$94)))</f>
        <v/>
      </c>
      <c r="K192" s="12">
        <f>IF(I192=0,"",B192/I192)</f>
        <v/>
      </c>
      <c r="L192" s="15">
        <f>IF(F192="",0,F192)</f>
        <v/>
      </c>
      <c r="M192" s="15">
        <f>IF(A192&lt;=1,0,L191)</f>
        <v/>
      </c>
      <c r="N192" s="15">
        <f>IF(A192&lt;=1,0,M191)</f>
        <v/>
      </c>
      <c r="O192" s="15">
        <f>IF(A192&lt;=1,0,N191)</f>
        <v/>
      </c>
      <c r="P192" s="15">
        <f>IF(A192&lt;=1,0,O191)</f>
        <v/>
      </c>
      <c r="Q192" s="15">
        <f>IF(A192&lt;=1,0,P191)</f>
        <v/>
      </c>
      <c r="R192" s="15">
        <f>IF(A192&lt;=1,0,Q191)</f>
        <v/>
      </c>
      <c r="S192" s="15">
        <f>IF(A192&lt;=1,0,R191)</f>
        <v/>
      </c>
      <c r="T192" s="15">
        <f>IF(A192&lt;=1,0,S191)</f>
        <v/>
      </c>
      <c r="U192" s="15">
        <f>IF(A192&lt;=1,0,T191)</f>
        <v/>
      </c>
      <c r="V192" s="15">
        <f>IF(A192&lt;=1,0,U191)</f>
        <v/>
      </c>
      <c r="W192" s="15">
        <f>IF(A192&lt;=1,0,V191)</f>
        <v/>
      </c>
      <c r="X192" s="15">
        <f>IF(A192&lt;=1,0,W191)</f>
        <v/>
      </c>
      <c r="Y192" s="15">
        <f>IF(A192&lt;=1,0,X191)</f>
        <v/>
      </c>
      <c r="Z192" s="15">
        <f>IF(A192&lt;=1,0,Y191)</f>
        <v/>
      </c>
      <c r="AA192" s="15">
        <f>IF(A192&lt;=1,0,Z191)</f>
        <v/>
      </c>
    </row>
    <row r="193">
      <c r="A193" s="55" t="n">
        <v>187</v>
      </c>
      <c r="B193" s="15">
        <f>IF(A193&gt;Inputs!$C$62,"",INDEX(Trajectory!$G$23:$G$2000,A193))</f>
        <v/>
      </c>
      <c r="C193" s="15">
        <f>IF(B193="","",IF(A193&lt;=Inputs!$C$75,INDEX(Trajectory!$G$23:$G$2000,1),INDEX(Trajectory!$G$23:$G$2000,MAX(1,A193-Inputs!$C$75))))</f>
        <v/>
      </c>
      <c r="D193" s="15">
        <f>IF(C193="","",MAX(Inputs!$C$76,CEILING(C193/(Inputs!$C$42*Inputs!$C$92),1)))</f>
        <v/>
      </c>
      <c r="E193" s="15">
        <f>IF(D193="","",MAX(E192,D193))</f>
        <v/>
      </c>
      <c r="F193" s="15">
        <f>E193-E192</f>
        <v/>
      </c>
      <c r="G193" s="12">
        <f>IF(E193="",1,IF(E193=0,1,(E193-SUM(L193:AA193)+SUMPRODUCT(L193:AA193,$N$5:$N$20))/E193))</f>
        <v/>
      </c>
      <c r="H193" s="14">
        <f>IF(E193="",0,E193*G193)</f>
        <v/>
      </c>
      <c r="I193" s="15">
        <f>IF(H193="",0,H193*Inputs!$C$42)</f>
        <v/>
      </c>
      <c r="J193" s="14">
        <f>IF(E193="",1,1 + (Inputs!$C$95-1)*IF((1-Inputs!$C$94)=0,0,(1-G193)/(1-Inputs!$C$94)))</f>
        <v/>
      </c>
      <c r="K193" s="12">
        <f>IF(I193=0,"",B193/I193)</f>
        <v/>
      </c>
      <c r="L193" s="15">
        <f>IF(F193="",0,F193)</f>
        <v/>
      </c>
      <c r="M193" s="15">
        <f>IF(A193&lt;=1,0,L192)</f>
        <v/>
      </c>
      <c r="N193" s="15">
        <f>IF(A193&lt;=1,0,M192)</f>
        <v/>
      </c>
      <c r="O193" s="15">
        <f>IF(A193&lt;=1,0,N192)</f>
        <v/>
      </c>
      <c r="P193" s="15">
        <f>IF(A193&lt;=1,0,O192)</f>
        <v/>
      </c>
      <c r="Q193" s="15">
        <f>IF(A193&lt;=1,0,P192)</f>
        <v/>
      </c>
      <c r="R193" s="15">
        <f>IF(A193&lt;=1,0,Q192)</f>
        <v/>
      </c>
      <c r="S193" s="15">
        <f>IF(A193&lt;=1,0,R192)</f>
        <v/>
      </c>
      <c r="T193" s="15">
        <f>IF(A193&lt;=1,0,S192)</f>
        <v/>
      </c>
      <c r="U193" s="15">
        <f>IF(A193&lt;=1,0,T192)</f>
        <v/>
      </c>
      <c r="V193" s="15">
        <f>IF(A193&lt;=1,0,U192)</f>
        <v/>
      </c>
      <c r="W193" s="15">
        <f>IF(A193&lt;=1,0,V192)</f>
        <v/>
      </c>
      <c r="X193" s="15">
        <f>IF(A193&lt;=1,0,W192)</f>
        <v/>
      </c>
      <c r="Y193" s="15">
        <f>IF(A193&lt;=1,0,X192)</f>
        <v/>
      </c>
      <c r="Z193" s="15">
        <f>IF(A193&lt;=1,0,Y192)</f>
        <v/>
      </c>
      <c r="AA193" s="15">
        <f>IF(A193&lt;=1,0,Z192)</f>
        <v/>
      </c>
    </row>
    <row r="194">
      <c r="A194" s="55" t="n">
        <v>188</v>
      </c>
      <c r="B194" s="15">
        <f>IF(A194&gt;Inputs!$C$62,"",INDEX(Trajectory!$G$23:$G$2000,A194))</f>
        <v/>
      </c>
      <c r="C194" s="15">
        <f>IF(B194="","",IF(A194&lt;=Inputs!$C$75,INDEX(Trajectory!$G$23:$G$2000,1),INDEX(Trajectory!$G$23:$G$2000,MAX(1,A194-Inputs!$C$75))))</f>
        <v/>
      </c>
      <c r="D194" s="15">
        <f>IF(C194="","",MAX(Inputs!$C$76,CEILING(C194/(Inputs!$C$42*Inputs!$C$92),1)))</f>
        <v/>
      </c>
      <c r="E194" s="15">
        <f>IF(D194="","",MAX(E193,D194))</f>
        <v/>
      </c>
      <c r="F194" s="15">
        <f>E194-E193</f>
        <v/>
      </c>
      <c r="G194" s="12">
        <f>IF(E194="",1,IF(E194=0,1,(E194-SUM(L194:AA194)+SUMPRODUCT(L194:AA194,$N$5:$N$20))/E194))</f>
        <v/>
      </c>
      <c r="H194" s="14">
        <f>IF(E194="",0,E194*G194)</f>
        <v/>
      </c>
      <c r="I194" s="15">
        <f>IF(H194="",0,H194*Inputs!$C$42)</f>
        <v/>
      </c>
      <c r="J194" s="14">
        <f>IF(E194="",1,1 + (Inputs!$C$95-1)*IF((1-Inputs!$C$94)=0,0,(1-G194)/(1-Inputs!$C$94)))</f>
        <v/>
      </c>
      <c r="K194" s="12">
        <f>IF(I194=0,"",B194/I194)</f>
        <v/>
      </c>
      <c r="L194" s="15">
        <f>IF(F194="",0,F194)</f>
        <v/>
      </c>
      <c r="M194" s="15">
        <f>IF(A194&lt;=1,0,L193)</f>
        <v/>
      </c>
      <c r="N194" s="15">
        <f>IF(A194&lt;=1,0,M193)</f>
        <v/>
      </c>
      <c r="O194" s="15">
        <f>IF(A194&lt;=1,0,N193)</f>
        <v/>
      </c>
      <c r="P194" s="15">
        <f>IF(A194&lt;=1,0,O193)</f>
        <v/>
      </c>
      <c r="Q194" s="15">
        <f>IF(A194&lt;=1,0,P193)</f>
        <v/>
      </c>
      <c r="R194" s="15">
        <f>IF(A194&lt;=1,0,Q193)</f>
        <v/>
      </c>
      <c r="S194" s="15">
        <f>IF(A194&lt;=1,0,R193)</f>
        <v/>
      </c>
      <c r="T194" s="15">
        <f>IF(A194&lt;=1,0,S193)</f>
        <v/>
      </c>
      <c r="U194" s="15">
        <f>IF(A194&lt;=1,0,T193)</f>
        <v/>
      </c>
      <c r="V194" s="15">
        <f>IF(A194&lt;=1,0,U193)</f>
        <v/>
      </c>
      <c r="W194" s="15">
        <f>IF(A194&lt;=1,0,V193)</f>
        <v/>
      </c>
      <c r="X194" s="15">
        <f>IF(A194&lt;=1,0,W193)</f>
        <v/>
      </c>
      <c r="Y194" s="15">
        <f>IF(A194&lt;=1,0,X193)</f>
        <v/>
      </c>
      <c r="Z194" s="15">
        <f>IF(A194&lt;=1,0,Y193)</f>
        <v/>
      </c>
      <c r="AA194" s="15">
        <f>IF(A194&lt;=1,0,Z193)</f>
        <v/>
      </c>
    </row>
    <row r="195">
      <c r="A195" s="55" t="n">
        <v>189</v>
      </c>
      <c r="B195" s="15">
        <f>IF(A195&gt;Inputs!$C$62,"",INDEX(Trajectory!$G$23:$G$2000,A195))</f>
        <v/>
      </c>
      <c r="C195" s="15">
        <f>IF(B195="","",IF(A195&lt;=Inputs!$C$75,INDEX(Trajectory!$G$23:$G$2000,1),INDEX(Trajectory!$G$23:$G$2000,MAX(1,A195-Inputs!$C$75))))</f>
        <v/>
      </c>
      <c r="D195" s="15">
        <f>IF(C195="","",MAX(Inputs!$C$76,CEILING(C195/(Inputs!$C$42*Inputs!$C$92),1)))</f>
        <v/>
      </c>
      <c r="E195" s="15">
        <f>IF(D195="","",MAX(E194,D195))</f>
        <v/>
      </c>
      <c r="F195" s="15">
        <f>E195-E194</f>
        <v/>
      </c>
      <c r="G195" s="12">
        <f>IF(E195="",1,IF(E195=0,1,(E195-SUM(L195:AA195)+SUMPRODUCT(L195:AA195,$N$5:$N$20))/E195))</f>
        <v/>
      </c>
      <c r="H195" s="14">
        <f>IF(E195="",0,E195*G195)</f>
        <v/>
      </c>
      <c r="I195" s="15">
        <f>IF(H195="",0,H195*Inputs!$C$42)</f>
        <v/>
      </c>
      <c r="J195" s="14">
        <f>IF(E195="",1,1 + (Inputs!$C$95-1)*IF((1-Inputs!$C$94)=0,0,(1-G195)/(1-Inputs!$C$94)))</f>
        <v/>
      </c>
      <c r="K195" s="12">
        <f>IF(I195=0,"",B195/I195)</f>
        <v/>
      </c>
      <c r="L195" s="15">
        <f>IF(F195="",0,F195)</f>
        <v/>
      </c>
      <c r="M195" s="15">
        <f>IF(A195&lt;=1,0,L194)</f>
        <v/>
      </c>
      <c r="N195" s="15">
        <f>IF(A195&lt;=1,0,M194)</f>
        <v/>
      </c>
      <c r="O195" s="15">
        <f>IF(A195&lt;=1,0,N194)</f>
        <v/>
      </c>
      <c r="P195" s="15">
        <f>IF(A195&lt;=1,0,O194)</f>
        <v/>
      </c>
      <c r="Q195" s="15">
        <f>IF(A195&lt;=1,0,P194)</f>
        <v/>
      </c>
      <c r="R195" s="15">
        <f>IF(A195&lt;=1,0,Q194)</f>
        <v/>
      </c>
      <c r="S195" s="15">
        <f>IF(A195&lt;=1,0,R194)</f>
        <v/>
      </c>
      <c r="T195" s="15">
        <f>IF(A195&lt;=1,0,S194)</f>
        <v/>
      </c>
      <c r="U195" s="15">
        <f>IF(A195&lt;=1,0,T194)</f>
        <v/>
      </c>
      <c r="V195" s="15">
        <f>IF(A195&lt;=1,0,U194)</f>
        <v/>
      </c>
      <c r="W195" s="15">
        <f>IF(A195&lt;=1,0,V194)</f>
        <v/>
      </c>
      <c r="X195" s="15">
        <f>IF(A195&lt;=1,0,W194)</f>
        <v/>
      </c>
      <c r="Y195" s="15">
        <f>IF(A195&lt;=1,0,X194)</f>
        <v/>
      </c>
      <c r="Z195" s="15">
        <f>IF(A195&lt;=1,0,Y194)</f>
        <v/>
      </c>
      <c r="AA195" s="15">
        <f>IF(A195&lt;=1,0,Z194)</f>
        <v/>
      </c>
    </row>
    <row r="196">
      <c r="A196" s="55" t="n">
        <v>190</v>
      </c>
      <c r="B196" s="15">
        <f>IF(A196&gt;Inputs!$C$62,"",INDEX(Trajectory!$G$23:$G$2000,A196))</f>
        <v/>
      </c>
      <c r="C196" s="15">
        <f>IF(B196="","",IF(A196&lt;=Inputs!$C$75,INDEX(Trajectory!$G$23:$G$2000,1),INDEX(Trajectory!$G$23:$G$2000,MAX(1,A196-Inputs!$C$75))))</f>
        <v/>
      </c>
      <c r="D196" s="15">
        <f>IF(C196="","",MAX(Inputs!$C$76,CEILING(C196/(Inputs!$C$42*Inputs!$C$92),1)))</f>
        <v/>
      </c>
      <c r="E196" s="15">
        <f>IF(D196="","",MAX(E195,D196))</f>
        <v/>
      </c>
      <c r="F196" s="15">
        <f>E196-E195</f>
        <v/>
      </c>
      <c r="G196" s="12">
        <f>IF(E196="",1,IF(E196=0,1,(E196-SUM(L196:AA196)+SUMPRODUCT(L196:AA196,$N$5:$N$20))/E196))</f>
        <v/>
      </c>
      <c r="H196" s="14">
        <f>IF(E196="",0,E196*G196)</f>
        <v/>
      </c>
      <c r="I196" s="15">
        <f>IF(H196="",0,H196*Inputs!$C$42)</f>
        <v/>
      </c>
      <c r="J196" s="14">
        <f>IF(E196="",1,1 + (Inputs!$C$95-1)*IF((1-Inputs!$C$94)=0,0,(1-G196)/(1-Inputs!$C$94)))</f>
        <v/>
      </c>
      <c r="K196" s="12">
        <f>IF(I196=0,"",B196/I196)</f>
        <v/>
      </c>
      <c r="L196" s="15">
        <f>IF(F196="",0,F196)</f>
        <v/>
      </c>
      <c r="M196" s="15">
        <f>IF(A196&lt;=1,0,L195)</f>
        <v/>
      </c>
      <c r="N196" s="15">
        <f>IF(A196&lt;=1,0,M195)</f>
        <v/>
      </c>
      <c r="O196" s="15">
        <f>IF(A196&lt;=1,0,N195)</f>
        <v/>
      </c>
      <c r="P196" s="15">
        <f>IF(A196&lt;=1,0,O195)</f>
        <v/>
      </c>
      <c r="Q196" s="15">
        <f>IF(A196&lt;=1,0,P195)</f>
        <v/>
      </c>
      <c r="R196" s="15">
        <f>IF(A196&lt;=1,0,Q195)</f>
        <v/>
      </c>
      <c r="S196" s="15">
        <f>IF(A196&lt;=1,0,R195)</f>
        <v/>
      </c>
      <c r="T196" s="15">
        <f>IF(A196&lt;=1,0,S195)</f>
        <v/>
      </c>
      <c r="U196" s="15">
        <f>IF(A196&lt;=1,0,T195)</f>
        <v/>
      </c>
      <c r="V196" s="15">
        <f>IF(A196&lt;=1,0,U195)</f>
        <v/>
      </c>
      <c r="W196" s="15">
        <f>IF(A196&lt;=1,0,V195)</f>
        <v/>
      </c>
      <c r="X196" s="15">
        <f>IF(A196&lt;=1,0,W195)</f>
        <v/>
      </c>
      <c r="Y196" s="15">
        <f>IF(A196&lt;=1,0,X195)</f>
        <v/>
      </c>
      <c r="Z196" s="15">
        <f>IF(A196&lt;=1,0,Y195)</f>
        <v/>
      </c>
      <c r="AA196" s="15">
        <f>IF(A196&lt;=1,0,Z195)</f>
        <v/>
      </c>
    </row>
    <row r="197">
      <c r="A197" s="55" t="n">
        <v>191</v>
      </c>
      <c r="B197" s="15">
        <f>IF(A197&gt;Inputs!$C$62,"",INDEX(Trajectory!$G$23:$G$2000,A197))</f>
        <v/>
      </c>
      <c r="C197" s="15">
        <f>IF(B197="","",IF(A197&lt;=Inputs!$C$75,INDEX(Trajectory!$G$23:$G$2000,1),INDEX(Trajectory!$G$23:$G$2000,MAX(1,A197-Inputs!$C$75))))</f>
        <v/>
      </c>
      <c r="D197" s="15">
        <f>IF(C197="","",MAX(Inputs!$C$76,CEILING(C197/(Inputs!$C$42*Inputs!$C$92),1)))</f>
        <v/>
      </c>
      <c r="E197" s="15">
        <f>IF(D197="","",MAX(E196,D197))</f>
        <v/>
      </c>
      <c r="F197" s="15">
        <f>E197-E196</f>
        <v/>
      </c>
      <c r="G197" s="12">
        <f>IF(E197="",1,IF(E197=0,1,(E197-SUM(L197:AA197)+SUMPRODUCT(L197:AA197,$N$5:$N$20))/E197))</f>
        <v/>
      </c>
      <c r="H197" s="14">
        <f>IF(E197="",0,E197*G197)</f>
        <v/>
      </c>
      <c r="I197" s="15">
        <f>IF(H197="",0,H197*Inputs!$C$42)</f>
        <v/>
      </c>
      <c r="J197" s="14">
        <f>IF(E197="",1,1 + (Inputs!$C$95-1)*IF((1-Inputs!$C$94)=0,0,(1-G197)/(1-Inputs!$C$94)))</f>
        <v/>
      </c>
      <c r="K197" s="12">
        <f>IF(I197=0,"",B197/I197)</f>
        <v/>
      </c>
      <c r="L197" s="15">
        <f>IF(F197="",0,F197)</f>
        <v/>
      </c>
      <c r="M197" s="15">
        <f>IF(A197&lt;=1,0,L196)</f>
        <v/>
      </c>
      <c r="N197" s="15">
        <f>IF(A197&lt;=1,0,M196)</f>
        <v/>
      </c>
      <c r="O197" s="15">
        <f>IF(A197&lt;=1,0,N196)</f>
        <v/>
      </c>
      <c r="P197" s="15">
        <f>IF(A197&lt;=1,0,O196)</f>
        <v/>
      </c>
      <c r="Q197" s="15">
        <f>IF(A197&lt;=1,0,P196)</f>
        <v/>
      </c>
      <c r="R197" s="15">
        <f>IF(A197&lt;=1,0,Q196)</f>
        <v/>
      </c>
      <c r="S197" s="15">
        <f>IF(A197&lt;=1,0,R196)</f>
        <v/>
      </c>
      <c r="T197" s="15">
        <f>IF(A197&lt;=1,0,S196)</f>
        <v/>
      </c>
      <c r="U197" s="15">
        <f>IF(A197&lt;=1,0,T196)</f>
        <v/>
      </c>
      <c r="V197" s="15">
        <f>IF(A197&lt;=1,0,U196)</f>
        <v/>
      </c>
      <c r="W197" s="15">
        <f>IF(A197&lt;=1,0,V196)</f>
        <v/>
      </c>
      <c r="X197" s="15">
        <f>IF(A197&lt;=1,0,W196)</f>
        <v/>
      </c>
      <c r="Y197" s="15">
        <f>IF(A197&lt;=1,0,X196)</f>
        <v/>
      </c>
      <c r="Z197" s="15">
        <f>IF(A197&lt;=1,0,Y196)</f>
        <v/>
      </c>
      <c r="AA197" s="15">
        <f>IF(A197&lt;=1,0,Z196)</f>
        <v/>
      </c>
    </row>
    <row r="198">
      <c r="A198" s="55" t="n">
        <v>192</v>
      </c>
      <c r="B198" s="15">
        <f>IF(A198&gt;Inputs!$C$62,"",INDEX(Trajectory!$G$23:$G$2000,A198))</f>
        <v/>
      </c>
      <c r="C198" s="15">
        <f>IF(B198="","",IF(A198&lt;=Inputs!$C$75,INDEX(Trajectory!$G$23:$G$2000,1),INDEX(Trajectory!$G$23:$G$2000,MAX(1,A198-Inputs!$C$75))))</f>
        <v/>
      </c>
      <c r="D198" s="15">
        <f>IF(C198="","",MAX(Inputs!$C$76,CEILING(C198/(Inputs!$C$42*Inputs!$C$92),1)))</f>
        <v/>
      </c>
      <c r="E198" s="15">
        <f>IF(D198="","",MAX(E197,D198))</f>
        <v/>
      </c>
      <c r="F198" s="15">
        <f>E198-E197</f>
        <v/>
      </c>
      <c r="G198" s="12">
        <f>IF(E198="",1,IF(E198=0,1,(E198-SUM(L198:AA198)+SUMPRODUCT(L198:AA198,$N$5:$N$20))/E198))</f>
        <v/>
      </c>
      <c r="H198" s="14">
        <f>IF(E198="",0,E198*G198)</f>
        <v/>
      </c>
      <c r="I198" s="15">
        <f>IF(H198="",0,H198*Inputs!$C$42)</f>
        <v/>
      </c>
      <c r="J198" s="14">
        <f>IF(E198="",1,1 + (Inputs!$C$95-1)*IF((1-Inputs!$C$94)=0,0,(1-G198)/(1-Inputs!$C$94)))</f>
        <v/>
      </c>
      <c r="K198" s="12">
        <f>IF(I198=0,"",B198/I198)</f>
        <v/>
      </c>
      <c r="L198" s="15">
        <f>IF(F198="",0,F198)</f>
        <v/>
      </c>
      <c r="M198" s="15">
        <f>IF(A198&lt;=1,0,L197)</f>
        <v/>
      </c>
      <c r="N198" s="15">
        <f>IF(A198&lt;=1,0,M197)</f>
        <v/>
      </c>
      <c r="O198" s="15">
        <f>IF(A198&lt;=1,0,N197)</f>
        <v/>
      </c>
      <c r="P198" s="15">
        <f>IF(A198&lt;=1,0,O197)</f>
        <v/>
      </c>
      <c r="Q198" s="15">
        <f>IF(A198&lt;=1,0,P197)</f>
        <v/>
      </c>
      <c r="R198" s="15">
        <f>IF(A198&lt;=1,0,Q197)</f>
        <v/>
      </c>
      <c r="S198" s="15">
        <f>IF(A198&lt;=1,0,R197)</f>
        <v/>
      </c>
      <c r="T198" s="15">
        <f>IF(A198&lt;=1,0,S197)</f>
        <v/>
      </c>
      <c r="U198" s="15">
        <f>IF(A198&lt;=1,0,T197)</f>
        <v/>
      </c>
      <c r="V198" s="15">
        <f>IF(A198&lt;=1,0,U197)</f>
        <v/>
      </c>
      <c r="W198" s="15">
        <f>IF(A198&lt;=1,0,V197)</f>
        <v/>
      </c>
      <c r="X198" s="15">
        <f>IF(A198&lt;=1,0,W197)</f>
        <v/>
      </c>
      <c r="Y198" s="15">
        <f>IF(A198&lt;=1,0,X197)</f>
        <v/>
      </c>
      <c r="Z198" s="15">
        <f>IF(A198&lt;=1,0,Y197)</f>
        <v/>
      </c>
      <c r="AA198" s="15">
        <f>IF(A198&lt;=1,0,Z197)</f>
        <v/>
      </c>
    </row>
    <row r="199">
      <c r="A199" s="55" t="n">
        <v>193</v>
      </c>
      <c r="B199" s="15">
        <f>IF(A199&gt;Inputs!$C$62,"",INDEX(Trajectory!$G$23:$G$2000,A199))</f>
        <v/>
      </c>
      <c r="C199" s="15">
        <f>IF(B199="","",IF(A199&lt;=Inputs!$C$75,INDEX(Trajectory!$G$23:$G$2000,1),INDEX(Trajectory!$G$23:$G$2000,MAX(1,A199-Inputs!$C$75))))</f>
        <v/>
      </c>
      <c r="D199" s="15">
        <f>IF(C199="","",MAX(Inputs!$C$76,CEILING(C199/(Inputs!$C$42*Inputs!$C$92),1)))</f>
        <v/>
      </c>
      <c r="E199" s="15">
        <f>IF(D199="","",MAX(E198,D199))</f>
        <v/>
      </c>
      <c r="F199" s="15">
        <f>E199-E198</f>
        <v/>
      </c>
      <c r="G199" s="12">
        <f>IF(E199="",1,IF(E199=0,1,(E199-SUM(L199:AA199)+SUMPRODUCT(L199:AA199,$N$5:$N$20))/E199))</f>
        <v/>
      </c>
      <c r="H199" s="14">
        <f>IF(E199="",0,E199*G199)</f>
        <v/>
      </c>
      <c r="I199" s="15">
        <f>IF(H199="",0,H199*Inputs!$C$42)</f>
        <v/>
      </c>
      <c r="J199" s="14">
        <f>IF(E199="",1,1 + (Inputs!$C$95-1)*IF((1-Inputs!$C$94)=0,0,(1-G199)/(1-Inputs!$C$94)))</f>
        <v/>
      </c>
      <c r="K199" s="12">
        <f>IF(I199=0,"",B199/I199)</f>
        <v/>
      </c>
      <c r="L199" s="15">
        <f>IF(F199="",0,F199)</f>
        <v/>
      </c>
      <c r="M199" s="15">
        <f>IF(A199&lt;=1,0,L198)</f>
        <v/>
      </c>
      <c r="N199" s="15">
        <f>IF(A199&lt;=1,0,M198)</f>
        <v/>
      </c>
      <c r="O199" s="15">
        <f>IF(A199&lt;=1,0,N198)</f>
        <v/>
      </c>
      <c r="P199" s="15">
        <f>IF(A199&lt;=1,0,O198)</f>
        <v/>
      </c>
      <c r="Q199" s="15">
        <f>IF(A199&lt;=1,0,P198)</f>
        <v/>
      </c>
      <c r="R199" s="15">
        <f>IF(A199&lt;=1,0,Q198)</f>
        <v/>
      </c>
      <c r="S199" s="15">
        <f>IF(A199&lt;=1,0,R198)</f>
        <v/>
      </c>
      <c r="T199" s="15">
        <f>IF(A199&lt;=1,0,S198)</f>
        <v/>
      </c>
      <c r="U199" s="15">
        <f>IF(A199&lt;=1,0,T198)</f>
        <v/>
      </c>
      <c r="V199" s="15">
        <f>IF(A199&lt;=1,0,U198)</f>
        <v/>
      </c>
      <c r="W199" s="15">
        <f>IF(A199&lt;=1,0,V198)</f>
        <v/>
      </c>
      <c r="X199" s="15">
        <f>IF(A199&lt;=1,0,W198)</f>
        <v/>
      </c>
      <c r="Y199" s="15">
        <f>IF(A199&lt;=1,0,X198)</f>
        <v/>
      </c>
      <c r="Z199" s="15">
        <f>IF(A199&lt;=1,0,Y198)</f>
        <v/>
      </c>
      <c r="AA199" s="15">
        <f>IF(A199&lt;=1,0,Z198)</f>
        <v/>
      </c>
    </row>
    <row r="200">
      <c r="A200" s="55" t="n">
        <v>194</v>
      </c>
      <c r="B200" s="15">
        <f>IF(A200&gt;Inputs!$C$62,"",INDEX(Trajectory!$G$23:$G$2000,A200))</f>
        <v/>
      </c>
      <c r="C200" s="15">
        <f>IF(B200="","",IF(A200&lt;=Inputs!$C$75,INDEX(Trajectory!$G$23:$G$2000,1),INDEX(Trajectory!$G$23:$G$2000,MAX(1,A200-Inputs!$C$75))))</f>
        <v/>
      </c>
      <c r="D200" s="15">
        <f>IF(C200="","",MAX(Inputs!$C$76,CEILING(C200/(Inputs!$C$42*Inputs!$C$92),1)))</f>
        <v/>
      </c>
      <c r="E200" s="15">
        <f>IF(D200="","",MAX(E199,D200))</f>
        <v/>
      </c>
      <c r="F200" s="15">
        <f>E200-E199</f>
        <v/>
      </c>
      <c r="G200" s="12">
        <f>IF(E200="",1,IF(E200=0,1,(E200-SUM(L200:AA200)+SUMPRODUCT(L200:AA200,$N$5:$N$20))/E200))</f>
        <v/>
      </c>
      <c r="H200" s="14">
        <f>IF(E200="",0,E200*G200)</f>
        <v/>
      </c>
      <c r="I200" s="15">
        <f>IF(H200="",0,H200*Inputs!$C$42)</f>
        <v/>
      </c>
      <c r="J200" s="14">
        <f>IF(E200="",1,1 + (Inputs!$C$95-1)*IF((1-Inputs!$C$94)=0,0,(1-G200)/(1-Inputs!$C$94)))</f>
        <v/>
      </c>
      <c r="K200" s="12">
        <f>IF(I200=0,"",B200/I200)</f>
        <v/>
      </c>
      <c r="L200" s="15">
        <f>IF(F200="",0,F200)</f>
        <v/>
      </c>
      <c r="M200" s="15">
        <f>IF(A200&lt;=1,0,L199)</f>
        <v/>
      </c>
      <c r="N200" s="15">
        <f>IF(A200&lt;=1,0,M199)</f>
        <v/>
      </c>
      <c r="O200" s="15">
        <f>IF(A200&lt;=1,0,N199)</f>
        <v/>
      </c>
      <c r="P200" s="15">
        <f>IF(A200&lt;=1,0,O199)</f>
        <v/>
      </c>
      <c r="Q200" s="15">
        <f>IF(A200&lt;=1,0,P199)</f>
        <v/>
      </c>
      <c r="R200" s="15">
        <f>IF(A200&lt;=1,0,Q199)</f>
        <v/>
      </c>
      <c r="S200" s="15">
        <f>IF(A200&lt;=1,0,R199)</f>
        <v/>
      </c>
      <c r="T200" s="15">
        <f>IF(A200&lt;=1,0,S199)</f>
        <v/>
      </c>
      <c r="U200" s="15">
        <f>IF(A200&lt;=1,0,T199)</f>
        <v/>
      </c>
      <c r="V200" s="15">
        <f>IF(A200&lt;=1,0,U199)</f>
        <v/>
      </c>
      <c r="W200" s="15">
        <f>IF(A200&lt;=1,0,V199)</f>
        <v/>
      </c>
      <c r="X200" s="15">
        <f>IF(A200&lt;=1,0,W199)</f>
        <v/>
      </c>
      <c r="Y200" s="15">
        <f>IF(A200&lt;=1,0,X199)</f>
        <v/>
      </c>
      <c r="Z200" s="15">
        <f>IF(A200&lt;=1,0,Y199)</f>
        <v/>
      </c>
      <c r="AA200" s="15">
        <f>IF(A200&lt;=1,0,Z199)</f>
        <v/>
      </c>
    </row>
    <row r="201">
      <c r="A201" s="55" t="n">
        <v>195</v>
      </c>
      <c r="B201" s="15">
        <f>IF(A201&gt;Inputs!$C$62,"",INDEX(Trajectory!$G$23:$G$2000,A201))</f>
        <v/>
      </c>
      <c r="C201" s="15">
        <f>IF(B201="","",IF(A201&lt;=Inputs!$C$75,INDEX(Trajectory!$G$23:$G$2000,1),INDEX(Trajectory!$G$23:$G$2000,MAX(1,A201-Inputs!$C$75))))</f>
        <v/>
      </c>
      <c r="D201" s="15">
        <f>IF(C201="","",MAX(Inputs!$C$76,CEILING(C201/(Inputs!$C$42*Inputs!$C$92),1)))</f>
        <v/>
      </c>
      <c r="E201" s="15">
        <f>IF(D201="","",MAX(E200,D201))</f>
        <v/>
      </c>
      <c r="F201" s="15">
        <f>E201-E200</f>
        <v/>
      </c>
      <c r="G201" s="12">
        <f>IF(E201="",1,IF(E201=0,1,(E201-SUM(L201:AA201)+SUMPRODUCT(L201:AA201,$N$5:$N$20))/E201))</f>
        <v/>
      </c>
      <c r="H201" s="14">
        <f>IF(E201="",0,E201*G201)</f>
        <v/>
      </c>
      <c r="I201" s="15">
        <f>IF(H201="",0,H201*Inputs!$C$42)</f>
        <v/>
      </c>
      <c r="J201" s="14">
        <f>IF(E201="",1,1 + (Inputs!$C$95-1)*IF((1-Inputs!$C$94)=0,0,(1-G201)/(1-Inputs!$C$94)))</f>
        <v/>
      </c>
      <c r="K201" s="12">
        <f>IF(I201=0,"",B201/I201)</f>
        <v/>
      </c>
      <c r="L201" s="15">
        <f>IF(F201="",0,F201)</f>
        <v/>
      </c>
      <c r="M201" s="15">
        <f>IF(A201&lt;=1,0,L200)</f>
        <v/>
      </c>
      <c r="N201" s="15">
        <f>IF(A201&lt;=1,0,M200)</f>
        <v/>
      </c>
      <c r="O201" s="15">
        <f>IF(A201&lt;=1,0,N200)</f>
        <v/>
      </c>
      <c r="P201" s="15">
        <f>IF(A201&lt;=1,0,O200)</f>
        <v/>
      </c>
      <c r="Q201" s="15">
        <f>IF(A201&lt;=1,0,P200)</f>
        <v/>
      </c>
      <c r="R201" s="15">
        <f>IF(A201&lt;=1,0,Q200)</f>
        <v/>
      </c>
      <c r="S201" s="15">
        <f>IF(A201&lt;=1,0,R200)</f>
        <v/>
      </c>
      <c r="T201" s="15">
        <f>IF(A201&lt;=1,0,S200)</f>
        <v/>
      </c>
      <c r="U201" s="15">
        <f>IF(A201&lt;=1,0,T200)</f>
        <v/>
      </c>
      <c r="V201" s="15">
        <f>IF(A201&lt;=1,0,U200)</f>
        <v/>
      </c>
      <c r="W201" s="15">
        <f>IF(A201&lt;=1,0,V200)</f>
        <v/>
      </c>
      <c r="X201" s="15">
        <f>IF(A201&lt;=1,0,W200)</f>
        <v/>
      </c>
      <c r="Y201" s="15">
        <f>IF(A201&lt;=1,0,X200)</f>
        <v/>
      </c>
      <c r="Z201" s="15">
        <f>IF(A201&lt;=1,0,Y200)</f>
        <v/>
      </c>
      <c r="AA201" s="15">
        <f>IF(A201&lt;=1,0,Z200)</f>
        <v/>
      </c>
    </row>
    <row r="202">
      <c r="A202" s="55" t="n">
        <v>196</v>
      </c>
      <c r="B202" s="15">
        <f>IF(A202&gt;Inputs!$C$62,"",INDEX(Trajectory!$G$23:$G$2000,A202))</f>
        <v/>
      </c>
      <c r="C202" s="15">
        <f>IF(B202="","",IF(A202&lt;=Inputs!$C$75,INDEX(Trajectory!$G$23:$G$2000,1),INDEX(Trajectory!$G$23:$G$2000,MAX(1,A202-Inputs!$C$75))))</f>
        <v/>
      </c>
      <c r="D202" s="15">
        <f>IF(C202="","",MAX(Inputs!$C$76,CEILING(C202/(Inputs!$C$42*Inputs!$C$92),1)))</f>
        <v/>
      </c>
      <c r="E202" s="15">
        <f>IF(D202="","",MAX(E201,D202))</f>
        <v/>
      </c>
      <c r="F202" s="15">
        <f>E202-E201</f>
        <v/>
      </c>
      <c r="G202" s="12">
        <f>IF(E202="",1,IF(E202=0,1,(E202-SUM(L202:AA202)+SUMPRODUCT(L202:AA202,$N$5:$N$20))/E202))</f>
        <v/>
      </c>
      <c r="H202" s="14">
        <f>IF(E202="",0,E202*G202)</f>
        <v/>
      </c>
      <c r="I202" s="15">
        <f>IF(H202="",0,H202*Inputs!$C$42)</f>
        <v/>
      </c>
      <c r="J202" s="14">
        <f>IF(E202="",1,1 + (Inputs!$C$95-1)*IF((1-Inputs!$C$94)=0,0,(1-G202)/(1-Inputs!$C$94)))</f>
        <v/>
      </c>
      <c r="K202" s="12">
        <f>IF(I202=0,"",B202/I202)</f>
        <v/>
      </c>
      <c r="L202" s="15">
        <f>IF(F202="",0,F202)</f>
        <v/>
      </c>
      <c r="M202" s="15">
        <f>IF(A202&lt;=1,0,L201)</f>
        <v/>
      </c>
      <c r="N202" s="15">
        <f>IF(A202&lt;=1,0,M201)</f>
        <v/>
      </c>
      <c r="O202" s="15">
        <f>IF(A202&lt;=1,0,N201)</f>
        <v/>
      </c>
      <c r="P202" s="15">
        <f>IF(A202&lt;=1,0,O201)</f>
        <v/>
      </c>
      <c r="Q202" s="15">
        <f>IF(A202&lt;=1,0,P201)</f>
        <v/>
      </c>
      <c r="R202" s="15">
        <f>IF(A202&lt;=1,0,Q201)</f>
        <v/>
      </c>
      <c r="S202" s="15">
        <f>IF(A202&lt;=1,0,R201)</f>
        <v/>
      </c>
      <c r="T202" s="15">
        <f>IF(A202&lt;=1,0,S201)</f>
        <v/>
      </c>
      <c r="U202" s="15">
        <f>IF(A202&lt;=1,0,T201)</f>
        <v/>
      </c>
      <c r="V202" s="15">
        <f>IF(A202&lt;=1,0,U201)</f>
        <v/>
      </c>
      <c r="W202" s="15">
        <f>IF(A202&lt;=1,0,V201)</f>
        <v/>
      </c>
      <c r="X202" s="15">
        <f>IF(A202&lt;=1,0,W201)</f>
        <v/>
      </c>
      <c r="Y202" s="15">
        <f>IF(A202&lt;=1,0,X201)</f>
        <v/>
      </c>
      <c r="Z202" s="15">
        <f>IF(A202&lt;=1,0,Y201)</f>
        <v/>
      </c>
      <c r="AA202" s="15">
        <f>IF(A202&lt;=1,0,Z201)</f>
        <v/>
      </c>
    </row>
    <row r="203">
      <c r="A203" s="55" t="n">
        <v>197</v>
      </c>
      <c r="B203" s="15">
        <f>IF(A203&gt;Inputs!$C$62,"",INDEX(Trajectory!$G$23:$G$2000,A203))</f>
        <v/>
      </c>
      <c r="C203" s="15">
        <f>IF(B203="","",IF(A203&lt;=Inputs!$C$75,INDEX(Trajectory!$G$23:$G$2000,1),INDEX(Trajectory!$G$23:$G$2000,MAX(1,A203-Inputs!$C$75))))</f>
        <v/>
      </c>
      <c r="D203" s="15">
        <f>IF(C203="","",MAX(Inputs!$C$76,CEILING(C203/(Inputs!$C$42*Inputs!$C$92),1)))</f>
        <v/>
      </c>
      <c r="E203" s="15">
        <f>IF(D203="","",MAX(E202,D203))</f>
        <v/>
      </c>
      <c r="F203" s="15">
        <f>E203-E202</f>
        <v/>
      </c>
      <c r="G203" s="12">
        <f>IF(E203="",1,IF(E203=0,1,(E203-SUM(L203:AA203)+SUMPRODUCT(L203:AA203,$N$5:$N$20))/E203))</f>
        <v/>
      </c>
      <c r="H203" s="14">
        <f>IF(E203="",0,E203*G203)</f>
        <v/>
      </c>
      <c r="I203" s="15">
        <f>IF(H203="",0,H203*Inputs!$C$42)</f>
        <v/>
      </c>
      <c r="J203" s="14">
        <f>IF(E203="",1,1 + (Inputs!$C$95-1)*IF((1-Inputs!$C$94)=0,0,(1-G203)/(1-Inputs!$C$94)))</f>
        <v/>
      </c>
      <c r="K203" s="12">
        <f>IF(I203=0,"",B203/I203)</f>
        <v/>
      </c>
      <c r="L203" s="15">
        <f>IF(F203="",0,F203)</f>
        <v/>
      </c>
      <c r="M203" s="15">
        <f>IF(A203&lt;=1,0,L202)</f>
        <v/>
      </c>
      <c r="N203" s="15">
        <f>IF(A203&lt;=1,0,M202)</f>
        <v/>
      </c>
      <c r="O203" s="15">
        <f>IF(A203&lt;=1,0,N202)</f>
        <v/>
      </c>
      <c r="P203" s="15">
        <f>IF(A203&lt;=1,0,O202)</f>
        <v/>
      </c>
      <c r="Q203" s="15">
        <f>IF(A203&lt;=1,0,P202)</f>
        <v/>
      </c>
      <c r="R203" s="15">
        <f>IF(A203&lt;=1,0,Q202)</f>
        <v/>
      </c>
      <c r="S203" s="15">
        <f>IF(A203&lt;=1,0,R202)</f>
        <v/>
      </c>
      <c r="T203" s="15">
        <f>IF(A203&lt;=1,0,S202)</f>
        <v/>
      </c>
      <c r="U203" s="15">
        <f>IF(A203&lt;=1,0,T202)</f>
        <v/>
      </c>
      <c r="V203" s="15">
        <f>IF(A203&lt;=1,0,U202)</f>
        <v/>
      </c>
      <c r="W203" s="15">
        <f>IF(A203&lt;=1,0,V202)</f>
        <v/>
      </c>
      <c r="X203" s="15">
        <f>IF(A203&lt;=1,0,W202)</f>
        <v/>
      </c>
      <c r="Y203" s="15">
        <f>IF(A203&lt;=1,0,X202)</f>
        <v/>
      </c>
      <c r="Z203" s="15">
        <f>IF(A203&lt;=1,0,Y202)</f>
        <v/>
      </c>
      <c r="AA203" s="15">
        <f>IF(A203&lt;=1,0,Z202)</f>
        <v/>
      </c>
    </row>
    <row r="204">
      <c r="A204" s="55" t="n">
        <v>198</v>
      </c>
      <c r="B204" s="15">
        <f>IF(A204&gt;Inputs!$C$62,"",INDEX(Trajectory!$G$23:$G$2000,A204))</f>
        <v/>
      </c>
      <c r="C204" s="15">
        <f>IF(B204="","",IF(A204&lt;=Inputs!$C$75,INDEX(Trajectory!$G$23:$G$2000,1),INDEX(Trajectory!$G$23:$G$2000,MAX(1,A204-Inputs!$C$75))))</f>
        <v/>
      </c>
      <c r="D204" s="15">
        <f>IF(C204="","",MAX(Inputs!$C$76,CEILING(C204/(Inputs!$C$42*Inputs!$C$92),1)))</f>
        <v/>
      </c>
      <c r="E204" s="15">
        <f>IF(D204="","",MAX(E203,D204))</f>
        <v/>
      </c>
      <c r="F204" s="15">
        <f>E204-E203</f>
        <v/>
      </c>
      <c r="G204" s="12">
        <f>IF(E204="",1,IF(E204=0,1,(E204-SUM(L204:AA204)+SUMPRODUCT(L204:AA204,$N$5:$N$20))/E204))</f>
        <v/>
      </c>
      <c r="H204" s="14">
        <f>IF(E204="",0,E204*G204)</f>
        <v/>
      </c>
      <c r="I204" s="15">
        <f>IF(H204="",0,H204*Inputs!$C$42)</f>
        <v/>
      </c>
      <c r="J204" s="14">
        <f>IF(E204="",1,1 + (Inputs!$C$95-1)*IF((1-Inputs!$C$94)=0,0,(1-G204)/(1-Inputs!$C$94)))</f>
        <v/>
      </c>
      <c r="K204" s="12">
        <f>IF(I204=0,"",B204/I204)</f>
        <v/>
      </c>
      <c r="L204" s="15">
        <f>IF(F204="",0,F204)</f>
        <v/>
      </c>
      <c r="M204" s="15">
        <f>IF(A204&lt;=1,0,L203)</f>
        <v/>
      </c>
      <c r="N204" s="15">
        <f>IF(A204&lt;=1,0,M203)</f>
        <v/>
      </c>
      <c r="O204" s="15">
        <f>IF(A204&lt;=1,0,N203)</f>
        <v/>
      </c>
      <c r="P204" s="15">
        <f>IF(A204&lt;=1,0,O203)</f>
        <v/>
      </c>
      <c r="Q204" s="15">
        <f>IF(A204&lt;=1,0,P203)</f>
        <v/>
      </c>
      <c r="R204" s="15">
        <f>IF(A204&lt;=1,0,Q203)</f>
        <v/>
      </c>
      <c r="S204" s="15">
        <f>IF(A204&lt;=1,0,R203)</f>
        <v/>
      </c>
      <c r="T204" s="15">
        <f>IF(A204&lt;=1,0,S203)</f>
        <v/>
      </c>
      <c r="U204" s="15">
        <f>IF(A204&lt;=1,0,T203)</f>
        <v/>
      </c>
      <c r="V204" s="15">
        <f>IF(A204&lt;=1,0,U203)</f>
        <v/>
      </c>
      <c r="W204" s="15">
        <f>IF(A204&lt;=1,0,V203)</f>
        <v/>
      </c>
      <c r="X204" s="15">
        <f>IF(A204&lt;=1,0,W203)</f>
        <v/>
      </c>
      <c r="Y204" s="15">
        <f>IF(A204&lt;=1,0,X203)</f>
        <v/>
      </c>
      <c r="Z204" s="15">
        <f>IF(A204&lt;=1,0,Y203)</f>
        <v/>
      </c>
      <c r="AA204" s="15">
        <f>IF(A204&lt;=1,0,Z203)</f>
        <v/>
      </c>
    </row>
    <row r="205">
      <c r="A205" s="55" t="n">
        <v>199</v>
      </c>
      <c r="B205" s="15">
        <f>IF(A205&gt;Inputs!$C$62,"",INDEX(Trajectory!$G$23:$G$2000,A205))</f>
        <v/>
      </c>
      <c r="C205" s="15">
        <f>IF(B205="","",IF(A205&lt;=Inputs!$C$75,INDEX(Trajectory!$G$23:$G$2000,1),INDEX(Trajectory!$G$23:$G$2000,MAX(1,A205-Inputs!$C$75))))</f>
        <v/>
      </c>
      <c r="D205" s="15">
        <f>IF(C205="","",MAX(Inputs!$C$76,CEILING(C205/(Inputs!$C$42*Inputs!$C$92),1)))</f>
        <v/>
      </c>
      <c r="E205" s="15">
        <f>IF(D205="","",MAX(E204,D205))</f>
        <v/>
      </c>
      <c r="F205" s="15">
        <f>E205-E204</f>
        <v/>
      </c>
      <c r="G205" s="12">
        <f>IF(E205="",1,IF(E205=0,1,(E205-SUM(L205:AA205)+SUMPRODUCT(L205:AA205,$N$5:$N$20))/E205))</f>
        <v/>
      </c>
      <c r="H205" s="14">
        <f>IF(E205="",0,E205*G205)</f>
        <v/>
      </c>
      <c r="I205" s="15">
        <f>IF(H205="",0,H205*Inputs!$C$42)</f>
        <v/>
      </c>
      <c r="J205" s="14">
        <f>IF(E205="",1,1 + (Inputs!$C$95-1)*IF((1-Inputs!$C$94)=0,0,(1-G205)/(1-Inputs!$C$94)))</f>
        <v/>
      </c>
      <c r="K205" s="12">
        <f>IF(I205=0,"",B205/I205)</f>
        <v/>
      </c>
      <c r="L205" s="15">
        <f>IF(F205="",0,F205)</f>
        <v/>
      </c>
      <c r="M205" s="15">
        <f>IF(A205&lt;=1,0,L204)</f>
        <v/>
      </c>
      <c r="N205" s="15">
        <f>IF(A205&lt;=1,0,M204)</f>
        <v/>
      </c>
      <c r="O205" s="15">
        <f>IF(A205&lt;=1,0,N204)</f>
        <v/>
      </c>
      <c r="P205" s="15">
        <f>IF(A205&lt;=1,0,O204)</f>
        <v/>
      </c>
      <c r="Q205" s="15">
        <f>IF(A205&lt;=1,0,P204)</f>
        <v/>
      </c>
      <c r="R205" s="15">
        <f>IF(A205&lt;=1,0,Q204)</f>
        <v/>
      </c>
      <c r="S205" s="15">
        <f>IF(A205&lt;=1,0,R204)</f>
        <v/>
      </c>
      <c r="T205" s="15">
        <f>IF(A205&lt;=1,0,S204)</f>
        <v/>
      </c>
      <c r="U205" s="15">
        <f>IF(A205&lt;=1,0,T204)</f>
        <v/>
      </c>
      <c r="V205" s="15">
        <f>IF(A205&lt;=1,0,U204)</f>
        <v/>
      </c>
      <c r="W205" s="15">
        <f>IF(A205&lt;=1,0,V204)</f>
        <v/>
      </c>
      <c r="X205" s="15">
        <f>IF(A205&lt;=1,0,W204)</f>
        <v/>
      </c>
      <c r="Y205" s="15">
        <f>IF(A205&lt;=1,0,X204)</f>
        <v/>
      </c>
      <c r="Z205" s="15">
        <f>IF(A205&lt;=1,0,Y204)</f>
        <v/>
      </c>
      <c r="AA205" s="15">
        <f>IF(A205&lt;=1,0,Z204)</f>
        <v/>
      </c>
    </row>
    <row r="206">
      <c r="A206" s="55" t="n">
        <v>200</v>
      </c>
      <c r="B206" s="15">
        <f>IF(A206&gt;Inputs!$C$62,"",INDEX(Trajectory!$G$23:$G$2000,A206))</f>
        <v/>
      </c>
      <c r="C206" s="15">
        <f>IF(B206="","",IF(A206&lt;=Inputs!$C$75,INDEX(Trajectory!$G$23:$G$2000,1),INDEX(Trajectory!$G$23:$G$2000,MAX(1,A206-Inputs!$C$75))))</f>
        <v/>
      </c>
      <c r="D206" s="15">
        <f>IF(C206="","",MAX(Inputs!$C$76,CEILING(C206/(Inputs!$C$42*Inputs!$C$92),1)))</f>
        <v/>
      </c>
      <c r="E206" s="15">
        <f>IF(D206="","",MAX(E205,D206))</f>
        <v/>
      </c>
      <c r="F206" s="15">
        <f>E206-E205</f>
        <v/>
      </c>
      <c r="G206" s="12">
        <f>IF(E206="",1,IF(E206=0,1,(E206-SUM(L206:AA206)+SUMPRODUCT(L206:AA206,$N$5:$N$20))/E206))</f>
        <v/>
      </c>
      <c r="H206" s="14">
        <f>IF(E206="",0,E206*G206)</f>
        <v/>
      </c>
      <c r="I206" s="15">
        <f>IF(H206="",0,H206*Inputs!$C$42)</f>
        <v/>
      </c>
      <c r="J206" s="14">
        <f>IF(E206="",1,1 + (Inputs!$C$95-1)*IF((1-Inputs!$C$94)=0,0,(1-G206)/(1-Inputs!$C$94)))</f>
        <v/>
      </c>
      <c r="K206" s="12">
        <f>IF(I206=0,"",B206/I206)</f>
        <v/>
      </c>
      <c r="L206" s="15">
        <f>IF(F206="",0,F206)</f>
        <v/>
      </c>
      <c r="M206" s="15">
        <f>IF(A206&lt;=1,0,L205)</f>
        <v/>
      </c>
      <c r="N206" s="15">
        <f>IF(A206&lt;=1,0,M205)</f>
        <v/>
      </c>
      <c r="O206" s="15">
        <f>IF(A206&lt;=1,0,N205)</f>
        <v/>
      </c>
      <c r="P206" s="15">
        <f>IF(A206&lt;=1,0,O205)</f>
        <v/>
      </c>
      <c r="Q206" s="15">
        <f>IF(A206&lt;=1,0,P205)</f>
        <v/>
      </c>
      <c r="R206" s="15">
        <f>IF(A206&lt;=1,0,Q205)</f>
        <v/>
      </c>
      <c r="S206" s="15">
        <f>IF(A206&lt;=1,0,R205)</f>
        <v/>
      </c>
      <c r="T206" s="15">
        <f>IF(A206&lt;=1,0,S205)</f>
        <v/>
      </c>
      <c r="U206" s="15">
        <f>IF(A206&lt;=1,0,T205)</f>
        <v/>
      </c>
      <c r="V206" s="15">
        <f>IF(A206&lt;=1,0,U205)</f>
        <v/>
      </c>
      <c r="W206" s="15">
        <f>IF(A206&lt;=1,0,V205)</f>
        <v/>
      </c>
      <c r="X206" s="15">
        <f>IF(A206&lt;=1,0,W205)</f>
        <v/>
      </c>
      <c r="Y206" s="15">
        <f>IF(A206&lt;=1,0,X205)</f>
        <v/>
      </c>
      <c r="Z206" s="15">
        <f>IF(A206&lt;=1,0,Y205)</f>
        <v/>
      </c>
      <c r="AA206" s="15">
        <f>IF(A206&lt;=1,0,Z205)</f>
        <v/>
      </c>
    </row>
    <row r="207">
      <c r="A207" s="55" t="n">
        <v>201</v>
      </c>
      <c r="B207" s="15">
        <f>IF(A207&gt;Inputs!$C$62,"",INDEX(Trajectory!$G$23:$G$2000,A207))</f>
        <v/>
      </c>
      <c r="C207" s="15">
        <f>IF(B207="","",IF(A207&lt;=Inputs!$C$75,INDEX(Trajectory!$G$23:$G$2000,1),INDEX(Trajectory!$G$23:$G$2000,MAX(1,A207-Inputs!$C$75))))</f>
        <v/>
      </c>
      <c r="D207" s="15">
        <f>IF(C207="","",MAX(Inputs!$C$76,CEILING(C207/(Inputs!$C$42*Inputs!$C$92),1)))</f>
        <v/>
      </c>
      <c r="E207" s="15">
        <f>IF(D207="","",MAX(E206,D207))</f>
        <v/>
      </c>
      <c r="F207" s="15">
        <f>E207-E206</f>
        <v/>
      </c>
      <c r="G207" s="12">
        <f>IF(E207="",1,IF(E207=0,1,(E207-SUM(L207:AA207)+SUMPRODUCT(L207:AA207,$N$5:$N$20))/E207))</f>
        <v/>
      </c>
      <c r="H207" s="14">
        <f>IF(E207="",0,E207*G207)</f>
        <v/>
      </c>
      <c r="I207" s="15">
        <f>IF(H207="",0,H207*Inputs!$C$42)</f>
        <v/>
      </c>
      <c r="J207" s="14">
        <f>IF(E207="",1,1 + (Inputs!$C$95-1)*IF((1-Inputs!$C$94)=0,0,(1-G207)/(1-Inputs!$C$94)))</f>
        <v/>
      </c>
      <c r="K207" s="12">
        <f>IF(I207=0,"",B207/I207)</f>
        <v/>
      </c>
      <c r="L207" s="15">
        <f>IF(F207="",0,F207)</f>
        <v/>
      </c>
      <c r="M207" s="15">
        <f>IF(A207&lt;=1,0,L206)</f>
        <v/>
      </c>
      <c r="N207" s="15">
        <f>IF(A207&lt;=1,0,M206)</f>
        <v/>
      </c>
      <c r="O207" s="15">
        <f>IF(A207&lt;=1,0,N206)</f>
        <v/>
      </c>
      <c r="P207" s="15">
        <f>IF(A207&lt;=1,0,O206)</f>
        <v/>
      </c>
      <c r="Q207" s="15">
        <f>IF(A207&lt;=1,0,P206)</f>
        <v/>
      </c>
      <c r="R207" s="15">
        <f>IF(A207&lt;=1,0,Q206)</f>
        <v/>
      </c>
      <c r="S207" s="15">
        <f>IF(A207&lt;=1,0,R206)</f>
        <v/>
      </c>
      <c r="T207" s="15">
        <f>IF(A207&lt;=1,0,S206)</f>
        <v/>
      </c>
      <c r="U207" s="15">
        <f>IF(A207&lt;=1,0,T206)</f>
        <v/>
      </c>
      <c r="V207" s="15">
        <f>IF(A207&lt;=1,0,U206)</f>
        <v/>
      </c>
      <c r="W207" s="15">
        <f>IF(A207&lt;=1,0,V206)</f>
        <v/>
      </c>
      <c r="X207" s="15">
        <f>IF(A207&lt;=1,0,W206)</f>
        <v/>
      </c>
      <c r="Y207" s="15">
        <f>IF(A207&lt;=1,0,X206)</f>
        <v/>
      </c>
      <c r="Z207" s="15">
        <f>IF(A207&lt;=1,0,Y206)</f>
        <v/>
      </c>
      <c r="AA207" s="15">
        <f>IF(A207&lt;=1,0,Z206)</f>
        <v/>
      </c>
    </row>
    <row r="208">
      <c r="A208" s="55" t="n">
        <v>202</v>
      </c>
      <c r="B208" s="15">
        <f>IF(A208&gt;Inputs!$C$62,"",INDEX(Trajectory!$G$23:$G$2000,A208))</f>
        <v/>
      </c>
      <c r="C208" s="15">
        <f>IF(B208="","",IF(A208&lt;=Inputs!$C$75,INDEX(Trajectory!$G$23:$G$2000,1),INDEX(Trajectory!$G$23:$G$2000,MAX(1,A208-Inputs!$C$75))))</f>
        <v/>
      </c>
      <c r="D208" s="15">
        <f>IF(C208="","",MAX(Inputs!$C$76,CEILING(C208/(Inputs!$C$42*Inputs!$C$92),1)))</f>
        <v/>
      </c>
      <c r="E208" s="15">
        <f>IF(D208="","",MAX(E207,D208))</f>
        <v/>
      </c>
      <c r="F208" s="15">
        <f>E208-E207</f>
        <v/>
      </c>
      <c r="G208" s="12">
        <f>IF(E208="",1,IF(E208=0,1,(E208-SUM(L208:AA208)+SUMPRODUCT(L208:AA208,$N$5:$N$20))/E208))</f>
        <v/>
      </c>
      <c r="H208" s="14">
        <f>IF(E208="",0,E208*G208)</f>
        <v/>
      </c>
      <c r="I208" s="15">
        <f>IF(H208="",0,H208*Inputs!$C$42)</f>
        <v/>
      </c>
      <c r="J208" s="14">
        <f>IF(E208="",1,1 + (Inputs!$C$95-1)*IF((1-Inputs!$C$94)=0,0,(1-G208)/(1-Inputs!$C$94)))</f>
        <v/>
      </c>
      <c r="K208" s="12">
        <f>IF(I208=0,"",B208/I208)</f>
        <v/>
      </c>
      <c r="L208" s="15">
        <f>IF(F208="",0,F208)</f>
        <v/>
      </c>
      <c r="M208" s="15">
        <f>IF(A208&lt;=1,0,L207)</f>
        <v/>
      </c>
      <c r="N208" s="15">
        <f>IF(A208&lt;=1,0,M207)</f>
        <v/>
      </c>
      <c r="O208" s="15">
        <f>IF(A208&lt;=1,0,N207)</f>
        <v/>
      </c>
      <c r="P208" s="15">
        <f>IF(A208&lt;=1,0,O207)</f>
        <v/>
      </c>
      <c r="Q208" s="15">
        <f>IF(A208&lt;=1,0,P207)</f>
        <v/>
      </c>
      <c r="R208" s="15">
        <f>IF(A208&lt;=1,0,Q207)</f>
        <v/>
      </c>
      <c r="S208" s="15">
        <f>IF(A208&lt;=1,0,R207)</f>
        <v/>
      </c>
      <c r="T208" s="15">
        <f>IF(A208&lt;=1,0,S207)</f>
        <v/>
      </c>
      <c r="U208" s="15">
        <f>IF(A208&lt;=1,0,T207)</f>
        <v/>
      </c>
      <c r="V208" s="15">
        <f>IF(A208&lt;=1,0,U207)</f>
        <v/>
      </c>
      <c r="W208" s="15">
        <f>IF(A208&lt;=1,0,V207)</f>
        <v/>
      </c>
      <c r="X208" s="15">
        <f>IF(A208&lt;=1,0,W207)</f>
        <v/>
      </c>
      <c r="Y208" s="15">
        <f>IF(A208&lt;=1,0,X207)</f>
        <v/>
      </c>
      <c r="Z208" s="15">
        <f>IF(A208&lt;=1,0,Y207)</f>
        <v/>
      </c>
      <c r="AA208" s="15">
        <f>IF(A208&lt;=1,0,Z207)</f>
        <v/>
      </c>
    </row>
    <row r="209">
      <c r="A209" s="55" t="n">
        <v>203</v>
      </c>
      <c r="B209" s="15">
        <f>IF(A209&gt;Inputs!$C$62,"",INDEX(Trajectory!$G$23:$G$2000,A209))</f>
        <v/>
      </c>
      <c r="C209" s="15">
        <f>IF(B209="","",IF(A209&lt;=Inputs!$C$75,INDEX(Trajectory!$G$23:$G$2000,1),INDEX(Trajectory!$G$23:$G$2000,MAX(1,A209-Inputs!$C$75))))</f>
        <v/>
      </c>
      <c r="D209" s="15">
        <f>IF(C209="","",MAX(Inputs!$C$76,CEILING(C209/(Inputs!$C$42*Inputs!$C$92),1)))</f>
        <v/>
      </c>
      <c r="E209" s="15">
        <f>IF(D209="","",MAX(E208,D209))</f>
        <v/>
      </c>
      <c r="F209" s="15">
        <f>E209-E208</f>
        <v/>
      </c>
      <c r="G209" s="12">
        <f>IF(E209="",1,IF(E209=0,1,(E209-SUM(L209:AA209)+SUMPRODUCT(L209:AA209,$N$5:$N$20))/E209))</f>
        <v/>
      </c>
      <c r="H209" s="14">
        <f>IF(E209="",0,E209*G209)</f>
        <v/>
      </c>
      <c r="I209" s="15">
        <f>IF(H209="",0,H209*Inputs!$C$42)</f>
        <v/>
      </c>
      <c r="J209" s="14">
        <f>IF(E209="",1,1 + (Inputs!$C$95-1)*IF((1-Inputs!$C$94)=0,0,(1-G209)/(1-Inputs!$C$94)))</f>
        <v/>
      </c>
      <c r="K209" s="12">
        <f>IF(I209=0,"",B209/I209)</f>
        <v/>
      </c>
      <c r="L209" s="15">
        <f>IF(F209="",0,F209)</f>
        <v/>
      </c>
      <c r="M209" s="15">
        <f>IF(A209&lt;=1,0,L208)</f>
        <v/>
      </c>
      <c r="N209" s="15">
        <f>IF(A209&lt;=1,0,M208)</f>
        <v/>
      </c>
      <c r="O209" s="15">
        <f>IF(A209&lt;=1,0,N208)</f>
        <v/>
      </c>
      <c r="P209" s="15">
        <f>IF(A209&lt;=1,0,O208)</f>
        <v/>
      </c>
      <c r="Q209" s="15">
        <f>IF(A209&lt;=1,0,P208)</f>
        <v/>
      </c>
      <c r="R209" s="15">
        <f>IF(A209&lt;=1,0,Q208)</f>
        <v/>
      </c>
      <c r="S209" s="15">
        <f>IF(A209&lt;=1,0,R208)</f>
        <v/>
      </c>
      <c r="T209" s="15">
        <f>IF(A209&lt;=1,0,S208)</f>
        <v/>
      </c>
      <c r="U209" s="15">
        <f>IF(A209&lt;=1,0,T208)</f>
        <v/>
      </c>
      <c r="V209" s="15">
        <f>IF(A209&lt;=1,0,U208)</f>
        <v/>
      </c>
      <c r="W209" s="15">
        <f>IF(A209&lt;=1,0,V208)</f>
        <v/>
      </c>
      <c r="X209" s="15">
        <f>IF(A209&lt;=1,0,W208)</f>
        <v/>
      </c>
      <c r="Y209" s="15">
        <f>IF(A209&lt;=1,0,X208)</f>
        <v/>
      </c>
      <c r="Z209" s="15">
        <f>IF(A209&lt;=1,0,Y208)</f>
        <v/>
      </c>
      <c r="AA209" s="15">
        <f>IF(A209&lt;=1,0,Z208)</f>
        <v/>
      </c>
    </row>
    <row r="210">
      <c r="A210" s="55" t="n">
        <v>204</v>
      </c>
      <c r="B210" s="15">
        <f>IF(A210&gt;Inputs!$C$62,"",INDEX(Trajectory!$G$23:$G$2000,A210))</f>
        <v/>
      </c>
      <c r="C210" s="15">
        <f>IF(B210="","",IF(A210&lt;=Inputs!$C$75,INDEX(Trajectory!$G$23:$G$2000,1),INDEX(Trajectory!$G$23:$G$2000,MAX(1,A210-Inputs!$C$75))))</f>
        <v/>
      </c>
      <c r="D210" s="15">
        <f>IF(C210="","",MAX(Inputs!$C$76,CEILING(C210/(Inputs!$C$42*Inputs!$C$92),1)))</f>
        <v/>
      </c>
      <c r="E210" s="15">
        <f>IF(D210="","",MAX(E209,D210))</f>
        <v/>
      </c>
      <c r="F210" s="15">
        <f>E210-E209</f>
        <v/>
      </c>
      <c r="G210" s="12">
        <f>IF(E210="",1,IF(E210=0,1,(E210-SUM(L210:AA210)+SUMPRODUCT(L210:AA210,$N$5:$N$20))/E210))</f>
        <v/>
      </c>
      <c r="H210" s="14">
        <f>IF(E210="",0,E210*G210)</f>
        <v/>
      </c>
      <c r="I210" s="15">
        <f>IF(H210="",0,H210*Inputs!$C$42)</f>
        <v/>
      </c>
      <c r="J210" s="14">
        <f>IF(E210="",1,1 + (Inputs!$C$95-1)*IF((1-Inputs!$C$94)=0,0,(1-G210)/(1-Inputs!$C$94)))</f>
        <v/>
      </c>
      <c r="K210" s="12">
        <f>IF(I210=0,"",B210/I210)</f>
        <v/>
      </c>
      <c r="L210" s="15">
        <f>IF(F210="",0,F210)</f>
        <v/>
      </c>
      <c r="M210" s="15">
        <f>IF(A210&lt;=1,0,L209)</f>
        <v/>
      </c>
      <c r="N210" s="15">
        <f>IF(A210&lt;=1,0,M209)</f>
        <v/>
      </c>
      <c r="O210" s="15">
        <f>IF(A210&lt;=1,0,N209)</f>
        <v/>
      </c>
      <c r="P210" s="15">
        <f>IF(A210&lt;=1,0,O209)</f>
        <v/>
      </c>
      <c r="Q210" s="15">
        <f>IF(A210&lt;=1,0,P209)</f>
        <v/>
      </c>
      <c r="R210" s="15">
        <f>IF(A210&lt;=1,0,Q209)</f>
        <v/>
      </c>
      <c r="S210" s="15">
        <f>IF(A210&lt;=1,0,R209)</f>
        <v/>
      </c>
      <c r="T210" s="15">
        <f>IF(A210&lt;=1,0,S209)</f>
        <v/>
      </c>
      <c r="U210" s="15">
        <f>IF(A210&lt;=1,0,T209)</f>
        <v/>
      </c>
      <c r="V210" s="15">
        <f>IF(A210&lt;=1,0,U209)</f>
        <v/>
      </c>
      <c r="W210" s="15">
        <f>IF(A210&lt;=1,0,V209)</f>
        <v/>
      </c>
      <c r="X210" s="15">
        <f>IF(A210&lt;=1,0,W209)</f>
        <v/>
      </c>
      <c r="Y210" s="15">
        <f>IF(A210&lt;=1,0,X209)</f>
        <v/>
      </c>
      <c r="Z210" s="15">
        <f>IF(A210&lt;=1,0,Y209)</f>
        <v/>
      </c>
      <c r="AA210" s="15">
        <f>IF(A210&lt;=1,0,Z209)</f>
        <v/>
      </c>
    </row>
    <row r="211">
      <c r="A211" s="55" t="n">
        <v>205</v>
      </c>
      <c r="B211" s="15">
        <f>IF(A211&gt;Inputs!$C$62,"",INDEX(Trajectory!$G$23:$G$2000,A211))</f>
        <v/>
      </c>
      <c r="C211" s="15">
        <f>IF(B211="","",IF(A211&lt;=Inputs!$C$75,INDEX(Trajectory!$G$23:$G$2000,1),INDEX(Trajectory!$G$23:$G$2000,MAX(1,A211-Inputs!$C$75))))</f>
        <v/>
      </c>
      <c r="D211" s="15">
        <f>IF(C211="","",MAX(Inputs!$C$76,CEILING(C211/(Inputs!$C$42*Inputs!$C$92),1)))</f>
        <v/>
      </c>
      <c r="E211" s="15">
        <f>IF(D211="","",MAX(E210,D211))</f>
        <v/>
      </c>
      <c r="F211" s="15">
        <f>E211-E210</f>
        <v/>
      </c>
      <c r="G211" s="12">
        <f>IF(E211="",1,IF(E211=0,1,(E211-SUM(L211:AA211)+SUMPRODUCT(L211:AA211,$N$5:$N$20))/E211))</f>
        <v/>
      </c>
      <c r="H211" s="14">
        <f>IF(E211="",0,E211*G211)</f>
        <v/>
      </c>
      <c r="I211" s="15">
        <f>IF(H211="",0,H211*Inputs!$C$42)</f>
        <v/>
      </c>
      <c r="J211" s="14">
        <f>IF(E211="",1,1 + (Inputs!$C$95-1)*IF((1-Inputs!$C$94)=0,0,(1-G211)/(1-Inputs!$C$94)))</f>
        <v/>
      </c>
      <c r="K211" s="12">
        <f>IF(I211=0,"",B211/I211)</f>
        <v/>
      </c>
      <c r="L211" s="15">
        <f>IF(F211="",0,F211)</f>
        <v/>
      </c>
      <c r="M211" s="15">
        <f>IF(A211&lt;=1,0,L210)</f>
        <v/>
      </c>
      <c r="N211" s="15">
        <f>IF(A211&lt;=1,0,M210)</f>
        <v/>
      </c>
      <c r="O211" s="15">
        <f>IF(A211&lt;=1,0,N210)</f>
        <v/>
      </c>
      <c r="P211" s="15">
        <f>IF(A211&lt;=1,0,O210)</f>
        <v/>
      </c>
      <c r="Q211" s="15">
        <f>IF(A211&lt;=1,0,P210)</f>
        <v/>
      </c>
      <c r="R211" s="15">
        <f>IF(A211&lt;=1,0,Q210)</f>
        <v/>
      </c>
      <c r="S211" s="15">
        <f>IF(A211&lt;=1,0,R210)</f>
        <v/>
      </c>
      <c r="T211" s="15">
        <f>IF(A211&lt;=1,0,S210)</f>
        <v/>
      </c>
      <c r="U211" s="15">
        <f>IF(A211&lt;=1,0,T210)</f>
        <v/>
      </c>
      <c r="V211" s="15">
        <f>IF(A211&lt;=1,0,U210)</f>
        <v/>
      </c>
      <c r="W211" s="15">
        <f>IF(A211&lt;=1,0,V210)</f>
        <v/>
      </c>
      <c r="X211" s="15">
        <f>IF(A211&lt;=1,0,W210)</f>
        <v/>
      </c>
      <c r="Y211" s="15">
        <f>IF(A211&lt;=1,0,X210)</f>
        <v/>
      </c>
      <c r="Z211" s="15">
        <f>IF(A211&lt;=1,0,Y210)</f>
        <v/>
      </c>
      <c r="AA211" s="15">
        <f>IF(A211&lt;=1,0,Z210)</f>
        <v/>
      </c>
    </row>
    <row r="212">
      <c r="A212" s="55" t="n">
        <v>206</v>
      </c>
      <c r="B212" s="15">
        <f>IF(A212&gt;Inputs!$C$62,"",INDEX(Trajectory!$G$23:$G$2000,A212))</f>
        <v/>
      </c>
      <c r="C212" s="15">
        <f>IF(B212="","",IF(A212&lt;=Inputs!$C$75,INDEX(Trajectory!$G$23:$G$2000,1),INDEX(Trajectory!$G$23:$G$2000,MAX(1,A212-Inputs!$C$75))))</f>
        <v/>
      </c>
      <c r="D212" s="15">
        <f>IF(C212="","",MAX(Inputs!$C$76,CEILING(C212/(Inputs!$C$42*Inputs!$C$92),1)))</f>
        <v/>
      </c>
      <c r="E212" s="15">
        <f>IF(D212="","",MAX(E211,D212))</f>
        <v/>
      </c>
      <c r="F212" s="15">
        <f>E212-E211</f>
        <v/>
      </c>
      <c r="G212" s="12">
        <f>IF(E212="",1,IF(E212=0,1,(E212-SUM(L212:AA212)+SUMPRODUCT(L212:AA212,$N$5:$N$20))/E212))</f>
        <v/>
      </c>
      <c r="H212" s="14">
        <f>IF(E212="",0,E212*G212)</f>
        <v/>
      </c>
      <c r="I212" s="15">
        <f>IF(H212="",0,H212*Inputs!$C$42)</f>
        <v/>
      </c>
      <c r="J212" s="14">
        <f>IF(E212="",1,1 + (Inputs!$C$95-1)*IF((1-Inputs!$C$94)=0,0,(1-G212)/(1-Inputs!$C$94)))</f>
        <v/>
      </c>
      <c r="K212" s="12">
        <f>IF(I212=0,"",B212/I212)</f>
        <v/>
      </c>
      <c r="L212" s="15">
        <f>IF(F212="",0,F212)</f>
        <v/>
      </c>
      <c r="M212" s="15">
        <f>IF(A212&lt;=1,0,L211)</f>
        <v/>
      </c>
      <c r="N212" s="15">
        <f>IF(A212&lt;=1,0,M211)</f>
        <v/>
      </c>
      <c r="O212" s="15">
        <f>IF(A212&lt;=1,0,N211)</f>
        <v/>
      </c>
      <c r="P212" s="15">
        <f>IF(A212&lt;=1,0,O211)</f>
        <v/>
      </c>
      <c r="Q212" s="15">
        <f>IF(A212&lt;=1,0,P211)</f>
        <v/>
      </c>
      <c r="R212" s="15">
        <f>IF(A212&lt;=1,0,Q211)</f>
        <v/>
      </c>
      <c r="S212" s="15">
        <f>IF(A212&lt;=1,0,R211)</f>
        <v/>
      </c>
      <c r="T212" s="15">
        <f>IF(A212&lt;=1,0,S211)</f>
        <v/>
      </c>
      <c r="U212" s="15">
        <f>IF(A212&lt;=1,0,T211)</f>
        <v/>
      </c>
      <c r="V212" s="15">
        <f>IF(A212&lt;=1,0,U211)</f>
        <v/>
      </c>
      <c r="W212" s="15">
        <f>IF(A212&lt;=1,0,V211)</f>
        <v/>
      </c>
      <c r="X212" s="15">
        <f>IF(A212&lt;=1,0,W211)</f>
        <v/>
      </c>
      <c r="Y212" s="15">
        <f>IF(A212&lt;=1,0,X211)</f>
        <v/>
      </c>
      <c r="Z212" s="15">
        <f>IF(A212&lt;=1,0,Y211)</f>
        <v/>
      </c>
      <c r="AA212" s="15">
        <f>IF(A212&lt;=1,0,Z211)</f>
        <v/>
      </c>
    </row>
    <row r="213">
      <c r="A213" s="55" t="n">
        <v>207</v>
      </c>
      <c r="B213" s="15">
        <f>IF(A213&gt;Inputs!$C$62,"",INDEX(Trajectory!$G$23:$G$2000,A213))</f>
        <v/>
      </c>
      <c r="C213" s="15">
        <f>IF(B213="","",IF(A213&lt;=Inputs!$C$75,INDEX(Trajectory!$G$23:$G$2000,1),INDEX(Trajectory!$G$23:$G$2000,MAX(1,A213-Inputs!$C$75))))</f>
        <v/>
      </c>
      <c r="D213" s="15">
        <f>IF(C213="","",MAX(Inputs!$C$76,CEILING(C213/(Inputs!$C$42*Inputs!$C$92),1)))</f>
        <v/>
      </c>
      <c r="E213" s="15">
        <f>IF(D213="","",MAX(E212,D213))</f>
        <v/>
      </c>
      <c r="F213" s="15">
        <f>E213-E212</f>
        <v/>
      </c>
      <c r="G213" s="12">
        <f>IF(E213="",1,IF(E213=0,1,(E213-SUM(L213:AA213)+SUMPRODUCT(L213:AA213,$N$5:$N$20))/E213))</f>
        <v/>
      </c>
      <c r="H213" s="14">
        <f>IF(E213="",0,E213*G213)</f>
        <v/>
      </c>
      <c r="I213" s="15">
        <f>IF(H213="",0,H213*Inputs!$C$42)</f>
        <v/>
      </c>
      <c r="J213" s="14">
        <f>IF(E213="",1,1 + (Inputs!$C$95-1)*IF((1-Inputs!$C$94)=0,0,(1-G213)/(1-Inputs!$C$94)))</f>
        <v/>
      </c>
      <c r="K213" s="12">
        <f>IF(I213=0,"",B213/I213)</f>
        <v/>
      </c>
      <c r="L213" s="15">
        <f>IF(F213="",0,F213)</f>
        <v/>
      </c>
      <c r="M213" s="15">
        <f>IF(A213&lt;=1,0,L212)</f>
        <v/>
      </c>
      <c r="N213" s="15">
        <f>IF(A213&lt;=1,0,M212)</f>
        <v/>
      </c>
      <c r="O213" s="15">
        <f>IF(A213&lt;=1,0,N212)</f>
        <v/>
      </c>
      <c r="P213" s="15">
        <f>IF(A213&lt;=1,0,O212)</f>
        <v/>
      </c>
      <c r="Q213" s="15">
        <f>IF(A213&lt;=1,0,P212)</f>
        <v/>
      </c>
      <c r="R213" s="15">
        <f>IF(A213&lt;=1,0,Q212)</f>
        <v/>
      </c>
      <c r="S213" s="15">
        <f>IF(A213&lt;=1,0,R212)</f>
        <v/>
      </c>
      <c r="T213" s="15">
        <f>IF(A213&lt;=1,0,S212)</f>
        <v/>
      </c>
      <c r="U213" s="15">
        <f>IF(A213&lt;=1,0,T212)</f>
        <v/>
      </c>
      <c r="V213" s="15">
        <f>IF(A213&lt;=1,0,U212)</f>
        <v/>
      </c>
      <c r="W213" s="15">
        <f>IF(A213&lt;=1,0,V212)</f>
        <v/>
      </c>
      <c r="X213" s="15">
        <f>IF(A213&lt;=1,0,W212)</f>
        <v/>
      </c>
      <c r="Y213" s="15">
        <f>IF(A213&lt;=1,0,X212)</f>
        <v/>
      </c>
      <c r="Z213" s="15">
        <f>IF(A213&lt;=1,0,Y212)</f>
        <v/>
      </c>
      <c r="AA213" s="15">
        <f>IF(A213&lt;=1,0,Z212)</f>
        <v/>
      </c>
    </row>
    <row r="214">
      <c r="A214" s="55" t="n">
        <v>208</v>
      </c>
      <c r="B214" s="15">
        <f>IF(A214&gt;Inputs!$C$62,"",INDEX(Trajectory!$G$23:$G$2000,A214))</f>
        <v/>
      </c>
      <c r="C214" s="15">
        <f>IF(B214="","",IF(A214&lt;=Inputs!$C$75,INDEX(Trajectory!$G$23:$G$2000,1),INDEX(Trajectory!$G$23:$G$2000,MAX(1,A214-Inputs!$C$75))))</f>
        <v/>
      </c>
      <c r="D214" s="15">
        <f>IF(C214="","",MAX(Inputs!$C$76,CEILING(C214/(Inputs!$C$42*Inputs!$C$92),1)))</f>
        <v/>
      </c>
      <c r="E214" s="15">
        <f>IF(D214="","",MAX(E213,D214))</f>
        <v/>
      </c>
      <c r="F214" s="15">
        <f>E214-E213</f>
        <v/>
      </c>
      <c r="G214" s="12">
        <f>IF(E214="",1,IF(E214=0,1,(E214-SUM(L214:AA214)+SUMPRODUCT(L214:AA214,$N$5:$N$20))/E214))</f>
        <v/>
      </c>
      <c r="H214" s="14">
        <f>IF(E214="",0,E214*G214)</f>
        <v/>
      </c>
      <c r="I214" s="15">
        <f>IF(H214="",0,H214*Inputs!$C$42)</f>
        <v/>
      </c>
      <c r="J214" s="14">
        <f>IF(E214="",1,1 + (Inputs!$C$95-1)*IF((1-Inputs!$C$94)=0,0,(1-G214)/(1-Inputs!$C$94)))</f>
        <v/>
      </c>
      <c r="K214" s="12">
        <f>IF(I214=0,"",B214/I214)</f>
        <v/>
      </c>
      <c r="L214" s="15">
        <f>IF(F214="",0,F214)</f>
        <v/>
      </c>
      <c r="M214" s="15">
        <f>IF(A214&lt;=1,0,L213)</f>
        <v/>
      </c>
      <c r="N214" s="15">
        <f>IF(A214&lt;=1,0,M213)</f>
        <v/>
      </c>
      <c r="O214" s="15">
        <f>IF(A214&lt;=1,0,N213)</f>
        <v/>
      </c>
      <c r="P214" s="15">
        <f>IF(A214&lt;=1,0,O213)</f>
        <v/>
      </c>
      <c r="Q214" s="15">
        <f>IF(A214&lt;=1,0,P213)</f>
        <v/>
      </c>
      <c r="R214" s="15">
        <f>IF(A214&lt;=1,0,Q213)</f>
        <v/>
      </c>
      <c r="S214" s="15">
        <f>IF(A214&lt;=1,0,R213)</f>
        <v/>
      </c>
      <c r="T214" s="15">
        <f>IF(A214&lt;=1,0,S213)</f>
        <v/>
      </c>
      <c r="U214" s="15">
        <f>IF(A214&lt;=1,0,T213)</f>
        <v/>
      </c>
      <c r="V214" s="15">
        <f>IF(A214&lt;=1,0,U213)</f>
        <v/>
      </c>
      <c r="W214" s="15">
        <f>IF(A214&lt;=1,0,V213)</f>
        <v/>
      </c>
      <c r="X214" s="15">
        <f>IF(A214&lt;=1,0,W213)</f>
        <v/>
      </c>
      <c r="Y214" s="15">
        <f>IF(A214&lt;=1,0,X213)</f>
        <v/>
      </c>
      <c r="Z214" s="15">
        <f>IF(A214&lt;=1,0,Y213)</f>
        <v/>
      </c>
      <c r="AA214" s="15">
        <f>IF(A214&lt;=1,0,Z213)</f>
        <v/>
      </c>
    </row>
    <row r="215">
      <c r="A215" s="55" t="n">
        <v>209</v>
      </c>
      <c r="B215" s="15">
        <f>IF(A215&gt;Inputs!$C$62,"",INDEX(Trajectory!$G$23:$G$2000,A215))</f>
        <v/>
      </c>
      <c r="C215" s="15">
        <f>IF(B215="","",IF(A215&lt;=Inputs!$C$75,INDEX(Trajectory!$G$23:$G$2000,1),INDEX(Trajectory!$G$23:$G$2000,MAX(1,A215-Inputs!$C$75))))</f>
        <v/>
      </c>
      <c r="D215" s="15">
        <f>IF(C215="","",MAX(Inputs!$C$76,CEILING(C215/(Inputs!$C$42*Inputs!$C$92),1)))</f>
        <v/>
      </c>
      <c r="E215" s="15">
        <f>IF(D215="","",MAX(E214,D215))</f>
        <v/>
      </c>
      <c r="F215" s="15">
        <f>E215-E214</f>
        <v/>
      </c>
      <c r="G215" s="12">
        <f>IF(E215="",1,IF(E215=0,1,(E215-SUM(L215:AA215)+SUMPRODUCT(L215:AA215,$N$5:$N$20))/E215))</f>
        <v/>
      </c>
      <c r="H215" s="14">
        <f>IF(E215="",0,E215*G215)</f>
        <v/>
      </c>
      <c r="I215" s="15">
        <f>IF(H215="",0,H215*Inputs!$C$42)</f>
        <v/>
      </c>
      <c r="J215" s="14">
        <f>IF(E215="",1,1 + (Inputs!$C$95-1)*IF((1-Inputs!$C$94)=0,0,(1-G215)/(1-Inputs!$C$94)))</f>
        <v/>
      </c>
      <c r="K215" s="12">
        <f>IF(I215=0,"",B215/I215)</f>
        <v/>
      </c>
      <c r="L215" s="15">
        <f>IF(F215="",0,F215)</f>
        <v/>
      </c>
      <c r="M215" s="15">
        <f>IF(A215&lt;=1,0,L214)</f>
        <v/>
      </c>
      <c r="N215" s="15">
        <f>IF(A215&lt;=1,0,M214)</f>
        <v/>
      </c>
      <c r="O215" s="15">
        <f>IF(A215&lt;=1,0,N214)</f>
        <v/>
      </c>
      <c r="P215" s="15">
        <f>IF(A215&lt;=1,0,O214)</f>
        <v/>
      </c>
      <c r="Q215" s="15">
        <f>IF(A215&lt;=1,0,P214)</f>
        <v/>
      </c>
      <c r="R215" s="15">
        <f>IF(A215&lt;=1,0,Q214)</f>
        <v/>
      </c>
      <c r="S215" s="15">
        <f>IF(A215&lt;=1,0,R214)</f>
        <v/>
      </c>
      <c r="T215" s="15">
        <f>IF(A215&lt;=1,0,S214)</f>
        <v/>
      </c>
      <c r="U215" s="15">
        <f>IF(A215&lt;=1,0,T214)</f>
        <v/>
      </c>
      <c r="V215" s="15">
        <f>IF(A215&lt;=1,0,U214)</f>
        <v/>
      </c>
      <c r="W215" s="15">
        <f>IF(A215&lt;=1,0,V214)</f>
        <v/>
      </c>
      <c r="X215" s="15">
        <f>IF(A215&lt;=1,0,W214)</f>
        <v/>
      </c>
      <c r="Y215" s="15">
        <f>IF(A215&lt;=1,0,X214)</f>
        <v/>
      </c>
      <c r="Z215" s="15">
        <f>IF(A215&lt;=1,0,Y214)</f>
        <v/>
      </c>
      <c r="AA215" s="15">
        <f>IF(A215&lt;=1,0,Z214)</f>
        <v/>
      </c>
    </row>
    <row r="216">
      <c r="A216" s="55" t="n">
        <v>210</v>
      </c>
      <c r="B216" s="15">
        <f>IF(A216&gt;Inputs!$C$62,"",INDEX(Trajectory!$G$23:$G$2000,A216))</f>
        <v/>
      </c>
      <c r="C216" s="15">
        <f>IF(B216="","",IF(A216&lt;=Inputs!$C$75,INDEX(Trajectory!$G$23:$G$2000,1),INDEX(Trajectory!$G$23:$G$2000,MAX(1,A216-Inputs!$C$75))))</f>
        <v/>
      </c>
      <c r="D216" s="15">
        <f>IF(C216="","",MAX(Inputs!$C$76,CEILING(C216/(Inputs!$C$42*Inputs!$C$92),1)))</f>
        <v/>
      </c>
      <c r="E216" s="15">
        <f>IF(D216="","",MAX(E215,D216))</f>
        <v/>
      </c>
      <c r="F216" s="15">
        <f>E216-E215</f>
        <v/>
      </c>
      <c r="G216" s="12">
        <f>IF(E216="",1,IF(E216=0,1,(E216-SUM(L216:AA216)+SUMPRODUCT(L216:AA216,$N$5:$N$20))/E216))</f>
        <v/>
      </c>
      <c r="H216" s="14">
        <f>IF(E216="",0,E216*G216)</f>
        <v/>
      </c>
      <c r="I216" s="15">
        <f>IF(H216="",0,H216*Inputs!$C$42)</f>
        <v/>
      </c>
      <c r="J216" s="14">
        <f>IF(E216="",1,1 + (Inputs!$C$95-1)*IF((1-Inputs!$C$94)=0,0,(1-G216)/(1-Inputs!$C$94)))</f>
        <v/>
      </c>
      <c r="K216" s="12">
        <f>IF(I216=0,"",B216/I216)</f>
        <v/>
      </c>
      <c r="L216" s="15">
        <f>IF(F216="",0,F216)</f>
        <v/>
      </c>
      <c r="M216" s="15">
        <f>IF(A216&lt;=1,0,L215)</f>
        <v/>
      </c>
      <c r="N216" s="15">
        <f>IF(A216&lt;=1,0,M215)</f>
        <v/>
      </c>
      <c r="O216" s="15">
        <f>IF(A216&lt;=1,0,N215)</f>
        <v/>
      </c>
      <c r="P216" s="15">
        <f>IF(A216&lt;=1,0,O215)</f>
        <v/>
      </c>
      <c r="Q216" s="15">
        <f>IF(A216&lt;=1,0,P215)</f>
        <v/>
      </c>
      <c r="R216" s="15">
        <f>IF(A216&lt;=1,0,Q215)</f>
        <v/>
      </c>
      <c r="S216" s="15">
        <f>IF(A216&lt;=1,0,R215)</f>
        <v/>
      </c>
      <c r="T216" s="15">
        <f>IF(A216&lt;=1,0,S215)</f>
        <v/>
      </c>
      <c r="U216" s="15">
        <f>IF(A216&lt;=1,0,T215)</f>
        <v/>
      </c>
      <c r="V216" s="15">
        <f>IF(A216&lt;=1,0,U215)</f>
        <v/>
      </c>
      <c r="W216" s="15">
        <f>IF(A216&lt;=1,0,V215)</f>
        <v/>
      </c>
      <c r="X216" s="15">
        <f>IF(A216&lt;=1,0,W215)</f>
        <v/>
      </c>
      <c r="Y216" s="15">
        <f>IF(A216&lt;=1,0,X215)</f>
        <v/>
      </c>
      <c r="Z216" s="15">
        <f>IF(A216&lt;=1,0,Y215)</f>
        <v/>
      </c>
      <c r="AA216" s="15">
        <f>IF(A216&lt;=1,0,Z215)</f>
        <v/>
      </c>
    </row>
    <row r="217">
      <c r="A217" s="55" t="n">
        <v>211</v>
      </c>
      <c r="B217" s="15">
        <f>IF(A217&gt;Inputs!$C$62,"",INDEX(Trajectory!$G$23:$G$2000,A217))</f>
        <v/>
      </c>
      <c r="C217" s="15">
        <f>IF(B217="","",IF(A217&lt;=Inputs!$C$75,INDEX(Trajectory!$G$23:$G$2000,1),INDEX(Trajectory!$G$23:$G$2000,MAX(1,A217-Inputs!$C$75))))</f>
        <v/>
      </c>
      <c r="D217" s="15">
        <f>IF(C217="","",MAX(Inputs!$C$76,CEILING(C217/(Inputs!$C$42*Inputs!$C$92),1)))</f>
        <v/>
      </c>
      <c r="E217" s="15">
        <f>IF(D217="","",MAX(E216,D217))</f>
        <v/>
      </c>
      <c r="F217" s="15">
        <f>E217-E216</f>
        <v/>
      </c>
      <c r="G217" s="12">
        <f>IF(E217="",1,IF(E217=0,1,(E217-SUM(L217:AA217)+SUMPRODUCT(L217:AA217,$N$5:$N$20))/E217))</f>
        <v/>
      </c>
      <c r="H217" s="14">
        <f>IF(E217="",0,E217*G217)</f>
        <v/>
      </c>
      <c r="I217" s="15">
        <f>IF(H217="",0,H217*Inputs!$C$42)</f>
        <v/>
      </c>
      <c r="J217" s="14">
        <f>IF(E217="",1,1 + (Inputs!$C$95-1)*IF((1-Inputs!$C$94)=0,0,(1-G217)/(1-Inputs!$C$94)))</f>
        <v/>
      </c>
      <c r="K217" s="12">
        <f>IF(I217=0,"",B217/I217)</f>
        <v/>
      </c>
      <c r="L217" s="15">
        <f>IF(F217="",0,F217)</f>
        <v/>
      </c>
      <c r="M217" s="15">
        <f>IF(A217&lt;=1,0,L216)</f>
        <v/>
      </c>
      <c r="N217" s="15">
        <f>IF(A217&lt;=1,0,M216)</f>
        <v/>
      </c>
      <c r="O217" s="15">
        <f>IF(A217&lt;=1,0,N216)</f>
        <v/>
      </c>
      <c r="P217" s="15">
        <f>IF(A217&lt;=1,0,O216)</f>
        <v/>
      </c>
      <c r="Q217" s="15">
        <f>IF(A217&lt;=1,0,P216)</f>
        <v/>
      </c>
      <c r="R217" s="15">
        <f>IF(A217&lt;=1,0,Q216)</f>
        <v/>
      </c>
      <c r="S217" s="15">
        <f>IF(A217&lt;=1,0,R216)</f>
        <v/>
      </c>
      <c r="T217" s="15">
        <f>IF(A217&lt;=1,0,S216)</f>
        <v/>
      </c>
      <c r="U217" s="15">
        <f>IF(A217&lt;=1,0,T216)</f>
        <v/>
      </c>
      <c r="V217" s="15">
        <f>IF(A217&lt;=1,0,U216)</f>
        <v/>
      </c>
      <c r="W217" s="15">
        <f>IF(A217&lt;=1,0,V216)</f>
        <v/>
      </c>
      <c r="X217" s="15">
        <f>IF(A217&lt;=1,0,W216)</f>
        <v/>
      </c>
      <c r="Y217" s="15">
        <f>IF(A217&lt;=1,0,X216)</f>
        <v/>
      </c>
      <c r="Z217" s="15">
        <f>IF(A217&lt;=1,0,Y216)</f>
        <v/>
      </c>
      <c r="AA217" s="15">
        <f>IF(A217&lt;=1,0,Z216)</f>
        <v/>
      </c>
    </row>
    <row r="218">
      <c r="A218" s="55" t="n">
        <v>212</v>
      </c>
      <c r="B218" s="15">
        <f>IF(A218&gt;Inputs!$C$62,"",INDEX(Trajectory!$G$23:$G$2000,A218))</f>
        <v/>
      </c>
      <c r="C218" s="15">
        <f>IF(B218="","",IF(A218&lt;=Inputs!$C$75,INDEX(Trajectory!$G$23:$G$2000,1),INDEX(Trajectory!$G$23:$G$2000,MAX(1,A218-Inputs!$C$75))))</f>
        <v/>
      </c>
      <c r="D218" s="15">
        <f>IF(C218="","",MAX(Inputs!$C$76,CEILING(C218/(Inputs!$C$42*Inputs!$C$92),1)))</f>
        <v/>
      </c>
      <c r="E218" s="15">
        <f>IF(D218="","",MAX(E217,D218))</f>
        <v/>
      </c>
      <c r="F218" s="15">
        <f>E218-E217</f>
        <v/>
      </c>
      <c r="G218" s="12">
        <f>IF(E218="",1,IF(E218=0,1,(E218-SUM(L218:AA218)+SUMPRODUCT(L218:AA218,$N$5:$N$20))/E218))</f>
        <v/>
      </c>
      <c r="H218" s="14">
        <f>IF(E218="",0,E218*G218)</f>
        <v/>
      </c>
      <c r="I218" s="15">
        <f>IF(H218="",0,H218*Inputs!$C$42)</f>
        <v/>
      </c>
      <c r="J218" s="14">
        <f>IF(E218="",1,1 + (Inputs!$C$95-1)*IF((1-Inputs!$C$94)=0,0,(1-G218)/(1-Inputs!$C$94)))</f>
        <v/>
      </c>
      <c r="K218" s="12">
        <f>IF(I218=0,"",B218/I218)</f>
        <v/>
      </c>
      <c r="L218" s="15">
        <f>IF(F218="",0,F218)</f>
        <v/>
      </c>
      <c r="M218" s="15">
        <f>IF(A218&lt;=1,0,L217)</f>
        <v/>
      </c>
      <c r="N218" s="15">
        <f>IF(A218&lt;=1,0,M217)</f>
        <v/>
      </c>
      <c r="O218" s="15">
        <f>IF(A218&lt;=1,0,N217)</f>
        <v/>
      </c>
      <c r="P218" s="15">
        <f>IF(A218&lt;=1,0,O217)</f>
        <v/>
      </c>
      <c r="Q218" s="15">
        <f>IF(A218&lt;=1,0,P217)</f>
        <v/>
      </c>
      <c r="R218" s="15">
        <f>IF(A218&lt;=1,0,Q217)</f>
        <v/>
      </c>
      <c r="S218" s="15">
        <f>IF(A218&lt;=1,0,R217)</f>
        <v/>
      </c>
      <c r="T218" s="15">
        <f>IF(A218&lt;=1,0,S217)</f>
        <v/>
      </c>
      <c r="U218" s="15">
        <f>IF(A218&lt;=1,0,T217)</f>
        <v/>
      </c>
      <c r="V218" s="15">
        <f>IF(A218&lt;=1,0,U217)</f>
        <v/>
      </c>
      <c r="W218" s="15">
        <f>IF(A218&lt;=1,0,V217)</f>
        <v/>
      </c>
      <c r="X218" s="15">
        <f>IF(A218&lt;=1,0,W217)</f>
        <v/>
      </c>
      <c r="Y218" s="15">
        <f>IF(A218&lt;=1,0,X217)</f>
        <v/>
      </c>
      <c r="Z218" s="15">
        <f>IF(A218&lt;=1,0,Y217)</f>
        <v/>
      </c>
      <c r="AA218" s="15">
        <f>IF(A218&lt;=1,0,Z217)</f>
        <v/>
      </c>
    </row>
    <row r="219">
      <c r="A219" s="55" t="n">
        <v>213</v>
      </c>
      <c r="B219" s="15">
        <f>IF(A219&gt;Inputs!$C$62,"",INDEX(Trajectory!$G$23:$G$2000,A219))</f>
        <v/>
      </c>
      <c r="C219" s="15">
        <f>IF(B219="","",IF(A219&lt;=Inputs!$C$75,INDEX(Trajectory!$G$23:$G$2000,1),INDEX(Trajectory!$G$23:$G$2000,MAX(1,A219-Inputs!$C$75))))</f>
        <v/>
      </c>
      <c r="D219" s="15">
        <f>IF(C219="","",MAX(Inputs!$C$76,CEILING(C219/(Inputs!$C$42*Inputs!$C$92),1)))</f>
        <v/>
      </c>
      <c r="E219" s="15">
        <f>IF(D219="","",MAX(E218,D219))</f>
        <v/>
      </c>
      <c r="F219" s="15">
        <f>E219-E218</f>
        <v/>
      </c>
      <c r="G219" s="12">
        <f>IF(E219="",1,IF(E219=0,1,(E219-SUM(L219:AA219)+SUMPRODUCT(L219:AA219,$N$5:$N$20))/E219))</f>
        <v/>
      </c>
      <c r="H219" s="14">
        <f>IF(E219="",0,E219*G219)</f>
        <v/>
      </c>
      <c r="I219" s="15">
        <f>IF(H219="",0,H219*Inputs!$C$42)</f>
        <v/>
      </c>
      <c r="J219" s="14">
        <f>IF(E219="",1,1 + (Inputs!$C$95-1)*IF((1-Inputs!$C$94)=0,0,(1-G219)/(1-Inputs!$C$94)))</f>
        <v/>
      </c>
      <c r="K219" s="12">
        <f>IF(I219=0,"",B219/I219)</f>
        <v/>
      </c>
      <c r="L219" s="15">
        <f>IF(F219="",0,F219)</f>
        <v/>
      </c>
      <c r="M219" s="15">
        <f>IF(A219&lt;=1,0,L218)</f>
        <v/>
      </c>
      <c r="N219" s="15">
        <f>IF(A219&lt;=1,0,M218)</f>
        <v/>
      </c>
      <c r="O219" s="15">
        <f>IF(A219&lt;=1,0,N218)</f>
        <v/>
      </c>
      <c r="P219" s="15">
        <f>IF(A219&lt;=1,0,O218)</f>
        <v/>
      </c>
      <c r="Q219" s="15">
        <f>IF(A219&lt;=1,0,P218)</f>
        <v/>
      </c>
      <c r="R219" s="15">
        <f>IF(A219&lt;=1,0,Q218)</f>
        <v/>
      </c>
      <c r="S219" s="15">
        <f>IF(A219&lt;=1,0,R218)</f>
        <v/>
      </c>
      <c r="T219" s="15">
        <f>IF(A219&lt;=1,0,S218)</f>
        <v/>
      </c>
      <c r="U219" s="15">
        <f>IF(A219&lt;=1,0,T218)</f>
        <v/>
      </c>
      <c r="V219" s="15">
        <f>IF(A219&lt;=1,0,U218)</f>
        <v/>
      </c>
      <c r="W219" s="15">
        <f>IF(A219&lt;=1,0,V218)</f>
        <v/>
      </c>
      <c r="X219" s="15">
        <f>IF(A219&lt;=1,0,W218)</f>
        <v/>
      </c>
      <c r="Y219" s="15">
        <f>IF(A219&lt;=1,0,X218)</f>
        <v/>
      </c>
      <c r="Z219" s="15">
        <f>IF(A219&lt;=1,0,Y218)</f>
        <v/>
      </c>
      <c r="AA219" s="15">
        <f>IF(A219&lt;=1,0,Z218)</f>
        <v/>
      </c>
    </row>
    <row r="220">
      <c r="A220" s="55" t="n">
        <v>214</v>
      </c>
      <c r="B220" s="15">
        <f>IF(A220&gt;Inputs!$C$62,"",INDEX(Trajectory!$G$23:$G$2000,A220))</f>
        <v/>
      </c>
      <c r="C220" s="15">
        <f>IF(B220="","",IF(A220&lt;=Inputs!$C$75,INDEX(Trajectory!$G$23:$G$2000,1),INDEX(Trajectory!$G$23:$G$2000,MAX(1,A220-Inputs!$C$75))))</f>
        <v/>
      </c>
      <c r="D220" s="15">
        <f>IF(C220="","",MAX(Inputs!$C$76,CEILING(C220/(Inputs!$C$42*Inputs!$C$92),1)))</f>
        <v/>
      </c>
      <c r="E220" s="15">
        <f>IF(D220="","",MAX(E219,D220))</f>
        <v/>
      </c>
      <c r="F220" s="15">
        <f>E220-E219</f>
        <v/>
      </c>
      <c r="G220" s="12">
        <f>IF(E220="",1,IF(E220=0,1,(E220-SUM(L220:AA220)+SUMPRODUCT(L220:AA220,$N$5:$N$20))/E220))</f>
        <v/>
      </c>
      <c r="H220" s="14">
        <f>IF(E220="",0,E220*G220)</f>
        <v/>
      </c>
      <c r="I220" s="15">
        <f>IF(H220="",0,H220*Inputs!$C$42)</f>
        <v/>
      </c>
      <c r="J220" s="14">
        <f>IF(E220="",1,1 + (Inputs!$C$95-1)*IF((1-Inputs!$C$94)=0,0,(1-G220)/(1-Inputs!$C$94)))</f>
        <v/>
      </c>
      <c r="K220" s="12">
        <f>IF(I220=0,"",B220/I220)</f>
        <v/>
      </c>
      <c r="L220" s="15">
        <f>IF(F220="",0,F220)</f>
        <v/>
      </c>
      <c r="M220" s="15">
        <f>IF(A220&lt;=1,0,L219)</f>
        <v/>
      </c>
      <c r="N220" s="15">
        <f>IF(A220&lt;=1,0,M219)</f>
        <v/>
      </c>
      <c r="O220" s="15">
        <f>IF(A220&lt;=1,0,N219)</f>
        <v/>
      </c>
      <c r="P220" s="15">
        <f>IF(A220&lt;=1,0,O219)</f>
        <v/>
      </c>
      <c r="Q220" s="15">
        <f>IF(A220&lt;=1,0,P219)</f>
        <v/>
      </c>
      <c r="R220" s="15">
        <f>IF(A220&lt;=1,0,Q219)</f>
        <v/>
      </c>
      <c r="S220" s="15">
        <f>IF(A220&lt;=1,0,R219)</f>
        <v/>
      </c>
      <c r="T220" s="15">
        <f>IF(A220&lt;=1,0,S219)</f>
        <v/>
      </c>
      <c r="U220" s="15">
        <f>IF(A220&lt;=1,0,T219)</f>
        <v/>
      </c>
      <c r="V220" s="15">
        <f>IF(A220&lt;=1,0,U219)</f>
        <v/>
      </c>
      <c r="W220" s="15">
        <f>IF(A220&lt;=1,0,V219)</f>
        <v/>
      </c>
      <c r="X220" s="15">
        <f>IF(A220&lt;=1,0,W219)</f>
        <v/>
      </c>
      <c r="Y220" s="15">
        <f>IF(A220&lt;=1,0,X219)</f>
        <v/>
      </c>
      <c r="Z220" s="15">
        <f>IF(A220&lt;=1,0,Y219)</f>
        <v/>
      </c>
      <c r="AA220" s="15">
        <f>IF(A220&lt;=1,0,Z219)</f>
        <v/>
      </c>
    </row>
    <row r="221">
      <c r="A221" s="55" t="n">
        <v>215</v>
      </c>
      <c r="B221" s="15">
        <f>IF(A221&gt;Inputs!$C$62,"",INDEX(Trajectory!$G$23:$G$2000,A221))</f>
        <v/>
      </c>
      <c r="C221" s="15">
        <f>IF(B221="","",IF(A221&lt;=Inputs!$C$75,INDEX(Trajectory!$G$23:$G$2000,1),INDEX(Trajectory!$G$23:$G$2000,MAX(1,A221-Inputs!$C$75))))</f>
        <v/>
      </c>
      <c r="D221" s="15">
        <f>IF(C221="","",MAX(Inputs!$C$76,CEILING(C221/(Inputs!$C$42*Inputs!$C$92),1)))</f>
        <v/>
      </c>
      <c r="E221" s="15">
        <f>IF(D221="","",MAX(E220,D221))</f>
        <v/>
      </c>
      <c r="F221" s="15">
        <f>E221-E220</f>
        <v/>
      </c>
      <c r="G221" s="12">
        <f>IF(E221="",1,IF(E221=0,1,(E221-SUM(L221:AA221)+SUMPRODUCT(L221:AA221,$N$5:$N$20))/E221))</f>
        <v/>
      </c>
      <c r="H221" s="14">
        <f>IF(E221="",0,E221*G221)</f>
        <v/>
      </c>
      <c r="I221" s="15">
        <f>IF(H221="",0,H221*Inputs!$C$42)</f>
        <v/>
      </c>
      <c r="J221" s="14">
        <f>IF(E221="",1,1 + (Inputs!$C$95-1)*IF((1-Inputs!$C$94)=0,0,(1-G221)/(1-Inputs!$C$94)))</f>
        <v/>
      </c>
      <c r="K221" s="12">
        <f>IF(I221=0,"",B221/I221)</f>
        <v/>
      </c>
      <c r="L221" s="15">
        <f>IF(F221="",0,F221)</f>
        <v/>
      </c>
      <c r="M221" s="15">
        <f>IF(A221&lt;=1,0,L220)</f>
        <v/>
      </c>
      <c r="N221" s="15">
        <f>IF(A221&lt;=1,0,M220)</f>
        <v/>
      </c>
      <c r="O221" s="15">
        <f>IF(A221&lt;=1,0,N220)</f>
        <v/>
      </c>
      <c r="P221" s="15">
        <f>IF(A221&lt;=1,0,O220)</f>
        <v/>
      </c>
      <c r="Q221" s="15">
        <f>IF(A221&lt;=1,0,P220)</f>
        <v/>
      </c>
      <c r="R221" s="15">
        <f>IF(A221&lt;=1,0,Q220)</f>
        <v/>
      </c>
      <c r="S221" s="15">
        <f>IF(A221&lt;=1,0,R220)</f>
        <v/>
      </c>
      <c r="T221" s="15">
        <f>IF(A221&lt;=1,0,S220)</f>
        <v/>
      </c>
      <c r="U221" s="15">
        <f>IF(A221&lt;=1,0,T220)</f>
        <v/>
      </c>
      <c r="V221" s="15">
        <f>IF(A221&lt;=1,0,U220)</f>
        <v/>
      </c>
      <c r="W221" s="15">
        <f>IF(A221&lt;=1,0,V220)</f>
        <v/>
      </c>
      <c r="X221" s="15">
        <f>IF(A221&lt;=1,0,W220)</f>
        <v/>
      </c>
      <c r="Y221" s="15">
        <f>IF(A221&lt;=1,0,X220)</f>
        <v/>
      </c>
      <c r="Z221" s="15">
        <f>IF(A221&lt;=1,0,Y220)</f>
        <v/>
      </c>
      <c r="AA221" s="15">
        <f>IF(A221&lt;=1,0,Z220)</f>
        <v/>
      </c>
    </row>
    <row r="222">
      <c r="A222" s="55" t="n">
        <v>216</v>
      </c>
      <c r="B222" s="15">
        <f>IF(A222&gt;Inputs!$C$62,"",INDEX(Trajectory!$G$23:$G$2000,A222))</f>
        <v/>
      </c>
      <c r="C222" s="15">
        <f>IF(B222="","",IF(A222&lt;=Inputs!$C$75,INDEX(Trajectory!$G$23:$G$2000,1),INDEX(Trajectory!$G$23:$G$2000,MAX(1,A222-Inputs!$C$75))))</f>
        <v/>
      </c>
      <c r="D222" s="15">
        <f>IF(C222="","",MAX(Inputs!$C$76,CEILING(C222/(Inputs!$C$42*Inputs!$C$92),1)))</f>
        <v/>
      </c>
      <c r="E222" s="15">
        <f>IF(D222="","",MAX(E221,D222))</f>
        <v/>
      </c>
      <c r="F222" s="15">
        <f>E222-E221</f>
        <v/>
      </c>
      <c r="G222" s="12">
        <f>IF(E222="",1,IF(E222=0,1,(E222-SUM(L222:AA222)+SUMPRODUCT(L222:AA222,$N$5:$N$20))/E222))</f>
        <v/>
      </c>
      <c r="H222" s="14">
        <f>IF(E222="",0,E222*G222)</f>
        <v/>
      </c>
      <c r="I222" s="15">
        <f>IF(H222="",0,H222*Inputs!$C$42)</f>
        <v/>
      </c>
      <c r="J222" s="14">
        <f>IF(E222="",1,1 + (Inputs!$C$95-1)*IF((1-Inputs!$C$94)=0,0,(1-G222)/(1-Inputs!$C$94)))</f>
        <v/>
      </c>
      <c r="K222" s="12">
        <f>IF(I222=0,"",B222/I222)</f>
        <v/>
      </c>
      <c r="L222" s="15">
        <f>IF(F222="",0,F222)</f>
        <v/>
      </c>
      <c r="M222" s="15">
        <f>IF(A222&lt;=1,0,L221)</f>
        <v/>
      </c>
      <c r="N222" s="15">
        <f>IF(A222&lt;=1,0,M221)</f>
        <v/>
      </c>
      <c r="O222" s="15">
        <f>IF(A222&lt;=1,0,N221)</f>
        <v/>
      </c>
      <c r="P222" s="15">
        <f>IF(A222&lt;=1,0,O221)</f>
        <v/>
      </c>
      <c r="Q222" s="15">
        <f>IF(A222&lt;=1,0,P221)</f>
        <v/>
      </c>
      <c r="R222" s="15">
        <f>IF(A222&lt;=1,0,Q221)</f>
        <v/>
      </c>
      <c r="S222" s="15">
        <f>IF(A222&lt;=1,0,R221)</f>
        <v/>
      </c>
      <c r="T222" s="15">
        <f>IF(A222&lt;=1,0,S221)</f>
        <v/>
      </c>
      <c r="U222" s="15">
        <f>IF(A222&lt;=1,0,T221)</f>
        <v/>
      </c>
      <c r="V222" s="15">
        <f>IF(A222&lt;=1,0,U221)</f>
        <v/>
      </c>
      <c r="W222" s="15">
        <f>IF(A222&lt;=1,0,V221)</f>
        <v/>
      </c>
      <c r="X222" s="15">
        <f>IF(A222&lt;=1,0,W221)</f>
        <v/>
      </c>
      <c r="Y222" s="15">
        <f>IF(A222&lt;=1,0,X221)</f>
        <v/>
      </c>
      <c r="Z222" s="15">
        <f>IF(A222&lt;=1,0,Y221)</f>
        <v/>
      </c>
      <c r="AA222" s="15">
        <f>IF(A222&lt;=1,0,Z221)</f>
        <v/>
      </c>
    </row>
    <row r="223">
      <c r="A223" s="55" t="n">
        <v>217</v>
      </c>
      <c r="B223" s="15">
        <f>IF(A223&gt;Inputs!$C$62,"",INDEX(Trajectory!$G$23:$G$2000,A223))</f>
        <v/>
      </c>
      <c r="C223" s="15">
        <f>IF(B223="","",IF(A223&lt;=Inputs!$C$75,INDEX(Trajectory!$G$23:$G$2000,1),INDEX(Trajectory!$G$23:$G$2000,MAX(1,A223-Inputs!$C$75))))</f>
        <v/>
      </c>
      <c r="D223" s="15">
        <f>IF(C223="","",MAX(Inputs!$C$76,CEILING(C223/(Inputs!$C$42*Inputs!$C$92),1)))</f>
        <v/>
      </c>
      <c r="E223" s="15">
        <f>IF(D223="","",MAX(E222,D223))</f>
        <v/>
      </c>
      <c r="F223" s="15">
        <f>E223-E222</f>
        <v/>
      </c>
      <c r="G223" s="12">
        <f>IF(E223="",1,IF(E223=0,1,(E223-SUM(L223:AA223)+SUMPRODUCT(L223:AA223,$N$5:$N$20))/E223))</f>
        <v/>
      </c>
      <c r="H223" s="14">
        <f>IF(E223="",0,E223*G223)</f>
        <v/>
      </c>
      <c r="I223" s="15">
        <f>IF(H223="",0,H223*Inputs!$C$42)</f>
        <v/>
      </c>
      <c r="J223" s="14">
        <f>IF(E223="",1,1 + (Inputs!$C$95-1)*IF((1-Inputs!$C$94)=0,0,(1-G223)/(1-Inputs!$C$94)))</f>
        <v/>
      </c>
      <c r="K223" s="12">
        <f>IF(I223=0,"",B223/I223)</f>
        <v/>
      </c>
      <c r="L223" s="15">
        <f>IF(F223="",0,F223)</f>
        <v/>
      </c>
      <c r="M223" s="15">
        <f>IF(A223&lt;=1,0,L222)</f>
        <v/>
      </c>
      <c r="N223" s="15">
        <f>IF(A223&lt;=1,0,M222)</f>
        <v/>
      </c>
      <c r="O223" s="15">
        <f>IF(A223&lt;=1,0,N222)</f>
        <v/>
      </c>
      <c r="P223" s="15">
        <f>IF(A223&lt;=1,0,O222)</f>
        <v/>
      </c>
      <c r="Q223" s="15">
        <f>IF(A223&lt;=1,0,P222)</f>
        <v/>
      </c>
      <c r="R223" s="15">
        <f>IF(A223&lt;=1,0,Q222)</f>
        <v/>
      </c>
      <c r="S223" s="15">
        <f>IF(A223&lt;=1,0,R222)</f>
        <v/>
      </c>
      <c r="T223" s="15">
        <f>IF(A223&lt;=1,0,S222)</f>
        <v/>
      </c>
      <c r="U223" s="15">
        <f>IF(A223&lt;=1,0,T222)</f>
        <v/>
      </c>
      <c r="V223" s="15">
        <f>IF(A223&lt;=1,0,U222)</f>
        <v/>
      </c>
      <c r="W223" s="15">
        <f>IF(A223&lt;=1,0,V222)</f>
        <v/>
      </c>
      <c r="X223" s="15">
        <f>IF(A223&lt;=1,0,W222)</f>
        <v/>
      </c>
      <c r="Y223" s="15">
        <f>IF(A223&lt;=1,0,X222)</f>
        <v/>
      </c>
      <c r="Z223" s="15">
        <f>IF(A223&lt;=1,0,Y222)</f>
        <v/>
      </c>
      <c r="AA223" s="15">
        <f>IF(A223&lt;=1,0,Z222)</f>
        <v/>
      </c>
    </row>
    <row r="224">
      <c r="A224" s="55" t="n">
        <v>218</v>
      </c>
      <c r="B224" s="15">
        <f>IF(A224&gt;Inputs!$C$62,"",INDEX(Trajectory!$G$23:$G$2000,A224))</f>
        <v/>
      </c>
      <c r="C224" s="15">
        <f>IF(B224="","",IF(A224&lt;=Inputs!$C$75,INDEX(Trajectory!$G$23:$G$2000,1),INDEX(Trajectory!$G$23:$G$2000,MAX(1,A224-Inputs!$C$75))))</f>
        <v/>
      </c>
      <c r="D224" s="15">
        <f>IF(C224="","",MAX(Inputs!$C$76,CEILING(C224/(Inputs!$C$42*Inputs!$C$92),1)))</f>
        <v/>
      </c>
      <c r="E224" s="15">
        <f>IF(D224="","",MAX(E223,D224))</f>
        <v/>
      </c>
      <c r="F224" s="15">
        <f>E224-E223</f>
        <v/>
      </c>
      <c r="G224" s="12">
        <f>IF(E224="",1,IF(E224=0,1,(E224-SUM(L224:AA224)+SUMPRODUCT(L224:AA224,$N$5:$N$20))/E224))</f>
        <v/>
      </c>
      <c r="H224" s="14">
        <f>IF(E224="",0,E224*G224)</f>
        <v/>
      </c>
      <c r="I224" s="15">
        <f>IF(H224="",0,H224*Inputs!$C$42)</f>
        <v/>
      </c>
      <c r="J224" s="14">
        <f>IF(E224="",1,1 + (Inputs!$C$95-1)*IF((1-Inputs!$C$94)=0,0,(1-G224)/(1-Inputs!$C$94)))</f>
        <v/>
      </c>
      <c r="K224" s="12">
        <f>IF(I224=0,"",B224/I224)</f>
        <v/>
      </c>
      <c r="L224" s="15">
        <f>IF(F224="",0,F224)</f>
        <v/>
      </c>
      <c r="M224" s="15">
        <f>IF(A224&lt;=1,0,L223)</f>
        <v/>
      </c>
      <c r="N224" s="15">
        <f>IF(A224&lt;=1,0,M223)</f>
        <v/>
      </c>
      <c r="O224" s="15">
        <f>IF(A224&lt;=1,0,N223)</f>
        <v/>
      </c>
      <c r="P224" s="15">
        <f>IF(A224&lt;=1,0,O223)</f>
        <v/>
      </c>
      <c r="Q224" s="15">
        <f>IF(A224&lt;=1,0,P223)</f>
        <v/>
      </c>
      <c r="R224" s="15">
        <f>IF(A224&lt;=1,0,Q223)</f>
        <v/>
      </c>
      <c r="S224" s="15">
        <f>IF(A224&lt;=1,0,R223)</f>
        <v/>
      </c>
      <c r="T224" s="15">
        <f>IF(A224&lt;=1,0,S223)</f>
        <v/>
      </c>
      <c r="U224" s="15">
        <f>IF(A224&lt;=1,0,T223)</f>
        <v/>
      </c>
      <c r="V224" s="15">
        <f>IF(A224&lt;=1,0,U223)</f>
        <v/>
      </c>
      <c r="W224" s="15">
        <f>IF(A224&lt;=1,0,V223)</f>
        <v/>
      </c>
      <c r="X224" s="15">
        <f>IF(A224&lt;=1,0,W223)</f>
        <v/>
      </c>
      <c r="Y224" s="15">
        <f>IF(A224&lt;=1,0,X223)</f>
        <v/>
      </c>
      <c r="Z224" s="15">
        <f>IF(A224&lt;=1,0,Y223)</f>
        <v/>
      </c>
      <c r="AA224" s="15">
        <f>IF(A224&lt;=1,0,Z223)</f>
        <v/>
      </c>
    </row>
    <row r="225">
      <c r="A225" s="55" t="n">
        <v>219</v>
      </c>
      <c r="B225" s="15">
        <f>IF(A225&gt;Inputs!$C$62,"",INDEX(Trajectory!$G$23:$G$2000,A225))</f>
        <v/>
      </c>
      <c r="C225" s="15">
        <f>IF(B225="","",IF(A225&lt;=Inputs!$C$75,INDEX(Trajectory!$G$23:$G$2000,1),INDEX(Trajectory!$G$23:$G$2000,MAX(1,A225-Inputs!$C$75))))</f>
        <v/>
      </c>
      <c r="D225" s="15">
        <f>IF(C225="","",MAX(Inputs!$C$76,CEILING(C225/(Inputs!$C$42*Inputs!$C$92),1)))</f>
        <v/>
      </c>
      <c r="E225" s="15">
        <f>IF(D225="","",MAX(E224,D225))</f>
        <v/>
      </c>
      <c r="F225" s="15">
        <f>E225-E224</f>
        <v/>
      </c>
      <c r="G225" s="12">
        <f>IF(E225="",1,IF(E225=0,1,(E225-SUM(L225:AA225)+SUMPRODUCT(L225:AA225,$N$5:$N$20))/E225))</f>
        <v/>
      </c>
      <c r="H225" s="14">
        <f>IF(E225="",0,E225*G225)</f>
        <v/>
      </c>
      <c r="I225" s="15">
        <f>IF(H225="",0,H225*Inputs!$C$42)</f>
        <v/>
      </c>
      <c r="J225" s="14">
        <f>IF(E225="",1,1 + (Inputs!$C$95-1)*IF((1-Inputs!$C$94)=0,0,(1-G225)/(1-Inputs!$C$94)))</f>
        <v/>
      </c>
      <c r="K225" s="12">
        <f>IF(I225=0,"",B225/I225)</f>
        <v/>
      </c>
      <c r="L225" s="15">
        <f>IF(F225="",0,F225)</f>
        <v/>
      </c>
      <c r="M225" s="15">
        <f>IF(A225&lt;=1,0,L224)</f>
        <v/>
      </c>
      <c r="N225" s="15">
        <f>IF(A225&lt;=1,0,M224)</f>
        <v/>
      </c>
      <c r="O225" s="15">
        <f>IF(A225&lt;=1,0,N224)</f>
        <v/>
      </c>
      <c r="P225" s="15">
        <f>IF(A225&lt;=1,0,O224)</f>
        <v/>
      </c>
      <c r="Q225" s="15">
        <f>IF(A225&lt;=1,0,P224)</f>
        <v/>
      </c>
      <c r="R225" s="15">
        <f>IF(A225&lt;=1,0,Q224)</f>
        <v/>
      </c>
      <c r="S225" s="15">
        <f>IF(A225&lt;=1,0,R224)</f>
        <v/>
      </c>
      <c r="T225" s="15">
        <f>IF(A225&lt;=1,0,S224)</f>
        <v/>
      </c>
      <c r="U225" s="15">
        <f>IF(A225&lt;=1,0,T224)</f>
        <v/>
      </c>
      <c r="V225" s="15">
        <f>IF(A225&lt;=1,0,U224)</f>
        <v/>
      </c>
      <c r="W225" s="15">
        <f>IF(A225&lt;=1,0,V224)</f>
        <v/>
      </c>
      <c r="X225" s="15">
        <f>IF(A225&lt;=1,0,W224)</f>
        <v/>
      </c>
      <c r="Y225" s="15">
        <f>IF(A225&lt;=1,0,X224)</f>
        <v/>
      </c>
      <c r="Z225" s="15">
        <f>IF(A225&lt;=1,0,Y224)</f>
        <v/>
      </c>
      <c r="AA225" s="15">
        <f>IF(A225&lt;=1,0,Z224)</f>
        <v/>
      </c>
    </row>
    <row r="226">
      <c r="A226" s="55" t="n">
        <v>220</v>
      </c>
      <c r="B226" s="15">
        <f>IF(A226&gt;Inputs!$C$62,"",INDEX(Trajectory!$G$23:$G$2000,A226))</f>
        <v/>
      </c>
      <c r="C226" s="15">
        <f>IF(B226="","",IF(A226&lt;=Inputs!$C$75,INDEX(Trajectory!$G$23:$G$2000,1),INDEX(Trajectory!$G$23:$G$2000,MAX(1,A226-Inputs!$C$75))))</f>
        <v/>
      </c>
      <c r="D226" s="15">
        <f>IF(C226="","",MAX(Inputs!$C$76,CEILING(C226/(Inputs!$C$42*Inputs!$C$92),1)))</f>
        <v/>
      </c>
      <c r="E226" s="15">
        <f>IF(D226="","",MAX(E225,D226))</f>
        <v/>
      </c>
      <c r="F226" s="15">
        <f>E226-E225</f>
        <v/>
      </c>
      <c r="G226" s="12">
        <f>IF(E226="",1,IF(E226=0,1,(E226-SUM(L226:AA226)+SUMPRODUCT(L226:AA226,$N$5:$N$20))/E226))</f>
        <v/>
      </c>
      <c r="H226" s="14">
        <f>IF(E226="",0,E226*G226)</f>
        <v/>
      </c>
      <c r="I226" s="15">
        <f>IF(H226="",0,H226*Inputs!$C$42)</f>
        <v/>
      </c>
      <c r="J226" s="14">
        <f>IF(E226="",1,1 + (Inputs!$C$95-1)*IF((1-Inputs!$C$94)=0,0,(1-G226)/(1-Inputs!$C$94)))</f>
        <v/>
      </c>
      <c r="K226" s="12">
        <f>IF(I226=0,"",B226/I226)</f>
        <v/>
      </c>
      <c r="L226" s="15">
        <f>IF(F226="",0,F226)</f>
        <v/>
      </c>
      <c r="M226" s="15">
        <f>IF(A226&lt;=1,0,L225)</f>
        <v/>
      </c>
      <c r="N226" s="15">
        <f>IF(A226&lt;=1,0,M225)</f>
        <v/>
      </c>
      <c r="O226" s="15">
        <f>IF(A226&lt;=1,0,N225)</f>
        <v/>
      </c>
      <c r="P226" s="15">
        <f>IF(A226&lt;=1,0,O225)</f>
        <v/>
      </c>
      <c r="Q226" s="15">
        <f>IF(A226&lt;=1,0,P225)</f>
        <v/>
      </c>
      <c r="R226" s="15">
        <f>IF(A226&lt;=1,0,Q225)</f>
        <v/>
      </c>
      <c r="S226" s="15">
        <f>IF(A226&lt;=1,0,R225)</f>
        <v/>
      </c>
      <c r="T226" s="15">
        <f>IF(A226&lt;=1,0,S225)</f>
        <v/>
      </c>
      <c r="U226" s="15">
        <f>IF(A226&lt;=1,0,T225)</f>
        <v/>
      </c>
      <c r="V226" s="15">
        <f>IF(A226&lt;=1,0,U225)</f>
        <v/>
      </c>
      <c r="W226" s="15">
        <f>IF(A226&lt;=1,0,V225)</f>
        <v/>
      </c>
      <c r="X226" s="15">
        <f>IF(A226&lt;=1,0,W225)</f>
        <v/>
      </c>
      <c r="Y226" s="15">
        <f>IF(A226&lt;=1,0,X225)</f>
        <v/>
      </c>
      <c r="Z226" s="15">
        <f>IF(A226&lt;=1,0,Y225)</f>
        <v/>
      </c>
      <c r="AA226" s="15">
        <f>IF(A226&lt;=1,0,Z225)</f>
        <v/>
      </c>
    </row>
    <row r="227">
      <c r="A227" s="55" t="n">
        <v>221</v>
      </c>
      <c r="B227" s="15">
        <f>IF(A227&gt;Inputs!$C$62,"",INDEX(Trajectory!$G$23:$G$2000,A227))</f>
        <v/>
      </c>
      <c r="C227" s="15">
        <f>IF(B227="","",IF(A227&lt;=Inputs!$C$75,INDEX(Trajectory!$G$23:$G$2000,1),INDEX(Trajectory!$G$23:$G$2000,MAX(1,A227-Inputs!$C$75))))</f>
        <v/>
      </c>
      <c r="D227" s="15">
        <f>IF(C227="","",MAX(Inputs!$C$76,CEILING(C227/(Inputs!$C$42*Inputs!$C$92),1)))</f>
        <v/>
      </c>
      <c r="E227" s="15">
        <f>IF(D227="","",MAX(E226,D227))</f>
        <v/>
      </c>
      <c r="F227" s="15">
        <f>E227-E226</f>
        <v/>
      </c>
      <c r="G227" s="12">
        <f>IF(E227="",1,IF(E227=0,1,(E227-SUM(L227:AA227)+SUMPRODUCT(L227:AA227,$N$5:$N$20))/E227))</f>
        <v/>
      </c>
      <c r="H227" s="14">
        <f>IF(E227="",0,E227*G227)</f>
        <v/>
      </c>
      <c r="I227" s="15">
        <f>IF(H227="",0,H227*Inputs!$C$42)</f>
        <v/>
      </c>
      <c r="J227" s="14">
        <f>IF(E227="",1,1 + (Inputs!$C$95-1)*IF((1-Inputs!$C$94)=0,0,(1-G227)/(1-Inputs!$C$94)))</f>
        <v/>
      </c>
      <c r="K227" s="12">
        <f>IF(I227=0,"",B227/I227)</f>
        <v/>
      </c>
      <c r="L227" s="15">
        <f>IF(F227="",0,F227)</f>
        <v/>
      </c>
      <c r="M227" s="15">
        <f>IF(A227&lt;=1,0,L226)</f>
        <v/>
      </c>
      <c r="N227" s="15">
        <f>IF(A227&lt;=1,0,M226)</f>
        <v/>
      </c>
      <c r="O227" s="15">
        <f>IF(A227&lt;=1,0,N226)</f>
        <v/>
      </c>
      <c r="P227" s="15">
        <f>IF(A227&lt;=1,0,O226)</f>
        <v/>
      </c>
      <c r="Q227" s="15">
        <f>IF(A227&lt;=1,0,P226)</f>
        <v/>
      </c>
      <c r="R227" s="15">
        <f>IF(A227&lt;=1,0,Q226)</f>
        <v/>
      </c>
      <c r="S227" s="15">
        <f>IF(A227&lt;=1,0,R226)</f>
        <v/>
      </c>
      <c r="T227" s="15">
        <f>IF(A227&lt;=1,0,S226)</f>
        <v/>
      </c>
      <c r="U227" s="15">
        <f>IF(A227&lt;=1,0,T226)</f>
        <v/>
      </c>
      <c r="V227" s="15">
        <f>IF(A227&lt;=1,0,U226)</f>
        <v/>
      </c>
      <c r="W227" s="15">
        <f>IF(A227&lt;=1,0,V226)</f>
        <v/>
      </c>
      <c r="X227" s="15">
        <f>IF(A227&lt;=1,0,W226)</f>
        <v/>
      </c>
      <c r="Y227" s="15">
        <f>IF(A227&lt;=1,0,X226)</f>
        <v/>
      </c>
      <c r="Z227" s="15">
        <f>IF(A227&lt;=1,0,Y226)</f>
        <v/>
      </c>
      <c r="AA227" s="15">
        <f>IF(A227&lt;=1,0,Z226)</f>
        <v/>
      </c>
    </row>
    <row r="228">
      <c r="A228" s="55" t="n">
        <v>222</v>
      </c>
      <c r="B228" s="15">
        <f>IF(A228&gt;Inputs!$C$62,"",INDEX(Trajectory!$G$23:$G$2000,A228))</f>
        <v/>
      </c>
      <c r="C228" s="15">
        <f>IF(B228="","",IF(A228&lt;=Inputs!$C$75,INDEX(Trajectory!$G$23:$G$2000,1),INDEX(Trajectory!$G$23:$G$2000,MAX(1,A228-Inputs!$C$75))))</f>
        <v/>
      </c>
      <c r="D228" s="15">
        <f>IF(C228="","",MAX(Inputs!$C$76,CEILING(C228/(Inputs!$C$42*Inputs!$C$92),1)))</f>
        <v/>
      </c>
      <c r="E228" s="15">
        <f>IF(D228="","",MAX(E227,D228))</f>
        <v/>
      </c>
      <c r="F228" s="15">
        <f>E228-E227</f>
        <v/>
      </c>
      <c r="G228" s="12">
        <f>IF(E228="",1,IF(E228=0,1,(E228-SUM(L228:AA228)+SUMPRODUCT(L228:AA228,$N$5:$N$20))/E228))</f>
        <v/>
      </c>
      <c r="H228" s="14">
        <f>IF(E228="",0,E228*G228)</f>
        <v/>
      </c>
      <c r="I228" s="15">
        <f>IF(H228="",0,H228*Inputs!$C$42)</f>
        <v/>
      </c>
      <c r="J228" s="14">
        <f>IF(E228="",1,1 + (Inputs!$C$95-1)*IF((1-Inputs!$C$94)=0,0,(1-G228)/(1-Inputs!$C$94)))</f>
        <v/>
      </c>
      <c r="K228" s="12">
        <f>IF(I228=0,"",B228/I228)</f>
        <v/>
      </c>
      <c r="L228" s="15">
        <f>IF(F228="",0,F228)</f>
        <v/>
      </c>
      <c r="M228" s="15">
        <f>IF(A228&lt;=1,0,L227)</f>
        <v/>
      </c>
      <c r="N228" s="15">
        <f>IF(A228&lt;=1,0,M227)</f>
        <v/>
      </c>
      <c r="O228" s="15">
        <f>IF(A228&lt;=1,0,N227)</f>
        <v/>
      </c>
      <c r="P228" s="15">
        <f>IF(A228&lt;=1,0,O227)</f>
        <v/>
      </c>
      <c r="Q228" s="15">
        <f>IF(A228&lt;=1,0,P227)</f>
        <v/>
      </c>
      <c r="R228" s="15">
        <f>IF(A228&lt;=1,0,Q227)</f>
        <v/>
      </c>
      <c r="S228" s="15">
        <f>IF(A228&lt;=1,0,R227)</f>
        <v/>
      </c>
      <c r="T228" s="15">
        <f>IF(A228&lt;=1,0,S227)</f>
        <v/>
      </c>
      <c r="U228" s="15">
        <f>IF(A228&lt;=1,0,T227)</f>
        <v/>
      </c>
      <c r="V228" s="15">
        <f>IF(A228&lt;=1,0,U227)</f>
        <v/>
      </c>
      <c r="W228" s="15">
        <f>IF(A228&lt;=1,0,V227)</f>
        <v/>
      </c>
      <c r="X228" s="15">
        <f>IF(A228&lt;=1,0,W227)</f>
        <v/>
      </c>
      <c r="Y228" s="15">
        <f>IF(A228&lt;=1,0,X227)</f>
        <v/>
      </c>
      <c r="Z228" s="15">
        <f>IF(A228&lt;=1,0,Y227)</f>
        <v/>
      </c>
      <c r="AA228" s="15">
        <f>IF(A228&lt;=1,0,Z227)</f>
        <v/>
      </c>
    </row>
    <row r="229">
      <c r="A229" s="55" t="n">
        <v>223</v>
      </c>
      <c r="B229" s="15">
        <f>IF(A229&gt;Inputs!$C$62,"",INDEX(Trajectory!$G$23:$G$2000,A229))</f>
        <v/>
      </c>
      <c r="C229" s="15">
        <f>IF(B229="","",IF(A229&lt;=Inputs!$C$75,INDEX(Trajectory!$G$23:$G$2000,1),INDEX(Trajectory!$G$23:$G$2000,MAX(1,A229-Inputs!$C$75))))</f>
        <v/>
      </c>
      <c r="D229" s="15">
        <f>IF(C229="","",MAX(Inputs!$C$76,CEILING(C229/(Inputs!$C$42*Inputs!$C$92),1)))</f>
        <v/>
      </c>
      <c r="E229" s="15">
        <f>IF(D229="","",MAX(E228,D229))</f>
        <v/>
      </c>
      <c r="F229" s="15">
        <f>E229-E228</f>
        <v/>
      </c>
      <c r="G229" s="12">
        <f>IF(E229="",1,IF(E229=0,1,(E229-SUM(L229:AA229)+SUMPRODUCT(L229:AA229,$N$5:$N$20))/E229))</f>
        <v/>
      </c>
      <c r="H229" s="14">
        <f>IF(E229="",0,E229*G229)</f>
        <v/>
      </c>
      <c r="I229" s="15">
        <f>IF(H229="",0,H229*Inputs!$C$42)</f>
        <v/>
      </c>
      <c r="J229" s="14">
        <f>IF(E229="",1,1 + (Inputs!$C$95-1)*IF((1-Inputs!$C$94)=0,0,(1-G229)/(1-Inputs!$C$94)))</f>
        <v/>
      </c>
      <c r="K229" s="12">
        <f>IF(I229=0,"",B229/I229)</f>
        <v/>
      </c>
      <c r="L229" s="15">
        <f>IF(F229="",0,F229)</f>
        <v/>
      </c>
      <c r="M229" s="15">
        <f>IF(A229&lt;=1,0,L228)</f>
        <v/>
      </c>
      <c r="N229" s="15">
        <f>IF(A229&lt;=1,0,M228)</f>
        <v/>
      </c>
      <c r="O229" s="15">
        <f>IF(A229&lt;=1,0,N228)</f>
        <v/>
      </c>
      <c r="P229" s="15">
        <f>IF(A229&lt;=1,0,O228)</f>
        <v/>
      </c>
      <c r="Q229" s="15">
        <f>IF(A229&lt;=1,0,P228)</f>
        <v/>
      </c>
      <c r="R229" s="15">
        <f>IF(A229&lt;=1,0,Q228)</f>
        <v/>
      </c>
      <c r="S229" s="15">
        <f>IF(A229&lt;=1,0,R228)</f>
        <v/>
      </c>
      <c r="T229" s="15">
        <f>IF(A229&lt;=1,0,S228)</f>
        <v/>
      </c>
      <c r="U229" s="15">
        <f>IF(A229&lt;=1,0,T228)</f>
        <v/>
      </c>
      <c r="V229" s="15">
        <f>IF(A229&lt;=1,0,U228)</f>
        <v/>
      </c>
      <c r="W229" s="15">
        <f>IF(A229&lt;=1,0,V228)</f>
        <v/>
      </c>
      <c r="X229" s="15">
        <f>IF(A229&lt;=1,0,W228)</f>
        <v/>
      </c>
      <c r="Y229" s="15">
        <f>IF(A229&lt;=1,0,X228)</f>
        <v/>
      </c>
      <c r="Z229" s="15">
        <f>IF(A229&lt;=1,0,Y228)</f>
        <v/>
      </c>
      <c r="AA229" s="15">
        <f>IF(A229&lt;=1,0,Z228)</f>
        <v/>
      </c>
    </row>
    <row r="230">
      <c r="A230" s="55" t="n">
        <v>224</v>
      </c>
      <c r="B230" s="15">
        <f>IF(A230&gt;Inputs!$C$62,"",INDEX(Trajectory!$G$23:$G$2000,A230))</f>
        <v/>
      </c>
      <c r="C230" s="15">
        <f>IF(B230="","",IF(A230&lt;=Inputs!$C$75,INDEX(Trajectory!$G$23:$G$2000,1),INDEX(Trajectory!$G$23:$G$2000,MAX(1,A230-Inputs!$C$75))))</f>
        <v/>
      </c>
      <c r="D230" s="15">
        <f>IF(C230="","",MAX(Inputs!$C$76,CEILING(C230/(Inputs!$C$42*Inputs!$C$92),1)))</f>
        <v/>
      </c>
      <c r="E230" s="15">
        <f>IF(D230="","",MAX(E229,D230))</f>
        <v/>
      </c>
      <c r="F230" s="15">
        <f>E230-E229</f>
        <v/>
      </c>
      <c r="G230" s="12">
        <f>IF(E230="",1,IF(E230=0,1,(E230-SUM(L230:AA230)+SUMPRODUCT(L230:AA230,$N$5:$N$20))/E230))</f>
        <v/>
      </c>
      <c r="H230" s="14">
        <f>IF(E230="",0,E230*G230)</f>
        <v/>
      </c>
      <c r="I230" s="15">
        <f>IF(H230="",0,H230*Inputs!$C$42)</f>
        <v/>
      </c>
      <c r="J230" s="14">
        <f>IF(E230="",1,1 + (Inputs!$C$95-1)*IF((1-Inputs!$C$94)=0,0,(1-G230)/(1-Inputs!$C$94)))</f>
        <v/>
      </c>
      <c r="K230" s="12">
        <f>IF(I230=0,"",B230/I230)</f>
        <v/>
      </c>
      <c r="L230" s="15">
        <f>IF(F230="",0,F230)</f>
        <v/>
      </c>
      <c r="M230" s="15">
        <f>IF(A230&lt;=1,0,L229)</f>
        <v/>
      </c>
      <c r="N230" s="15">
        <f>IF(A230&lt;=1,0,M229)</f>
        <v/>
      </c>
      <c r="O230" s="15">
        <f>IF(A230&lt;=1,0,N229)</f>
        <v/>
      </c>
      <c r="P230" s="15">
        <f>IF(A230&lt;=1,0,O229)</f>
        <v/>
      </c>
      <c r="Q230" s="15">
        <f>IF(A230&lt;=1,0,P229)</f>
        <v/>
      </c>
      <c r="R230" s="15">
        <f>IF(A230&lt;=1,0,Q229)</f>
        <v/>
      </c>
      <c r="S230" s="15">
        <f>IF(A230&lt;=1,0,R229)</f>
        <v/>
      </c>
      <c r="T230" s="15">
        <f>IF(A230&lt;=1,0,S229)</f>
        <v/>
      </c>
      <c r="U230" s="15">
        <f>IF(A230&lt;=1,0,T229)</f>
        <v/>
      </c>
      <c r="V230" s="15">
        <f>IF(A230&lt;=1,0,U229)</f>
        <v/>
      </c>
      <c r="W230" s="15">
        <f>IF(A230&lt;=1,0,V229)</f>
        <v/>
      </c>
      <c r="X230" s="15">
        <f>IF(A230&lt;=1,0,W229)</f>
        <v/>
      </c>
      <c r="Y230" s="15">
        <f>IF(A230&lt;=1,0,X229)</f>
        <v/>
      </c>
      <c r="Z230" s="15">
        <f>IF(A230&lt;=1,0,Y229)</f>
        <v/>
      </c>
      <c r="AA230" s="15">
        <f>IF(A230&lt;=1,0,Z229)</f>
        <v/>
      </c>
    </row>
    <row r="231">
      <c r="A231" s="55" t="n">
        <v>225</v>
      </c>
      <c r="B231" s="15">
        <f>IF(A231&gt;Inputs!$C$62,"",INDEX(Trajectory!$G$23:$G$2000,A231))</f>
        <v/>
      </c>
      <c r="C231" s="15">
        <f>IF(B231="","",IF(A231&lt;=Inputs!$C$75,INDEX(Trajectory!$G$23:$G$2000,1),INDEX(Trajectory!$G$23:$G$2000,MAX(1,A231-Inputs!$C$75))))</f>
        <v/>
      </c>
      <c r="D231" s="15">
        <f>IF(C231="","",MAX(Inputs!$C$76,CEILING(C231/(Inputs!$C$42*Inputs!$C$92),1)))</f>
        <v/>
      </c>
      <c r="E231" s="15">
        <f>IF(D231="","",MAX(E230,D231))</f>
        <v/>
      </c>
      <c r="F231" s="15">
        <f>E231-E230</f>
        <v/>
      </c>
      <c r="G231" s="12">
        <f>IF(E231="",1,IF(E231=0,1,(E231-SUM(L231:AA231)+SUMPRODUCT(L231:AA231,$N$5:$N$20))/E231))</f>
        <v/>
      </c>
      <c r="H231" s="14">
        <f>IF(E231="",0,E231*G231)</f>
        <v/>
      </c>
      <c r="I231" s="15">
        <f>IF(H231="",0,H231*Inputs!$C$42)</f>
        <v/>
      </c>
      <c r="J231" s="14">
        <f>IF(E231="",1,1 + (Inputs!$C$95-1)*IF((1-Inputs!$C$94)=0,0,(1-G231)/(1-Inputs!$C$94)))</f>
        <v/>
      </c>
      <c r="K231" s="12">
        <f>IF(I231=0,"",B231/I231)</f>
        <v/>
      </c>
      <c r="L231" s="15">
        <f>IF(F231="",0,F231)</f>
        <v/>
      </c>
      <c r="M231" s="15">
        <f>IF(A231&lt;=1,0,L230)</f>
        <v/>
      </c>
      <c r="N231" s="15">
        <f>IF(A231&lt;=1,0,M230)</f>
        <v/>
      </c>
      <c r="O231" s="15">
        <f>IF(A231&lt;=1,0,N230)</f>
        <v/>
      </c>
      <c r="P231" s="15">
        <f>IF(A231&lt;=1,0,O230)</f>
        <v/>
      </c>
      <c r="Q231" s="15">
        <f>IF(A231&lt;=1,0,P230)</f>
        <v/>
      </c>
      <c r="R231" s="15">
        <f>IF(A231&lt;=1,0,Q230)</f>
        <v/>
      </c>
      <c r="S231" s="15">
        <f>IF(A231&lt;=1,0,R230)</f>
        <v/>
      </c>
      <c r="T231" s="15">
        <f>IF(A231&lt;=1,0,S230)</f>
        <v/>
      </c>
      <c r="U231" s="15">
        <f>IF(A231&lt;=1,0,T230)</f>
        <v/>
      </c>
      <c r="V231" s="15">
        <f>IF(A231&lt;=1,0,U230)</f>
        <v/>
      </c>
      <c r="W231" s="15">
        <f>IF(A231&lt;=1,0,V230)</f>
        <v/>
      </c>
      <c r="X231" s="15">
        <f>IF(A231&lt;=1,0,W230)</f>
        <v/>
      </c>
      <c r="Y231" s="15">
        <f>IF(A231&lt;=1,0,X230)</f>
        <v/>
      </c>
      <c r="Z231" s="15">
        <f>IF(A231&lt;=1,0,Y230)</f>
        <v/>
      </c>
      <c r="AA231" s="15">
        <f>IF(A231&lt;=1,0,Z230)</f>
        <v/>
      </c>
    </row>
    <row r="232">
      <c r="A232" s="55" t="n">
        <v>226</v>
      </c>
      <c r="B232" s="15">
        <f>IF(A232&gt;Inputs!$C$62,"",INDEX(Trajectory!$G$23:$G$2000,A232))</f>
        <v/>
      </c>
      <c r="C232" s="15">
        <f>IF(B232="","",IF(A232&lt;=Inputs!$C$75,INDEX(Trajectory!$G$23:$G$2000,1),INDEX(Trajectory!$G$23:$G$2000,MAX(1,A232-Inputs!$C$75))))</f>
        <v/>
      </c>
      <c r="D232" s="15">
        <f>IF(C232="","",MAX(Inputs!$C$76,CEILING(C232/(Inputs!$C$42*Inputs!$C$92),1)))</f>
        <v/>
      </c>
      <c r="E232" s="15">
        <f>IF(D232="","",MAX(E231,D232))</f>
        <v/>
      </c>
      <c r="F232" s="15">
        <f>E232-E231</f>
        <v/>
      </c>
      <c r="G232" s="12">
        <f>IF(E232="",1,IF(E232=0,1,(E232-SUM(L232:AA232)+SUMPRODUCT(L232:AA232,$N$5:$N$20))/E232))</f>
        <v/>
      </c>
      <c r="H232" s="14">
        <f>IF(E232="",0,E232*G232)</f>
        <v/>
      </c>
      <c r="I232" s="15">
        <f>IF(H232="",0,H232*Inputs!$C$42)</f>
        <v/>
      </c>
      <c r="J232" s="14">
        <f>IF(E232="",1,1 + (Inputs!$C$95-1)*IF((1-Inputs!$C$94)=0,0,(1-G232)/(1-Inputs!$C$94)))</f>
        <v/>
      </c>
      <c r="K232" s="12">
        <f>IF(I232=0,"",B232/I232)</f>
        <v/>
      </c>
      <c r="L232" s="15">
        <f>IF(F232="",0,F232)</f>
        <v/>
      </c>
      <c r="M232" s="15">
        <f>IF(A232&lt;=1,0,L231)</f>
        <v/>
      </c>
      <c r="N232" s="15">
        <f>IF(A232&lt;=1,0,M231)</f>
        <v/>
      </c>
      <c r="O232" s="15">
        <f>IF(A232&lt;=1,0,N231)</f>
        <v/>
      </c>
      <c r="P232" s="15">
        <f>IF(A232&lt;=1,0,O231)</f>
        <v/>
      </c>
      <c r="Q232" s="15">
        <f>IF(A232&lt;=1,0,P231)</f>
        <v/>
      </c>
      <c r="R232" s="15">
        <f>IF(A232&lt;=1,0,Q231)</f>
        <v/>
      </c>
      <c r="S232" s="15">
        <f>IF(A232&lt;=1,0,R231)</f>
        <v/>
      </c>
      <c r="T232" s="15">
        <f>IF(A232&lt;=1,0,S231)</f>
        <v/>
      </c>
      <c r="U232" s="15">
        <f>IF(A232&lt;=1,0,T231)</f>
        <v/>
      </c>
      <c r="V232" s="15">
        <f>IF(A232&lt;=1,0,U231)</f>
        <v/>
      </c>
      <c r="W232" s="15">
        <f>IF(A232&lt;=1,0,V231)</f>
        <v/>
      </c>
      <c r="X232" s="15">
        <f>IF(A232&lt;=1,0,W231)</f>
        <v/>
      </c>
      <c r="Y232" s="15">
        <f>IF(A232&lt;=1,0,X231)</f>
        <v/>
      </c>
      <c r="Z232" s="15">
        <f>IF(A232&lt;=1,0,Y231)</f>
        <v/>
      </c>
      <c r="AA232" s="15">
        <f>IF(A232&lt;=1,0,Z231)</f>
        <v/>
      </c>
    </row>
    <row r="233">
      <c r="A233" s="55" t="n">
        <v>227</v>
      </c>
      <c r="B233" s="15">
        <f>IF(A233&gt;Inputs!$C$62,"",INDEX(Trajectory!$G$23:$G$2000,A233))</f>
        <v/>
      </c>
      <c r="C233" s="15">
        <f>IF(B233="","",IF(A233&lt;=Inputs!$C$75,INDEX(Trajectory!$G$23:$G$2000,1),INDEX(Trajectory!$G$23:$G$2000,MAX(1,A233-Inputs!$C$75))))</f>
        <v/>
      </c>
      <c r="D233" s="15">
        <f>IF(C233="","",MAX(Inputs!$C$76,CEILING(C233/(Inputs!$C$42*Inputs!$C$92),1)))</f>
        <v/>
      </c>
      <c r="E233" s="15">
        <f>IF(D233="","",MAX(E232,D233))</f>
        <v/>
      </c>
      <c r="F233" s="15">
        <f>E233-E232</f>
        <v/>
      </c>
      <c r="G233" s="12">
        <f>IF(E233="",1,IF(E233=0,1,(E233-SUM(L233:AA233)+SUMPRODUCT(L233:AA233,$N$5:$N$20))/E233))</f>
        <v/>
      </c>
      <c r="H233" s="14">
        <f>IF(E233="",0,E233*G233)</f>
        <v/>
      </c>
      <c r="I233" s="15">
        <f>IF(H233="",0,H233*Inputs!$C$42)</f>
        <v/>
      </c>
      <c r="J233" s="14">
        <f>IF(E233="",1,1 + (Inputs!$C$95-1)*IF((1-Inputs!$C$94)=0,0,(1-G233)/(1-Inputs!$C$94)))</f>
        <v/>
      </c>
      <c r="K233" s="12">
        <f>IF(I233=0,"",B233/I233)</f>
        <v/>
      </c>
      <c r="L233" s="15">
        <f>IF(F233="",0,F233)</f>
        <v/>
      </c>
      <c r="M233" s="15">
        <f>IF(A233&lt;=1,0,L232)</f>
        <v/>
      </c>
      <c r="N233" s="15">
        <f>IF(A233&lt;=1,0,M232)</f>
        <v/>
      </c>
      <c r="O233" s="15">
        <f>IF(A233&lt;=1,0,N232)</f>
        <v/>
      </c>
      <c r="P233" s="15">
        <f>IF(A233&lt;=1,0,O232)</f>
        <v/>
      </c>
      <c r="Q233" s="15">
        <f>IF(A233&lt;=1,0,P232)</f>
        <v/>
      </c>
      <c r="R233" s="15">
        <f>IF(A233&lt;=1,0,Q232)</f>
        <v/>
      </c>
      <c r="S233" s="15">
        <f>IF(A233&lt;=1,0,R232)</f>
        <v/>
      </c>
      <c r="T233" s="15">
        <f>IF(A233&lt;=1,0,S232)</f>
        <v/>
      </c>
      <c r="U233" s="15">
        <f>IF(A233&lt;=1,0,T232)</f>
        <v/>
      </c>
      <c r="V233" s="15">
        <f>IF(A233&lt;=1,0,U232)</f>
        <v/>
      </c>
      <c r="W233" s="15">
        <f>IF(A233&lt;=1,0,V232)</f>
        <v/>
      </c>
      <c r="X233" s="15">
        <f>IF(A233&lt;=1,0,W232)</f>
        <v/>
      </c>
      <c r="Y233" s="15">
        <f>IF(A233&lt;=1,0,X232)</f>
        <v/>
      </c>
      <c r="Z233" s="15">
        <f>IF(A233&lt;=1,0,Y232)</f>
        <v/>
      </c>
      <c r="AA233" s="15">
        <f>IF(A233&lt;=1,0,Z232)</f>
        <v/>
      </c>
    </row>
    <row r="234">
      <c r="A234" s="55" t="n">
        <v>228</v>
      </c>
      <c r="B234" s="15">
        <f>IF(A234&gt;Inputs!$C$62,"",INDEX(Trajectory!$G$23:$G$2000,A234))</f>
        <v/>
      </c>
      <c r="C234" s="15">
        <f>IF(B234="","",IF(A234&lt;=Inputs!$C$75,INDEX(Trajectory!$G$23:$G$2000,1),INDEX(Trajectory!$G$23:$G$2000,MAX(1,A234-Inputs!$C$75))))</f>
        <v/>
      </c>
      <c r="D234" s="15">
        <f>IF(C234="","",MAX(Inputs!$C$76,CEILING(C234/(Inputs!$C$42*Inputs!$C$92),1)))</f>
        <v/>
      </c>
      <c r="E234" s="15">
        <f>IF(D234="","",MAX(E233,D234))</f>
        <v/>
      </c>
      <c r="F234" s="15">
        <f>E234-E233</f>
        <v/>
      </c>
      <c r="G234" s="12">
        <f>IF(E234="",1,IF(E234=0,1,(E234-SUM(L234:AA234)+SUMPRODUCT(L234:AA234,$N$5:$N$20))/E234))</f>
        <v/>
      </c>
      <c r="H234" s="14">
        <f>IF(E234="",0,E234*G234)</f>
        <v/>
      </c>
      <c r="I234" s="15">
        <f>IF(H234="",0,H234*Inputs!$C$42)</f>
        <v/>
      </c>
      <c r="J234" s="14">
        <f>IF(E234="",1,1 + (Inputs!$C$95-1)*IF((1-Inputs!$C$94)=0,0,(1-G234)/(1-Inputs!$C$94)))</f>
        <v/>
      </c>
      <c r="K234" s="12">
        <f>IF(I234=0,"",B234/I234)</f>
        <v/>
      </c>
      <c r="L234" s="15">
        <f>IF(F234="",0,F234)</f>
        <v/>
      </c>
      <c r="M234" s="15">
        <f>IF(A234&lt;=1,0,L233)</f>
        <v/>
      </c>
      <c r="N234" s="15">
        <f>IF(A234&lt;=1,0,M233)</f>
        <v/>
      </c>
      <c r="O234" s="15">
        <f>IF(A234&lt;=1,0,N233)</f>
        <v/>
      </c>
      <c r="P234" s="15">
        <f>IF(A234&lt;=1,0,O233)</f>
        <v/>
      </c>
      <c r="Q234" s="15">
        <f>IF(A234&lt;=1,0,P233)</f>
        <v/>
      </c>
      <c r="R234" s="15">
        <f>IF(A234&lt;=1,0,Q233)</f>
        <v/>
      </c>
      <c r="S234" s="15">
        <f>IF(A234&lt;=1,0,R233)</f>
        <v/>
      </c>
      <c r="T234" s="15">
        <f>IF(A234&lt;=1,0,S233)</f>
        <v/>
      </c>
      <c r="U234" s="15">
        <f>IF(A234&lt;=1,0,T233)</f>
        <v/>
      </c>
      <c r="V234" s="15">
        <f>IF(A234&lt;=1,0,U233)</f>
        <v/>
      </c>
      <c r="W234" s="15">
        <f>IF(A234&lt;=1,0,V233)</f>
        <v/>
      </c>
      <c r="X234" s="15">
        <f>IF(A234&lt;=1,0,W233)</f>
        <v/>
      </c>
      <c r="Y234" s="15">
        <f>IF(A234&lt;=1,0,X233)</f>
        <v/>
      </c>
      <c r="Z234" s="15">
        <f>IF(A234&lt;=1,0,Y233)</f>
        <v/>
      </c>
      <c r="AA234" s="15">
        <f>IF(A234&lt;=1,0,Z233)</f>
        <v/>
      </c>
    </row>
    <row r="235">
      <c r="A235" s="55" t="n">
        <v>229</v>
      </c>
      <c r="B235" s="15">
        <f>IF(A235&gt;Inputs!$C$62,"",INDEX(Trajectory!$G$23:$G$2000,A235))</f>
        <v/>
      </c>
      <c r="C235" s="15">
        <f>IF(B235="","",IF(A235&lt;=Inputs!$C$75,INDEX(Trajectory!$G$23:$G$2000,1),INDEX(Trajectory!$G$23:$G$2000,MAX(1,A235-Inputs!$C$75))))</f>
        <v/>
      </c>
      <c r="D235" s="15">
        <f>IF(C235="","",MAX(Inputs!$C$76,CEILING(C235/(Inputs!$C$42*Inputs!$C$92),1)))</f>
        <v/>
      </c>
      <c r="E235" s="15">
        <f>IF(D235="","",MAX(E234,D235))</f>
        <v/>
      </c>
      <c r="F235" s="15">
        <f>E235-E234</f>
        <v/>
      </c>
      <c r="G235" s="12">
        <f>IF(E235="",1,IF(E235=0,1,(E235-SUM(L235:AA235)+SUMPRODUCT(L235:AA235,$N$5:$N$20))/E235))</f>
        <v/>
      </c>
      <c r="H235" s="14">
        <f>IF(E235="",0,E235*G235)</f>
        <v/>
      </c>
      <c r="I235" s="15">
        <f>IF(H235="",0,H235*Inputs!$C$42)</f>
        <v/>
      </c>
      <c r="J235" s="14">
        <f>IF(E235="",1,1 + (Inputs!$C$95-1)*IF((1-Inputs!$C$94)=0,0,(1-G235)/(1-Inputs!$C$94)))</f>
        <v/>
      </c>
      <c r="K235" s="12">
        <f>IF(I235=0,"",B235/I235)</f>
        <v/>
      </c>
      <c r="L235" s="15">
        <f>IF(F235="",0,F235)</f>
        <v/>
      </c>
      <c r="M235" s="15">
        <f>IF(A235&lt;=1,0,L234)</f>
        <v/>
      </c>
      <c r="N235" s="15">
        <f>IF(A235&lt;=1,0,M234)</f>
        <v/>
      </c>
      <c r="O235" s="15">
        <f>IF(A235&lt;=1,0,N234)</f>
        <v/>
      </c>
      <c r="P235" s="15">
        <f>IF(A235&lt;=1,0,O234)</f>
        <v/>
      </c>
      <c r="Q235" s="15">
        <f>IF(A235&lt;=1,0,P234)</f>
        <v/>
      </c>
      <c r="R235" s="15">
        <f>IF(A235&lt;=1,0,Q234)</f>
        <v/>
      </c>
      <c r="S235" s="15">
        <f>IF(A235&lt;=1,0,R234)</f>
        <v/>
      </c>
      <c r="T235" s="15">
        <f>IF(A235&lt;=1,0,S234)</f>
        <v/>
      </c>
      <c r="U235" s="15">
        <f>IF(A235&lt;=1,0,T234)</f>
        <v/>
      </c>
      <c r="V235" s="15">
        <f>IF(A235&lt;=1,0,U234)</f>
        <v/>
      </c>
      <c r="W235" s="15">
        <f>IF(A235&lt;=1,0,V234)</f>
        <v/>
      </c>
      <c r="X235" s="15">
        <f>IF(A235&lt;=1,0,W234)</f>
        <v/>
      </c>
      <c r="Y235" s="15">
        <f>IF(A235&lt;=1,0,X234)</f>
        <v/>
      </c>
      <c r="Z235" s="15">
        <f>IF(A235&lt;=1,0,Y234)</f>
        <v/>
      </c>
      <c r="AA235" s="15">
        <f>IF(A235&lt;=1,0,Z234)</f>
        <v/>
      </c>
    </row>
    <row r="236">
      <c r="A236" s="55" t="n">
        <v>230</v>
      </c>
      <c r="B236" s="15">
        <f>IF(A236&gt;Inputs!$C$62,"",INDEX(Trajectory!$G$23:$G$2000,A236))</f>
        <v/>
      </c>
      <c r="C236" s="15">
        <f>IF(B236="","",IF(A236&lt;=Inputs!$C$75,INDEX(Trajectory!$G$23:$G$2000,1),INDEX(Trajectory!$G$23:$G$2000,MAX(1,A236-Inputs!$C$75))))</f>
        <v/>
      </c>
      <c r="D236" s="15">
        <f>IF(C236="","",MAX(Inputs!$C$76,CEILING(C236/(Inputs!$C$42*Inputs!$C$92),1)))</f>
        <v/>
      </c>
      <c r="E236" s="15">
        <f>IF(D236="","",MAX(E235,D236))</f>
        <v/>
      </c>
      <c r="F236" s="15">
        <f>E236-E235</f>
        <v/>
      </c>
      <c r="G236" s="12">
        <f>IF(E236="",1,IF(E236=0,1,(E236-SUM(L236:AA236)+SUMPRODUCT(L236:AA236,$N$5:$N$20))/E236))</f>
        <v/>
      </c>
      <c r="H236" s="14">
        <f>IF(E236="",0,E236*G236)</f>
        <v/>
      </c>
      <c r="I236" s="15">
        <f>IF(H236="",0,H236*Inputs!$C$42)</f>
        <v/>
      </c>
      <c r="J236" s="14">
        <f>IF(E236="",1,1 + (Inputs!$C$95-1)*IF((1-Inputs!$C$94)=0,0,(1-G236)/(1-Inputs!$C$94)))</f>
        <v/>
      </c>
      <c r="K236" s="12">
        <f>IF(I236=0,"",B236/I236)</f>
        <v/>
      </c>
      <c r="L236" s="15">
        <f>IF(F236="",0,F236)</f>
        <v/>
      </c>
      <c r="M236" s="15">
        <f>IF(A236&lt;=1,0,L235)</f>
        <v/>
      </c>
      <c r="N236" s="15">
        <f>IF(A236&lt;=1,0,M235)</f>
        <v/>
      </c>
      <c r="O236" s="15">
        <f>IF(A236&lt;=1,0,N235)</f>
        <v/>
      </c>
      <c r="P236" s="15">
        <f>IF(A236&lt;=1,0,O235)</f>
        <v/>
      </c>
      <c r="Q236" s="15">
        <f>IF(A236&lt;=1,0,P235)</f>
        <v/>
      </c>
      <c r="R236" s="15">
        <f>IF(A236&lt;=1,0,Q235)</f>
        <v/>
      </c>
      <c r="S236" s="15">
        <f>IF(A236&lt;=1,0,R235)</f>
        <v/>
      </c>
      <c r="T236" s="15">
        <f>IF(A236&lt;=1,0,S235)</f>
        <v/>
      </c>
      <c r="U236" s="15">
        <f>IF(A236&lt;=1,0,T235)</f>
        <v/>
      </c>
      <c r="V236" s="15">
        <f>IF(A236&lt;=1,0,U235)</f>
        <v/>
      </c>
      <c r="W236" s="15">
        <f>IF(A236&lt;=1,0,V235)</f>
        <v/>
      </c>
      <c r="X236" s="15">
        <f>IF(A236&lt;=1,0,W235)</f>
        <v/>
      </c>
      <c r="Y236" s="15">
        <f>IF(A236&lt;=1,0,X235)</f>
        <v/>
      </c>
      <c r="Z236" s="15">
        <f>IF(A236&lt;=1,0,Y235)</f>
        <v/>
      </c>
      <c r="AA236" s="15">
        <f>IF(A236&lt;=1,0,Z235)</f>
        <v/>
      </c>
    </row>
    <row r="237">
      <c r="A237" s="55" t="n">
        <v>231</v>
      </c>
      <c r="B237" s="15">
        <f>IF(A237&gt;Inputs!$C$62,"",INDEX(Trajectory!$G$23:$G$2000,A237))</f>
        <v/>
      </c>
      <c r="C237" s="15">
        <f>IF(B237="","",IF(A237&lt;=Inputs!$C$75,INDEX(Trajectory!$G$23:$G$2000,1),INDEX(Trajectory!$G$23:$G$2000,MAX(1,A237-Inputs!$C$75))))</f>
        <v/>
      </c>
      <c r="D237" s="15">
        <f>IF(C237="","",MAX(Inputs!$C$76,CEILING(C237/(Inputs!$C$42*Inputs!$C$92),1)))</f>
        <v/>
      </c>
      <c r="E237" s="15">
        <f>IF(D237="","",MAX(E236,D237))</f>
        <v/>
      </c>
      <c r="F237" s="15">
        <f>E237-E236</f>
        <v/>
      </c>
      <c r="G237" s="12">
        <f>IF(E237="",1,IF(E237=0,1,(E237-SUM(L237:AA237)+SUMPRODUCT(L237:AA237,$N$5:$N$20))/E237))</f>
        <v/>
      </c>
      <c r="H237" s="14">
        <f>IF(E237="",0,E237*G237)</f>
        <v/>
      </c>
      <c r="I237" s="15">
        <f>IF(H237="",0,H237*Inputs!$C$42)</f>
        <v/>
      </c>
      <c r="J237" s="14">
        <f>IF(E237="",1,1 + (Inputs!$C$95-1)*IF((1-Inputs!$C$94)=0,0,(1-G237)/(1-Inputs!$C$94)))</f>
        <v/>
      </c>
      <c r="K237" s="12">
        <f>IF(I237=0,"",B237/I237)</f>
        <v/>
      </c>
      <c r="L237" s="15">
        <f>IF(F237="",0,F237)</f>
        <v/>
      </c>
      <c r="M237" s="15">
        <f>IF(A237&lt;=1,0,L236)</f>
        <v/>
      </c>
      <c r="N237" s="15">
        <f>IF(A237&lt;=1,0,M236)</f>
        <v/>
      </c>
      <c r="O237" s="15">
        <f>IF(A237&lt;=1,0,N236)</f>
        <v/>
      </c>
      <c r="P237" s="15">
        <f>IF(A237&lt;=1,0,O236)</f>
        <v/>
      </c>
      <c r="Q237" s="15">
        <f>IF(A237&lt;=1,0,P236)</f>
        <v/>
      </c>
      <c r="R237" s="15">
        <f>IF(A237&lt;=1,0,Q236)</f>
        <v/>
      </c>
      <c r="S237" s="15">
        <f>IF(A237&lt;=1,0,R236)</f>
        <v/>
      </c>
      <c r="T237" s="15">
        <f>IF(A237&lt;=1,0,S236)</f>
        <v/>
      </c>
      <c r="U237" s="15">
        <f>IF(A237&lt;=1,0,T236)</f>
        <v/>
      </c>
      <c r="V237" s="15">
        <f>IF(A237&lt;=1,0,U236)</f>
        <v/>
      </c>
      <c r="W237" s="15">
        <f>IF(A237&lt;=1,0,V236)</f>
        <v/>
      </c>
      <c r="X237" s="15">
        <f>IF(A237&lt;=1,0,W236)</f>
        <v/>
      </c>
      <c r="Y237" s="15">
        <f>IF(A237&lt;=1,0,X236)</f>
        <v/>
      </c>
      <c r="Z237" s="15">
        <f>IF(A237&lt;=1,0,Y236)</f>
        <v/>
      </c>
      <c r="AA237" s="15">
        <f>IF(A237&lt;=1,0,Z236)</f>
        <v/>
      </c>
    </row>
    <row r="238">
      <c r="A238" s="55" t="n">
        <v>232</v>
      </c>
      <c r="B238" s="15">
        <f>IF(A238&gt;Inputs!$C$62,"",INDEX(Trajectory!$G$23:$G$2000,A238))</f>
        <v/>
      </c>
      <c r="C238" s="15">
        <f>IF(B238="","",IF(A238&lt;=Inputs!$C$75,INDEX(Trajectory!$G$23:$G$2000,1),INDEX(Trajectory!$G$23:$G$2000,MAX(1,A238-Inputs!$C$75))))</f>
        <v/>
      </c>
      <c r="D238" s="15">
        <f>IF(C238="","",MAX(Inputs!$C$76,CEILING(C238/(Inputs!$C$42*Inputs!$C$92),1)))</f>
        <v/>
      </c>
      <c r="E238" s="15">
        <f>IF(D238="","",MAX(E237,D238))</f>
        <v/>
      </c>
      <c r="F238" s="15">
        <f>E238-E237</f>
        <v/>
      </c>
      <c r="G238" s="12">
        <f>IF(E238="",1,IF(E238=0,1,(E238-SUM(L238:AA238)+SUMPRODUCT(L238:AA238,$N$5:$N$20))/E238))</f>
        <v/>
      </c>
      <c r="H238" s="14">
        <f>IF(E238="",0,E238*G238)</f>
        <v/>
      </c>
      <c r="I238" s="15">
        <f>IF(H238="",0,H238*Inputs!$C$42)</f>
        <v/>
      </c>
      <c r="J238" s="14">
        <f>IF(E238="",1,1 + (Inputs!$C$95-1)*IF((1-Inputs!$C$94)=0,0,(1-G238)/(1-Inputs!$C$94)))</f>
        <v/>
      </c>
      <c r="K238" s="12">
        <f>IF(I238=0,"",B238/I238)</f>
        <v/>
      </c>
      <c r="L238" s="15">
        <f>IF(F238="",0,F238)</f>
        <v/>
      </c>
      <c r="M238" s="15">
        <f>IF(A238&lt;=1,0,L237)</f>
        <v/>
      </c>
      <c r="N238" s="15">
        <f>IF(A238&lt;=1,0,M237)</f>
        <v/>
      </c>
      <c r="O238" s="15">
        <f>IF(A238&lt;=1,0,N237)</f>
        <v/>
      </c>
      <c r="P238" s="15">
        <f>IF(A238&lt;=1,0,O237)</f>
        <v/>
      </c>
      <c r="Q238" s="15">
        <f>IF(A238&lt;=1,0,P237)</f>
        <v/>
      </c>
      <c r="R238" s="15">
        <f>IF(A238&lt;=1,0,Q237)</f>
        <v/>
      </c>
      <c r="S238" s="15">
        <f>IF(A238&lt;=1,0,R237)</f>
        <v/>
      </c>
      <c r="T238" s="15">
        <f>IF(A238&lt;=1,0,S237)</f>
        <v/>
      </c>
      <c r="U238" s="15">
        <f>IF(A238&lt;=1,0,T237)</f>
        <v/>
      </c>
      <c r="V238" s="15">
        <f>IF(A238&lt;=1,0,U237)</f>
        <v/>
      </c>
      <c r="W238" s="15">
        <f>IF(A238&lt;=1,0,V237)</f>
        <v/>
      </c>
      <c r="X238" s="15">
        <f>IF(A238&lt;=1,0,W237)</f>
        <v/>
      </c>
      <c r="Y238" s="15">
        <f>IF(A238&lt;=1,0,X237)</f>
        <v/>
      </c>
      <c r="Z238" s="15">
        <f>IF(A238&lt;=1,0,Y237)</f>
        <v/>
      </c>
      <c r="AA238" s="15">
        <f>IF(A238&lt;=1,0,Z237)</f>
        <v/>
      </c>
    </row>
    <row r="239">
      <c r="A239" s="55" t="n">
        <v>233</v>
      </c>
      <c r="B239" s="15">
        <f>IF(A239&gt;Inputs!$C$62,"",INDEX(Trajectory!$G$23:$G$2000,A239))</f>
        <v/>
      </c>
      <c r="C239" s="15">
        <f>IF(B239="","",IF(A239&lt;=Inputs!$C$75,INDEX(Trajectory!$G$23:$G$2000,1),INDEX(Trajectory!$G$23:$G$2000,MAX(1,A239-Inputs!$C$75))))</f>
        <v/>
      </c>
      <c r="D239" s="15">
        <f>IF(C239="","",MAX(Inputs!$C$76,CEILING(C239/(Inputs!$C$42*Inputs!$C$92),1)))</f>
        <v/>
      </c>
      <c r="E239" s="15">
        <f>IF(D239="","",MAX(E238,D239))</f>
        <v/>
      </c>
      <c r="F239" s="15">
        <f>E239-E238</f>
        <v/>
      </c>
      <c r="G239" s="12">
        <f>IF(E239="",1,IF(E239=0,1,(E239-SUM(L239:AA239)+SUMPRODUCT(L239:AA239,$N$5:$N$20))/E239))</f>
        <v/>
      </c>
      <c r="H239" s="14">
        <f>IF(E239="",0,E239*G239)</f>
        <v/>
      </c>
      <c r="I239" s="15">
        <f>IF(H239="",0,H239*Inputs!$C$42)</f>
        <v/>
      </c>
      <c r="J239" s="14">
        <f>IF(E239="",1,1 + (Inputs!$C$95-1)*IF((1-Inputs!$C$94)=0,0,(1-G239)/(1-Inputs!$C$94)))</f>
        <v/>
      </c>
      <c r="K239" s="12">
        <f>IF(I239=0,"",B239/I239)</f>
        <v/>
      </c>
      <c r="L239" s="15">
        <f>IF(F239="",0,F239)</f>
        <v/>
      </c>
      <c r="M239" s="15">
        <f>IF(A239&lt;=1,0,L238)</f>
        <v/>
      </c>
      <c r="N239" s="15">
        <f>IF(A239&lt;=1,0,M238)</f>
        <v/>
      </c>
      <c r="O239" s="15">
        <f>IF(A239&lt;=1,0,N238)</f>
        <v/>
      </c>
      <c r="P239" s="15">
        <f>IF(A239&lt;=1,0,O238)</f>
        <v/>
      </c>
      <c r="Q239" s="15">
        <f>IF(A239&lt;=1,0,P238)</f>
        <v/>
      </c>
      <c r="R239" s="15">
        <f>IF(A239&lt;=1,0,Q238)</f>
        <v/>
      </c>
      <c r="S239" s="15">
        <f>IF(A239&lt;=1,0,R238)</f>
        <v/>
      </c>
      <c r="T239" s="15">
        <f>IF(A239&lt;=1,0,S238)</f>
        <v/>
      </c>
      <c r="U239" s="15">
        <f>IF(A239&lt;=1,0,T238)</f>
        <v/>
      </c>
      <c r="V239" s="15">
        <f>IF(A239&lt;=1,0,U238)</f>
        <v/>
      </c>
      <c r="W239" s="15">
        <f>IF(A239&lt;=1,0,V238)</f>
        <v/>
      </c>
      <c r="X239" s="15">
        <f>IF(A239&lt;=1,0,W238)</f>
        <v/>
      </c>
      <c r="Y239" s="15">
        <f>IF(A239&lt;=1,0,X238)</f>
        <v/>
      </c>
      <c r="Z239" s="15">
        <f>IF(A239&lt;=1,0,Y238)</f>
        <v/>
      </c>
      <c r="AA239" s="15">
        <f>IF(A239&lt;=1,0,Z238)</f>
        <v/>
      </c>
    </row>
    <row r="240">
      <c r="A240" s="55" t="n">
        <v>234</v>
      </c>
      <c r="B240" s="15">
        <f>IF(A240&gt;Inputs!$C$62,"",INDEX(Trajectory!$G$23:$G$2000,A240))</f>
        <v/>
      </c>
      <c r="C240" s="15">
        <f>IF(B240="","",IF(A240&lt;=Inputs!$C$75,INDEX(Trajectory!$G$23:$G$2000,1),INDEX(Trajectory!$G$23:$G$2000,MAX(1,A240-Inputs!$C$75))))</f>
        <v/>
      </c>
      <c r="D240" s="15">
        <f>IF(C240="","",MAX(Inputs!$C$76,CEILING(C240/(Inputs!$C$42*Inputs!$C$92),1)))</f>
        <v/>
      </c>
      <c r="E240" s="15">
        <f>IF(D240="","",MAX(E239,D240))</f>
        <v/>
      </c>
      <c r="F240" s="15">
        <f>E240-E239</f>
        <v/>
      </c>
      <c r="G240" s="12">
        <f>IF(E240="",1,IF(E240=0,1,(E240-SUM(L240:AA240)+SUMPRODUCT(L240:AA240,$N$5:$N$20))/E240))</f>
        <v/>
      </c>
      <c r="H240" s="14">
        <f>IF(E240="",0,E240*G240)</f>
        <v/>
      </c>
      <c r="I240" s="15">
        <f>IF(H240="",0,H240*Inputs!$C$42)</f>
        <v/>
      </c>
      <c r="J240" s="14">
        <f>IF(E240="",1,1 + (Inputs!$C$95-1)*IF((1-Inputs!$C$94)=0,0,(1-G240)/(1-Inputs!$C$94)))</f>
        <v/>
      </c>
      <c r="K240" s="12">
        <f>IF(I240=0,"",B240/I240)</f>
        <v/>
      </c>
      <c r="L240" s="15">
        <f>IF(F240="",0,F240)</f>
        <v/>
      </c>
      <c r="M240" s="15">
        <f>IF(A240&lt;=1,0,L239)</f>
        <v/>
      </c>
      <c r="N240" s="15">
        <f>IF(A240&lt;=1,0,M239)</f>
        <v/>
      </c>
      <c r="O240" s="15">
        <f>IF(A240&lt;=1,0,N239)</f>
        <v/>
      </c>
      <c r="P240" s="15">
        <f>IF(A240&lt;=1,0,O239)</f>
        <v/>
      </c>
      <c r="Q240" s="15">
        <f>IF(A240&lt;=1,0,P239)</f>
        <v/>
      </c>
      <c r="R240" s="15">
        <f>IF(A240&lt;=1,0,Q239)</f>
        <v/>
      </c>
      <c r="S240" s="15">
        <f>IF(A240&lt;=1,0,R239)</f>
        <v/>
      </c>
      <c r="T240" s="15">
        <f>IF(A240&lt;=1,0,S239)</f>
        <v/>
      </c>
      <c r="U240" s="15">
        <f>IF(A240&lt;=1,0,T239)</f>
        <v/>
      </c>
      <c r="V240" s="15">
        <f>IF(A240&lt;=1,0,U239)</f>
        <v/>
      </c>
      <c r="W240" s="15">
        <f>IF(A240&lt;=1,0,V239)</f>
        <v/>
      </c>
      <c r="X240" s="15">
        <f>IF(A240&lt;=1,0,W239)</f>
        <v/>
      </c>
      <c r="Y240" s="15">
        <f>IF(A240&lt;=1,0,X239)</f>
        <v/>
      </c>
      <c r="Z240" s="15">
        <f>IF(A240&lt;=1,0,Y239)</f>
        <v/>
      </c>
      <c r="AA240" s="15">
        <f>IF(A240&lt;=1,0,Z239)</f>
        <v/>
      </c>
    </row>
    <row r="241">
      <c r="A241" s="55" t="n">
        <v>235</v>
      </c>
      <c r="B241" s="15">
        <f>IF(A241&gt;Inputs!$C$62,"",INDEX(Trajectory!$G$23:$G$2000,A241))</f>
        <v/>
      </c>
      <c r="C241" s="15">
        <f>IF(B241="","",IF(A241&lt;=Inputs!$C$75,INDEX(Trajectory!$G$23:$G$2000,1),INDEX(Trajectory!$G$23:$G$2000,MAX(1,A241-Inputs!$C$75))))</f>
        <v/>
      </c>
      <c r="D241" s="15">
        <f>IF(C241="","",MAX(Inputs!$C$76,CEILING(C241/(Inputs!$C$42*Inputs!$C$92),1)))</f>
        <v/>
      </c>
      <c r="E241" s="15">
        <f>IF(D241="","",MAX(E240,D241))</f>
        <v/>
      </c>
      <c r="F241" s="15">
        <f>E241-E240</f>
        <v/>
      </c>
      <c r="G241" s="12">
        <f>IF(E241="",1,IF(E241=0,1,(E241-SUM(L241:AA241)+SUMPRODUCT(L241:AA241,$N$5:$N$20))/E241))</f>
        <v/>
      </c>
      <c r="H241" s="14">
        <f>IF(E241="",0,E241*G241)</f>
        <v/>
      </c>
      <c r="I241" s="15">
        <f>IF(H241="",0,H241*Inputs!$C$42)</f>
        <v/>
      </c>
      <c r="J241" s="14">
        <f>IF(E241="",1,1 + (Inputs!$C$95-1)*IF((1-Inputs!$C$94)=0,0,(1-G241)/(1-Inputs!$C$94)))</f>
        <v/>
      </c>
      <c r="K241" s="12">
        <f>IF(I241=0,"",B241/I241)</f>
        <v/>
      </c>
      <c r="L241" s="15">
        <f>IF(F241="",0,F241)</f>
        <v/>
      </c>
      <c r="M241" s="15">
        <f>IF(A241&lt;=1,0,L240)</f>
        <v/>
      </c>
      <c r="N241" s="15">
        <f>IF(A241&lt;=1,0,M240)</f>
        <v/>
      </c>
      <c r="O241" s="15">
        <f>IF(A241&lt;=1,0,N240)</f>
        <v/>
      </c>
      <c r="P241" s="15">
        <f>IF(A241&lt;=1,0,O240)</f>
        <v/>
      </c>
      <c r="Q241" s="15">
        <f>IF(A241&lt;=1,0,P240)</f>
        <v/>
      </c>
      <c r="R241" s="15">
        <f>IF(A241&lt;=1,0,Q240)</f>
        <v/>
      </c>
      <c r="S241" s="15">
        <f>IF(A241&lt;=1,0,R240)</f>
        <v/>
      </c>
      <c r="T241" s="15">
        <f>IF(A241&lt;=1,0,S240)</f>
        <v/>
      </c>
      <c r="U241" s="15">
        <f>IF(A241&lt;=1,0,T240)</f>
        <v/>
      </c>
      <c r="V241" s="15">
        <f>IF(A241&lt;=1,0,U240)</f>
        <v/>
      </c>
      <c r="W241" s="15">
        <f>IF(A241&lt;=1,0,V240)</f>
        <v/>
      </c>
      <c r="X241" s="15">
        <f>IF(A241&lt;=1,0,W240)</f>
        <v/>
      </c>
      <c r="Y241" s="15">
        <f>IF(A241&lt;=1,0,X240)</f>
        <v/>
      </c>
      <c r="Z241" s="15">
        <f>IF(A241&lt;=1,0,Y240)</f>
        <v/>
      </c>
      <c r="AA241" s="15">
        <f>IF(A241&lt;=1,0,Z240)</f>
        <v/>
      </c>
    </row>
    <row r="242">
      <c r="A242" s="55" t="n">
        <v>236</v>
      </c>
      <c r="B242" s="15">
        <f>IF(A242&gt;Inputs!$C$62,"",INDEX(Trajectory!$G$23:$G$2000,A242))</f>
        <v/>
      </c>
      <c r="C242" s="15">
        <f>IF(B242="","",IF(A242&lt;=Inputs!$C$75,INDEX(Trajectory!$G$23:$G$2000,1),INDEX(Trajectory!$G$23:$G$2000,MAX(1,A242-Inputs!$C$75))))</f>
        <v/>
      </c>
      <c r="D242" s="15">
        <f>IF(C242="","",MAX(Inputs!$C$76,CEILING(C242/(Inputs!$C$42*Inputs!$C$92),1)))</f>
        <v/>
      </c>
      <c r="E242" s="15">
        <f>IF(D242="","",MAX(E241,D242))</f>
        <v/>
      </c>
      <c r="F242" s="15">
        <f>E242-E241</f>
        <v/>
      </c>
      <c r="G242" s="12">
        <f>IF(E242="",1,IF(E242=0,1,(E242-SUM(L242:AA242)+SUMPRODUCT(L242:AA242,$N$5:$N$20))/E242))</f>
        <v/>
      </c>
      <c r="H242" s="14">
        <f>IF(E242="",0,E242*G242)</f>
        <v/>
      </c>
      <c r="I242" s="15">
        <f>IF(H242="",0,H242*Inputs!$C$42)</f>
        <v/>
      </c>
      <c r="J242" s="14">
        <f>IF(E242="",1,1 + (Inputs!$C$95-1)*IF((1-Inputs!$C$94)=0,0,(1-G242)/(1-Inputs!$C$94)))</f>
        <v/>
      </c>
      <c r="K242" s="12">
        <f>IF(I242=0,"",B242/I242)</f>
        <v/>
      </c>
      <c r="L242" s="15">
        <f>IF(F242="",0,F242)</f>
        <v/>
      </c>
      <c r="M242" s="15">
        <f>IF(A242&lt;=1,0,L241)</f>
        <v/>
      </c>
      <c r="N242" s="15">
        <f>IF(A242&lt;=1,0,M241)</f>
        <v/>
      </c>
      <c r="O242" s="15">
        <f>IF(A242&lt;=1,0,N241)</f>
        <v/>
      </c>
      <c r="P242" s="15">
        <f>IF(A242&lt;=1,0,O241)</f>
        <v/>
      </c>
      <c r="Q242" s="15">
        <f>IF(A242&lt;=1,0,P241)</f>
        <v/>
      </c>
      <c r="R242" s="15">
        <f>IF(A242&lt;=1,0,Q241)</f>
        <v/>
      </c>
      <c r="S242" s="15">
        <f>IF(A242&lt;=1,0,R241)</f>
        <v/>
      </c>
      <c r="T242" s="15">
        <f>IF(A242&lt;=1,0,S241)</f>
        <v/>
      </c>
      <c r="U242" s="15">
        <f>IF(A242&lt;=1,0,T241)</f>
        <v/>
      </c>
      <c r="V242" s="15">
        <f>IF(A242&lt;=1,0,U241)</f>
        <v/>
      </c>
      <c r="W242" s="15">
        <f>IF(A242&lt;=1,0,V241)</f>
        <v/>
      </c>
      <c r="X242" s="15">
        <f>IF(A242&lt;=1,0,W241)</f>
        <v/>
      </c>
      <c r="Y242" s="15">
        <f>IF(A242&lt;=1,0,X241)</f>
        <v/>
      </c>
      <c r="Z242" s="15">
        <f>IF(A242&lt;=1,0,Y241)</f>
        <v/>
      </c>
      <c r="AA242" s="15">
        <f>IF(A242&lt;=1,0,Z241)</f>
        <v/>
      </c>
    </row>
    <row r="243">
      <c r="A243" s="55" t="n">
        <v>237</v>
      </c>
      <c r="B243" s="15">
        <f>IF(A243&gt;Inputs!$C$62,"",INDEX(Trajectory!$G$23:$G$2000,A243))</f>
        <v/>
      </c>
      <c r="C243" s="15">
        <f>IF(B243="","",IF(A243&lt;=Inputs!$C$75,INDEX(Trajectory!$G$23:$G$2000,1),INDEX(Trajectory!$G$23:$G$2000,MAX(1,A243-Inputs!$C$75))))</f>
        <v/>
      </c>
      <c r="D243" s="15">
        <f>IF(C243="","",MAX(Inputs!$C$76,CEILING(C243/(Inputs!$C$42*Inputs!$C$92),1)))</f>
        <v/>
      </c>
      <c r="E243" s="15">
        <f>IF(D243="","",MAX(E242,D243))</f>
        <v/>
      </c>
      <c r="F243" s="15">
        <f>E243-E242</f>
        <v/>
      </c>
      <c r="G243" s="12">
        <f>IF(E243="",1,IF(E243=0,1,(E243-SUM(L243:AA243)+SUMPRODUCT(L243:AA243,$N$5:$N$20))/E243))</f>
        <v/>
      </c>
      <c r="H243" s="14">
        <f>IF(E243="",0,E243*G243)</f>
        <v/>
      </c>
      <c r="I243" s="15">
        <f>IF(H243="",0,H243*Inputs!$C$42)</f>
        <v/>
      </c>
      <c r="J243" s="14">
        <f>IF(E243="",1,1 + (Inputs!$C$95-1)*IF((1-Inputs!$C$94)=0,0,(1-G243)/(1-Inputs!$C$94)))</f>
        <v/>
      </c>
      <c r="K243" s="12">
        <f>IF(I243=0,"",B243/I243)</f>
        <v/>
      </c>
      <c r="L243" s="15">
        <f>IF(F243="",0,F243)</f>
        <v/>
      </c>
      <c r="M243" s="15">
        <f>IF(A243&lt;=1,0,L242)</f>
        <v/>
      </c>
      <c r="N243" s="15">
        <f>IF(A243&lt;=1,0,M242)</f>
        <v/>
      </c>
      <c r="O243" s="15">
        <f>IF(A243&lt;=1,0,N242)</f>
        <v/>
      </c>
      <c r="P243" s="15">
        <f>IF(A243&lt;=1,0,O242)</f>
        <v/>
      </c>
      <c r="Q243" s="15">
        <f>IF(A243&lt;=1,0,P242)</f>
        <v/>
      </c>
      <c r="R243" s="15">
        <f>IF(A243&lt;=1,0,Q242)</f>
        <v/>
      </c>
      <c r="S243" s="15">
        <f>IF(A243&lt;=1,0,R242)</f>
        <v/>
      </c>
      <c r="T243" s="15">
        <f>IF(A243&lt;=1,0,S242)</f>
        <v/>
      </c>
      <c r="U243" s="15">
        <f>IF(A243&lt;=1,0,T242)</f>
        <v/>
      </c>
      <c r="V243" s="15">
        <f>IF(A243&lt;=1,0,U242)</f>
        <v/>
      </c>
      <c r="W243" s="15">
        <f>IF(A243&lt;=1,0,V242)</f>
        <v/>
      </c>
      <c r="X243" s="15">
        <f>IF(A243&lt;=1,0,W242)</f>
        <v/>
      </c>
      <c r="Y243" s="15">
        <f>IF(A243&lt;=1,0,X242)</f>
        <v/>
      </c>
      <c r="Z243" s="15">
        <f>IF(A243&lt;=1,0,Y242)</f>
        <v/>
      </c>
      <c r="AA243" s="15">
        <f>IF(A243&lt;=1,0,Z242)</f>
        <v/>
      </c>
    </row>
    <row r="244">
      <c r="A244" s="55" t="n">
        <v>238</v>
      </c>
      <c r="B244" s="15">
        <f>IF(A244&gt;Inputs!$C$62,"",INDEX(Trajectory!$G$23:$G$2000,A244))</f>
        <v/>
      </c>
      <c r="C244" s="15">
        <f>IF(B244="","",IF(A244&lt;=Inputs!$C$75,INDEX(Trajectory!$G$23:$G$2000,1),INDEX(Trajectory!$G$23:$G$2000,MAX(1,A244-Inputs!$C$75))))</f>
        <v/>
      </c>
      <c r="D244" s="15">
        <f>IF(C244="","",MAX(Inputs!$C$76,CEILING(C244/(Inputs!$C$42*Inputs!$C$92),1)))</f>
        <v/>
      </c>
      <c r="E244" s="15">
        <f>IF(D244="","",MAX(E243,D244))</f>
        <v/>
      </c>
      <c r="F244" s="15">
        <f>E244-E243</f>
        <v/>
      </c>
      <c r="G244" s="12">
        <f>IF(E244="",1,IF(E244=0,1,(E244-SUM(L244:AA244)+SUMPRODUCT(L244:AA244,$N$5:$N$20))/E244))</f>
        <v/>
      </c>
      <c r="H244" s="14">
        <f>IF(E244="",0,E244*G244)</f>
        <v/>
      </c>
      <c r="I244" s="15">
        <f>IF(H244="",0,H244*Inputs!$C$42)</f>
        <v/>
      </c>
      <c r="J244" s="14">
        <f>IF(E244="",1,1 + (Inputs!$C$95-1)*IF((1-Inputs!$C$94)=0,0,(1-G244)/(1-Inputs!$C$94)))</f>
        <v/>
      </c>
      <c r="K244" s="12">
        <f>IF(I244=0,"",B244/I244)</f>
        <v/>
      </c>
      <c r="L244" s="15">
        <f>IF(F244="",0,F244)</f>
        <v/>
      </c>
      <c r="M244" s="15">
        <f>IF(A244&lt;=1,0,L243)</f>
        <v/>
      </c>
      <c r="N244" s="15">
        <f>IF(A244&lt;=1,0,M243)</f>
        <v/>
      </c>
      <c r="O244" s="15">
        <f>IF(A244&lt;=1,0,N243)</f>
        <v/>
      </c>
      <c r="P244" s="15">
        <f>IF(A244&lt;=1,0,O243)</f>
        <v/>
      </c>
      <c r="Q244" s="15">
        <f>IF(A244&lt;=1,0,P243)</f>
        <v/>
      </c>
      <c r="R244" s="15">
        <f>IF(A244&lt;=1,0,Q243)</f>
        <v/>
      </c>
      <c r="S244" s="15">
        <f>IF(A244&lt;=1,0,R243)</f>
        <v/>
      </c>
      <c r="T244" s="15">
        <f>IF(A244&lt;=1,0,S243)</f>
        <v/>
      </c>
      <c r="U244" s="15">
        <f>IF(A244&lt;=1,0,T243)</f>
        <v/>
      </c>
      <c r="V244" s="15">
        <f>IF(A244&lt;=1,0,U243)</f>
        <v/>
      </c>
      <c r="W244" s="15">
        <f>IF(A244&lt;=1,0,V243)</f>
        <v/>
      </c>
      <c r="X244" s="15">
        <f>IF(A244&lt;=1,0,W243)</f>
        <v/>
      </c>
      <c r="Y244" s="15">
        <f>IF(A244&lt;=1,0,X243)</f>
        <v/>
      </c>
      <c r="Z244" s="15">
        <f>IF(A244&lt;=1,0,Y243)</f>
        <v/>
      </c>
      <c r="AA244" s="15">
        <f>IF(A244&lt;=1,0,Z243)</f>
        <v/>
      </c>
    </row>
    <row r="245">
      <c r="A245" s="55" t="n">
        <v>239</v>
      </c>
      <c r="B245" s="15">
        <f>IF(A245&gt;Inputs!$C$62,"",INDEX(Trajectory!$G$23:$G$2000,A245))</f>
        <v/>
      </c>
      <c r="C245" s="15">
        <f>IF(B245="","",IF(A245&lt;=Inputs!$C$75,INDEX(Trajectory!$G$23:$G$2000,1),INDEX(Trajectory!$G$23:$G$2000,MAX(1,A245-Inputs!$C$75))))</f>
        <v/>
      </c>
      <c r="D245" s="15">
        <f>IF(C245="","",MAX(Inputs!$C$76,CEILING(C245/(Inputs!$C$42*Inputs!$C$92),1)))</f>
        <v/>
      </c>
      <c r="E245" s="15">
        <f>IF(D245="","",MAX(E244,D245))</f>
        <v/>
      </c>
      <c r="F245" s="15">
        <f>E245-E244</f>
        <v/>
      </c>
      <c r="G245" s="12">
        <f>IF(E245="",1,IF(E245=0,1,(E245-SUM(L245:AA245)+SUMPRODUCT(L245:AA245,$N$5:$N$20))/E245))</f>
        <v/>
      </c>
      <c r="H245" s="14">
        <f>IF(E245="",0,E245*G245)</f>
        <v/>
      </c>
      <c r="I245" s="15">
        <f>IF(H245="",0,H245*Inputs!$C$42)</f>
        <v/>
      </c>
      <c r="J245" s="14">
        <f>IF(E245="",1,1 + (Inputs!$C$95-1)*IF((1-Inputs!$C$94)=0,0,(1-G245)/(1-Inputs!$C$94)))</f>
        <v/>
      </c>
      <c r="K245" s="12">
        <f>IF(I245=0,"",B245/I245)</f>
        <v/>
      </c>
      <c r="L245" s="15">
        <f>IF(F245="",0,F245)</f>
        <v/>
      </c>
      <c r="M245" s="15">
        <f>IF(A245&lt;=1,0,L244)</f>
        <v/>
      </c>
      <c r="N245" s="15">
        <f>IF(A245&lt;=1,0,M244)</f>
        <v/>
      </c>
      <c r="O245" s="15">
        <f>IF(A245&lt;=1,0,N244)</f>
        <v/>
      </c>
      <c r="P245" s="15">
        <f>IF(A245&lt;=1,0,O244)</f>
        <v/>
      </c>
      <c r="Q245" s="15">
        <f>IF(A245&lt;=1,0,P244)</f>
        <v/>
      </c>
      <c r="R245" s="15">
        <f>IF(A245&lt;=1,0,Q244)</f>
        <v/>
      </c>
      <c r="S245" s="15">
        <f>IF(A245&lt;=1,0,R244)</f>
        <v/>
      </c>
      <c r="T245" s="15">
        <f>IF(A245&lt;=1,0,S244)</f>
        <v/>
      </c>
      <c r="U245" s="15">
        <f>IF(A245&lt;=1,0,T244)</f>
        <v/>
      </c>
      <c r="V245" s="15">
        <f>IF(A245&lt;=1,0,U244)</f>
        <v/>
      </c>
      <c r="W245" s="15">
        <f>IF(A245&lt;=1,0,V244)</f>
        <v/>
      </c>
      <c r="X245" s="15">
        <f>IF(A245&lt;=1,0,W244)</f>
        <v/>
      </c>
      <c r="Y245" s="15">
        <f>IF(A245&lt;=1,0,X244)</f>
        <v/>
      </c>
      <c r="Z245" s="15">
        <f>IF(A245&lt;=1,0,Y244)</f>
        <v/>
      </c>
      <c r="AA245" s="15">
        <f>IF(A245&lt;=1,0,Z244)</f>
        <v/>
      </c>
    </row>
    <row r="246">
      <c r="A246" s="55" t="n">
        <v>240</v>
      </c>
      <c r="B246" s="15">
        <f>IF(A246&gt;Inputs!$C$62,"",INDEX(Trajectory!$G$23:$G$2000,A246))</f>
        <v/>
      </c>
      <c r="C246" s="15">
        <f>IF(B246="","",IF(A246&lt;=Inputs!$C$75,INDEX(Trajectory!$G$23:$G$2000,1),INDEX(Trajectory!$G$23:$G$2000,MAX(1,A246-Inputs!$C$75))))</f>
        <v/>
      </c>
      <c r="D246" s="15">
        <f>IF(C246="","",MAX(Inputs!$C$76,CEILING(C246/(Inputs!$C$42*Inputs!$C$92),1)))</f>
        <v/>
      </c>
      <c r="E246" s="15">
        <f>IF(D246="","",MAX(E245,D246))</f>
        <v/>
      </c>
      <c r="F246" s="15">
        <f>E246-E245</f>
        <v/>
      </c>
      <c r="G246" s="12">
        <f>IF(E246="",1,IF(E246=0,1,(E246-SUM(L246:AA246)+SUMPRODUCT(L246:AA246,$N$5:$N$20))/E246))</f>
        <v/>
      </c>
      <c r="H246" s="14">
        <f>IF(E246="",0,E246*G246)</f>
        <v/>
      </c>
      <c r="I246" s="15">
        <f>IF(H246="",0,H246*Inputs!$C$42)</f>
        <v/>
      </c>
      <c r="J246" s="14">
        <f>IF(E246="",1,1 + (Inputs!$C$95-1)*IF((1-Inputs!$C$94)=0,0,(1-G246)/(1-Inputs!$C$94)))</f>
        <v/>
      </c>
      <c r="K246" s="12">
        <f>IF(I246=0,"",B246/I246)</f>
        <v/>
      </c>
      <c r="L246" s="15">
        <f>IF(F246="",0,F246)</f>
        <v/>
      </c>
      <c r="M246" s="15">
        <f>IF(A246&lt;=1,0,L245)</f>
        <v/>
      </c>
      <c r="N246" s="15">
        <f>IF(A246&lt;=1,0,M245)</f>
        <v/>
      </c>
      <c r="O246" s="15">
        <f>IF(A246&lt;=1,0,N245)</f>
        <v/>
      </c>
      <c r="P246" s="15">
        <f>IF(A246&lt;=1,0,O245)</f>
        <v/>
      </c>
      <c r="Q246" s="15">
        <f>IF(A246&lt;=1,0,P245)</f>
        <v/>
      </c>
      <c r="R246" s="15">
        <f>IF(A246&lt;=1,0,Q245)</f>
        <v/>
      </c>
      <c r="S246" s="15">
        <f>IF(A246&lt;=1,0,R245)</f>
        <v/>
      </c>
      <c r="T246" s="15">
        <f>IF(A246&lt;=1,0,S245)</f>
        <v/>
      </c>
      <c r="U246" s="15">
        <f>IF(A246&lt;=1,0,T245)</f>
        <v/>
      </c>
      <c r="V246" s="15">
        <f>IF(A246&lt;=1,0,U245)</f>
        <v/>
      </c>
      <c r="W246" s="15">
        <f>IF(A246&lt;=1,0,V245)</f>
        <v/>
      </c>
      <c r="X246" s="15">
        <f>IF(A246&lt;=1,0,W245)</f>
        <v/>
      </c>
      <c r="Y246" s="15">
        <f>IF(A246&lt;=1,0,X245)</f>
        <v/>
      </c>
      <c r="Z246" s="15">
        <f>IF(A246&lt;=1,0,Y245)</f>
        <v/>
      </c>
      <c r="AA246" s="15">
        <f>IF(A246&lt;=1,0,Z245)</f>
        <v/>
      </c>
    </row>
    <row r="247">
      <c r="A247" s="55" t="n">
        <v>241</v>
      </c>
      <c r="B247" s="15">
        <f>IF(A247&gt;Inputs!$C$62,"",INDEX(Trajectory!$G$23:$G$2000,A247))</f>
        <v/>
      </c>
      <c r="C247" s="15">
        <f>IF(B247="","",IF(A247&lt;=Inputs!$C$75,INDEX(Trajectory!$G$23:$G$2000,1),INDEX(Trajectory!$G$23:$G$2000,MAX(1,A247-Inputs!$C$75))))</f>
        <v/>
      </c>
      <c r="D247" s="15">
        <f>IF(C247="","",MAX(Inputs!$C$76,CEILING(C247/(Inputs!$C$42*Inputs!$C$92),1)))</f>
        <v/>
      </c>
      <c r="E247" s="15">
        <f>IF(D247="","",MAX(E246,D247))</f>
        <v/>
      </c>
      <c r="F247" s="15">
        <f>E247-E246</f>
        <v/>
      </c>
      <c r="G247" s="12">
        <f>IF(E247="",1,IF(E247=0,1,(E247-SUM(L247:AA247)+SUMPRODUCT(L247:AA247,$N$5:$N$20))/E247))</f>
        <v/>
      </c>
      <c r="H247" s="14">
        <f>IF(E247="",0,E247*G247)</f>
        <v/>
      </c>
      <c r="I247" s="15">
        <f>IF(H247="",0,H247*Inputs!$C$42)</f>
        <v/>
      </c>
      <c r="J247" s="14">
        <f>IF(E247="",1,1 + (Inputs!$C$95-1)*IF((1-Inputs!$C$94)=0,0,(1-G247)/(1-Inputs!$C$94)))</f>
        <v/>
      </c>
      <c r="K247" s="12">
        <f>IF(I247=0,"",B247/I247)</f>
        <v/>
      </c>
      <c r="L247" s="15">
        <f>IF(F247="",0,F247)</f>
        <v/>
      </c>
      <c r="M247" s="15">
        <f>IF(A247&lt;=1,0,L246)</f>
        <v/>
      </c>
      <c r="N247" s="15">
        <f>IF(A247&lt;=1,0,M246)</f>
        <v/>
      </c>
      <c r="O247" s="15">
        <f>IF(A247&lt;=1,0,N246)</f>
        <v/>
      </c>
      <c r="P247" s="15">
        <f>IF(A247&lt;=1,0,O246)</f>
        <v/>
      </c>
      <c r="Q247" s="15">
        <f>IF(A247&lt;=1,0,P246)</f>
        <v/>
      </c>
      <c r="R247" s="15">
        <f>IF(A247&lt;=1,0,Q246)</f>
        <v/>
      </c>
      <c r="S247" s="15">
        <f>IF(A247&lt;=1,0,R246)</f>
        <v/>
      </c>
      <c r="T247" s="15">
        <f>IF(A247&lt;=1,0,S246)</f>
        <v/>
      </c>
      <c r="U247" s="15">
        <f>IF(A247&lt;=1,0,T246)</f>
        <v/>
      </c>
      <c r="V247" s="15">
        <f>IF(A247&lt;=1,0,U246)</f>
        <v/>
      </c>
      <c r="W247" s="15">
        <f>IF(A247&lt;=1,0,V246)</f>
        <v/>
      </c>
      <c r="X247" s="15">
        <f>IF(A247&lt;=1,0,W246)</f>
        <v/>
      </c>
      <c r="Y247" s="15">
        <f>IF(A247&lt;=1,0,X246)</f>
        <v/>
      </c>
      <c r="Z247" s="15">
        <f>IF(A247&lt;=1,0,Y246)</f>
        <v/>
      </c>
      <c r="AA247" s="15">
        <f>IF(A247&lt;=1,0,Z246)</f>
        <v/>
      </c>
    </row>
    <row r="248">
      <c r="A248" s="55" t="n">
        <v>242</v>
      </c>
      <c r="B248" s="15">
        <f>IF(A248&gt;Inputs!$C$62,"",INDEX(Trajectory!$G$23:$G$2000,A248))</f>
        <v/>
      </c>
      <c r="C248" s="15">
        <f>IF(B248="","",IF(A248&lt;=Inputs!$C$75,INDEX(Trajectory!$G$23:$G$2000,1),INDEX(Trajectory!$G$23:$G$2000,MAX(1,A248-Inputs!$C$75))))</f>
        <v/>
      </c>
      <c r="D248" s="15">
        <f>IF(C248="","",MAX(Inputs!$C$76,CEILING(C248/(Inputs!$C$42*Inputs!$C$92),1)))</f>
        <v/>
      </c>
      <c r="E248" s="15">
        <f>IF(D248="","",MAX(E247,D248))</f>
        <v/>
      </c>
      <c r="F248" s="15">
        <f>E248-E247</f>
        <v/>
      </c>
      <c r="G248" s="12">
        <f>IF(E248="",1,IF(E248=0,1,(E248-SUM(L248:AA248)+SUMPRODUCT(L248:AA248,$N$5:$N$20))/E248))</f>
        <v/>
      </c>
      <c r="H248" s="14">
        <f>IF(E248="",0,E248*G248)</f>
        <v/>
      </c>
      <c r="I248" s="15">
        <f>IF(H248="",0,H248*Inputs!$C$42)</f>
        <v/>
      </c>
      <c r="J248" s="14">
        <f>IF(E248="",1,1 + (Inputs!$C$95-1)*IF((1-Inputs!$C$94)=0,0,(1-G248)/(1-Inputs!$C$94)))</f>
        <v/>
      </c>
      <c r="K248" s="12">
        <f>IF(I248=0,"",B248/I248)</f>
        <v/>
      </c>
      <c r="L248" s="15">
        <f>IF(F248="",0,F248)</f>
        <v/>
      </c>
      <c r="M248" s="15">
        <f>IF(A248&lt;=1,0,L247)</f>
        <v/>
      </c>
      <c r="N248" s="15">
        <f>IF(A248&lt;=1,0,M247)</f>
        <v/>
      </c>
      <c r="O248" s="15">
        <f>IF(A248&lt;=1,0,N247)</f>
        <v/>
      </c>
      <c r="P248" s="15">
        <f>IF(A248&lt;=1,0,O247)</f>
        <v/>
      </c>
      <c r="Q248" s="15">
        <f>IF(A248&lt;=1,0,P247)</f>
        <v/>
      </c>
      <c r="R248" s="15">
        <f>IF(A248&lt;=1,0,Q247)</f>
        <v/>
      </c>
      <c r="S248" s="15">
        <f>IF(A248&lt;=1,0,R247)</f>
        <v/>
      </c>
      <c r="T248" s="15">
        <f>IF(A248&lt;=1,0,S247)</f>
        <v/>
      </c>
      <c r="U248" s="15">
        <f>IF(A248&lt;=1,0,T247)</f>
        <v/>
      </c>
      <c r="V248" s="15">
        <f>IF(A248&lt;=1,0,U247)</f>
        <v/>
      </c>
      <c r="W248" s="15">
        <f>IF(A248&lt;=1,0,V247)</f>
        <v/>
      </c>
      <c r="X248" s="15">
        <f>IF(A248&lt;=1,0,W247)</f>
        <v/>
      </c>
      <c r="Y248" s="15">
        <f>IF(A248&lt;=1,0,X247)</f>
        <v/>
      </c>
      <c r="Z248" s="15">
        <f>IF(A248&lt;=1,0,Y247)</f>
        <v/>
      </c>
      <c r="AA248" s="15">
        <f>IF(A248&lt;=1,0,Z247)</f>
        <v/>
      </c>
    </row>
    <row r="249">
      <c r="A249" s="55" t="n">
        <v>243</v>
      </c>
      <c r="B249" s="15">
        <f>IF(A249&gt;Inputs!$C$62,"",INDEX(Trajectory!$G$23:$G$2000,A249))</f>
        <v/>
      </c>
      <c r="C249" s="15">
        <f>IF(B249="","",IF(A249&lt;=Inputs!$C$75,INDEX(Trajectory!$G$23:$G$2000,1),INDEX(Trajectory!$G$23:$G$2000,MAX(1,A249-Inputs!$C$75))))</f>
        <v/>
      </c>
      <c r="D249" s="15">
        <f>IF(C249="","",MAX(Inputs!$C$76,CEILING(C249/(Inputs!$C$42*Inputs!$C$92),1)))</f>
        <v/>
      </c>
      <c r="E249" s="15">
        <f>IF(D249="","",MAX(E248,D249))</f>
        <v/>
      </c>
      <c r="F249" s="15">
        <f>E249-E248</f>
        <v/>
      </c>
      <c r="G249" s="12">
        <f>IF(E249="",1,IF(E249=0,1,(E249-SUM(L249:AA249)+SUMPRODUCT(L249:AA249,$N$5:$N$20))/E249))</f>
        <v/>
      </c>
      <c r="H249" s="14">
        <f>IF(E249="",0,E249*G249)</f>
        <v/>
      </c>
      <c r="I249" s="15">
        <f>IF(H249="",0,H249*Inputs!$C$42)</f>
        <v/>
      </c>
      <c r="J249" s="14">
        <f>IF(E249="",1,1 + (Inputs!$C$95-1)*IF((1-Inputs!$C$94)=0,0,(1-G249)/(1-Inputs!$C$94)))</f>
        <v/>
      </c>
      <c r="K249" s="12">
        <f>IF(I249=0,"",B249/I249)</f>
        <v/>
      </c>
      <c r="L249" s="15">
        <f>IF(F249="",0,F249)</f>
        <v/>
      </c>
      <c r="M249" s="15">
        <f>IF(A249&lt;=1,0,L248)</f>
        <v/>
      </c>
      <c r="N249" s="15">
        <f>IF(A249&lt;=1,0,M248)</f>
        <v/>
      </c>
      <c r="O249" s="15">
        <f>IF(A249&lt;=1,0,N248)</f>
        <v/>
      </c>
      <c r="P249" s="15">
        <f>IF(A249&lt;=1,0,O248)</f>
        <v/>
      </c>
      <c r="Q249" s="15">
        <f>IF(A249&lt;=1,0,P248)</f>
        <v/>
      </c>
      <c r="R249" s="15">
        <f>IF(A249&lt;=1,0,Q248)</f>
        <v/>
      </c>
      <c r="S249" s="15">
        <f>IF(A249&lt;=1,0,R248)</f>
        <v/>
      </c>
      <c r="T249" s="15">
        <f>IF(A249&lt;=1,0,S248)</f>
        <v/>
      </c>
      <c r="U249" s="15">
        <f>IF(A249&lt;=1,0,T248)</f>
        <v/>
      </c>
      <c r="V249" s="15">
        <f>IF(A249&lt;=1,0,U248)</f>
        <v/>
      </c>
      <c r="W249" s="15">
        <f>IF(A249&lt;=1,0,V248)</f>
        <v/>
      </c>
      <c r="X249" s="15">
        <f>IF(A249&lt;=1,0,W248)</f>
        <v/>
      </c>
      <c r="Y249" s="15">
        <f>IF(A249&lt;=1,0,X248)</f>
        <v/>
      </c>
      <c r="Z249" s="15">
        <f>IF(A249&lt;=1,0,Y248)</f>
        <v/>
      </c>
      <c r="AA249" s="15">
        <f>IF(A249&lt;=1,0,Z248)</f>
        <v/>
      </c>
    </row>
    <row r="250">
      <c r="A250" s="55" t="n">
        <v>244</v>
      </c>
      <c r="B250" s="15">
        <f>IF(A250&gt;Inputs!$C$62,"",INDEX(Trajectory!$G$23:$G$2000,A250))</f>
        <v/>
      </c>
      <c r="C250" s="15">
        <f>IF(B250="","",IF(A250&lt;=Inputs!$C$75,INDEX(Trajectory!$G$23:$G$2000,1),INDEX(Trajectory!$G$23:$G$2000,MAX(1,A250-Inputs!$C$75))))</f>
        <v/>
      </c>
      <c r="D250" s="15">
        <f>IF(C250="","",MAX(Inputs!$C$76,CEILING(C250/(Inputs!$C$42*Inputs!$C$92),1)))</f>
        <v/>
      </c>
      <c r="E250" s="15">
        <f>IF(D250="","",MAX(E249,D250))</f>
        <v/>
      </c>
      <c r="F250" s="15">
        <f>E250-E249</f>
        <v/>
      </c>
      <c r="G250" s="12">
        <f>IF(E250="",1,IF(E250=0,1,(E250-SUM(L250:AA250)+SUMPRODUCT(L250:AA250,$N$5:$N$20))/E250))</f>
        <v/>
      </c>
      <c r="H250" s="14">
        <f>IF(E250="",0,E250*G250)</f>
        <v/>
      </c>
      <c r="I250" s="15">
        <f>IF(H250="",0,H250*Inputs!$C$42)</f>
        <v/>
      </c>
      <c r="J250" s="14">
        <f>IF(E250="",1,1 + (Inputs!$C$95-1)*IF((1-Inputs!$C$94)=0,0,(1-G250)/(1-Inputs!$C$94)))</f>
        <v/>
      </c>
      <c r="K250" s="12">
        <f>IF(I250=0,"",B250/I250)</f>
        <v/>
      </c>
      <c r="L250" s="15">
        <f>IF(F250="",0,F250)</f>
        <v/>
      </c>
      <c r="M250" s="15">
        <f>IF(A250&lt;=1,0,L249)</f>
        <v/>
      </c>
      <c r="N250" s="15">
        <f>IF(A250&lt;=1,0,M249)</f>
        <v/>
      </c>
      <c r="O250" s="15">
        <f>IF(A250&lt;=1,0,N249)</f>
        <v/>
      </c>
      <c r="P250" s="15">
        <f>IF(A250&lt;=1,0,O249)</f>
        <v/>
      </c>
      <c r="Q250" s="15">
        <f>IF(A250&lt;=1,0,P249)</f>
        <v/>
      </c>
      <c r="R250" s="15">
        <f>IF(A250&lt;=1,0,Q249)</f>
        <v/>
      </c>
      <c r="S250" s="15">
        <f>IF(A250&lt;=1,0,R249)</f>
        <v/>
      </c>
      <c r="T250" s="15">
        <f>IF(A250&lt;=1,0,S249)</f>
        <v/>
      </c>
      <c r="U250" s="15">
        <f>IF(A250&lt;=1,0,T249)</f>
        <v/>
      </c>
      <c r="V250" s="15">
        <f>IF(A250&lt;=1,0,U249)</f>
        <v/>
      </c>
      <c r="W250" s="15">
        <f>IF(A250&lt;=1,0,V249)</f>
        <v/>
      </c>
      <c r="X250" s="15">
        <f>IF(A250&lt;=1,0,W249)</f>
        <v/>
      </c>
      <c r="Y250" s="15">
        <f>IF(A250&lt;=1,0,X249)</f>
        <v/>
      </c>
      <c r="Z250" s="15">
        <f>IF(A250&lt;=1,0,Y249)</f>
        <v/>
      </c>
      <c r="AA250" s="15">
        <f>IF(A250&lt;=1,0,Z249)</f>
        <v/>
      </c>
    </row>
    <row r="251">
      <c r="A251" s="55" t="n">
        <v>245</v>
      </c>
      <c r="B251" s="15">
        <f>IF(A251&gt;Inputs!$C$62,"",INDEX(Trajectory!$G$23:$G$2000,A251))</f>
        <v/>
      </c>
      <c r="C251" s="15">
        <f>IF(B251="","",IF(A251&lt;=Inputs!$C$75,INDEX(Trajectory!$G$23:$G$2000,1),INDEX(Trajectory!$G$23:$G$2000,MAX(1,A251-Inputs!$C$75))))</f>
        <v/>
      </c>
      <c r="D251" s="15">
        <f>IF(C251="","",MAX(Inputs!$C$76,CEILING(C251/(Inputs!$C$42*Inputs!$C$92),1)))</f>
        <v/>
      </c>
      <c r="E251" s="15">
        <f>IF(D251="","",MAX(E250,D251))</f>
        <v/>
      </c>
      <c r="F251" s="15">
        <f>E251-E250</f>
        <v/>
      </c>
      <c r="G251" s="12">
        <f>IF(E251="",1,IF(E251=0,1,(E251-SUM(L251:AA251)+SUMPRODUCT(L251:AA251,$N$5:$N$20))/E251))</f>
        <v/>
      </c>
      <c r="H251" s="14">
        <f>IF(E251="",0,E251*G251)</f>
        <v/>
      </c>
      <c r="I251" s="15">
        <f>IF(H251="",0,H251*Inputs!$C$42)</f>
        <v/>
      </c>
      <c r="J251" s="14">
        <f>IF(E251="",1,1 + (Inputs!$C$95-1)*IF((1-Inputs!$C$94)=0,0,(1-G251)/(1-Inputs!$C$94)))</f>
        <v/>
      </c>
      <c r="K251" s="12">
        <f>IF(I251=0,"",B251/I251)</f>
        <v/>
      </c>
      <c r="L251" s="15">
        <f>IF(F251="",0,F251)</f>
        <v/>
      </c>
      <c r="M251" s="15">
        <f>IF(A251&lt;=1,0,L250)</f>
        <v/>
      </c>
      <c r="N251" s="15">
        <f>IF(A251&lt;=1,0,M250)</f>
        <v/>
      </c>
      <c r="O251" s="15">
        <f>IF(A251&lt;=1,0,N250)</f>
        <v/>
      </c>
      <c r="P251" s="15">
        <f>IF(A251&lt;=1,0,O250)</f>
        <v/>
      </c>
      <c r="Q251" s="15">
        <f>IF(A251&lt;=1,0,P250)</f>
        <v/>
      </c>
      <c r="R251" s="15">
        <f>IF(A251&lt;=1,0,Q250)</f>
        <v/>
      </c>
      <c r="S251" s="15">
        <f>IF(A251&lt;=1,0,R250)</f>
        <v/>
      </c>
      <c r="T251" s="15">
        <f>IF(A251&lt;=1,0,S250)</f>
        <v/>
      </c>
      <c r="U251" s="15">
        <f>IF(A251&lt;=1,0,T250)</f>
        <v/>
      </c>
      <c r="V251" s="15">
        <f>IF(A251&lt;=1,0,U250)</f>
        <v/>
      </c>
      <c r="W251" s="15">
        <f>IF(A251&lt;=1,0,V250)</f>
        <v/>
      </c>
      <c r="X251" s="15">
        <f>IF(A251&lt;=1,0,W250)</f>
        <v/>
      </c>
      <c r="Y251" s="15">
        <f>IF(A251&lt;=1,0,X250)</f>
        <v/>
      </c>
      <c r="Z251" s="15">
        <f>IF(A251&lt;=1,0,Y250)</f>
        <v/>
      </c>
      <c r="AA251" s="15">
        <f>IF(A251&lt;=1,0,Z250)</f>
        <v/>
      </c>
    </row>
    <row r="252">
      <c r="A252" s="55" t="n">
        <v>246</v>
      </c>
      <c r="B252" s="15">
        <f>IF(A252&gt;Inputs!$C$62,"",INDEX(Trajectory!$G$23:$G$2000,A252))</f>
        <v/>
      </c>
      <c r="C252" s="15">
        <f>IF(B252="","",IF(A252&lt;=Inputs!$C$75,INDEX(Trajectory!$G$23:$G$2000,1),INDEX(Trajectory!$G$23:$G$2000,MAX(1,A252-Inputs!$C$75))))</f>
        <v/>
      </c>
      <c r="D252" s="15">
        <f>IF(C252="","",MAX(Inputs!$C$76,CEILING(C252/(Inputs!$C$42*Inputs!$C$92),1)))</f>
        <v/>
      </c>
      <c r="E252" s="15">
        <f>IF(D252="","",MAX(E251,D252))</f>
        <v/>
      </c>
      <c r="F252" s="15">
        <f>E252-E251</f>
        <v/>
      </c>
      <c r="G252" s="12">
        <f>IF(E252="",1,IF(E252=0,1,(E252-SUM(L252:AA252)+SUMPRODUCT(L252:AA252,$N$5:$N$20))/E252))</f>
        <v/>
      </c>
      <c r="H252" s="14">
        <f>IF(E252="",0,E252*G252)</f>
        <v/>
      </c>
      <c r="I252" s="15">
        <f>IF(H252="",0,H252*Inputs!$C$42)</f>
        <v/>
      </c>
      <c r="J252" s="14">
        <f>IF(E252="",1,1 + (Inputs!$C$95-1)*IF((1-Inputs!$C$94)=0,0,(1-G252)/(1-Inputs!$C$94)))</f>
        <v/>
      </c>
      <c r="K252" s="12">
        <f>IF(I252=0,"",B252/I252)</f>
        <v/>
      </c>
      <c r="L252" s="15">
        <f>IF(F252="",0,F252)</f>
        <v/>
      </c>
      <c r="M252" s="15">
        <f>IF(A252&lt;=1,0,L251)</f>
        <v/>
      </c>
      <c r="N252" s="15">
        <f>IF(A252&lt;=1,0,M251)</f>
        <v/>
      </c>
      <c r="O252" s="15">
        <f>IF(A252&lt;=1,0,N251)</f>
        <v/>
      </c>
      <c r="P252" s="15">
        <f>IF(A252&lt;=1,0,O251)</f>
        <v/>
      </c>
      <c r="Q252" s="15">
        <f>IF(A252&lt;=1,0,P251)</f>
        <v/>
      </c>
      <c r="R252" s="15">
        <f>IF(A252&lt;=1,0,Q251)</f>
        <v/>
      </c>
      <c r="S252" s="15">
        <f>IF(A252&lt;=1,0,R251)</f>
        <v/>
      </c>
      <c r="T252" s="15">
        <f>IF(A252&lt;=1,0,S251)</f>
        <v/>
      </c>
      <c r="U252" s="15">
        <f>IF(A252&lt;=1,0,T251)</f>
        <v/>
      </c>
      <c r="V252" s="15">
        <f>IF(A252&lt;=1,0,U251)</f>
        <v/>
      </c>
      <c r="W252" s="15">
        <f>IF(A252&lt;=1,0,V251)</f>
        <v/>
      </c>
      <c r="X252" s="15">
        <f>IF(A252&lt;=1,0,W251)</f>
        <v/>
      </c>
      <c r="Y252" s="15">
        <f>IF(A252&lt;=1,0,X251)</f>
        <v/>
      </c>
      <c r="Z252" s="15">
        <f>IF(A252&lt;=1,0,Y251)</f>
        <v/>
      </c>
      <c r="AA252" s="15">
        <f>IF(A252&lt;=1,0,Z251)</f>
        <v/>
      </c>
    </row>
    <row r="253">
      <c r="A253" s="55" t="n">
        <v>247</v>
      </c>
      <c r="B253" s="15">
        <f>IF(A253&gt;Inputs!$C$62,"",INDEX(Trajectory!$G$23:$G$2000,A253))</f>
        <v/>
      </c>
      <c r="C253" s="15">
        <f>IF(B253="","",IF(A253&lt;=Inputs!$C$75,INDEX(Trajectory!$G$23:$G$2000,1),INDEX(Trajectory!$G$23:$G$2000,MAX(1,A253-Inputs!$C$75))))</f>
        <v/>
      </c>
      <c r="D253" s="15">
        <f>IF(C253="","",MAX(Inputs!$C$76,CEILING(C253/(Inputs!$C$42*Inputs!$C$92),1)))</f>
        <v/>
      </c>
      <c r="E253" s="15">
        <f>IF(D253="","",MAX(E252,D253))</f>
        <v/>
      </c>
      <c r="F253" s="15">
        <f>E253-E252</f>
        <v/>
      </c>
      <c r="G253" s="12">
        <f>IF(E253="",1,IF(E253=0,1,(E253-SUM(L253:AA253)+SUMPRODUCT(L253:AA253,$N$5:$N$20))/E253))</f>
        <v/>
      </c>
      <c r="H253" s="14">
        <f>IF(E253="",0,E253*G253)</f>
        <v/>
      </c>
      <c r="I253" s="15">
        <f>IF(H253="",0,H253*Inputs!$C$42)</f>
        <v/>
      </c>
      <c r="J253" s="14">
        <f>IF(E253="",1,1 + (Inputs!$C$95-1)*IF((1-Inputs!$C$94)=0,0,(1-G253)/(1-Inputs!$C$94)))</f>
        <v/>
      </c>
      <c r="K253" s="12">
        <f>IF(I253=0,"",B253/I253)</f>
        <v/>
      </c>
      <c r="L253" s="15">
        <f>IF(F253="",0,F253)</f>
        <v/>
      </c>
      <c r="M253" s="15">
        <f>IF(A253&lt;=1,0,L252)</f>
        <v/>
      </c>
      <c r="N253" s="15">
        <f>IF(A253&lt;=1,0,M252)</f>
        <v/>
      </c>
      <c r="O253" s="15">
        <f>IF(A253&lt;=1,0,N252)</f>
        <v/>
      </c>
      <c r="P253" s="15">
        <f>IF(A253&lt;=1,0,O252)</f>
        <v/>
      </c>
      <c r="Q253" s="15">
        <f>IF(A253&lt;=1,0,P252)</f>
        <v/>
      </c>
      <c r="R253" s="15">
        <f>IF(A253&lt;=1,0,Q252)</f>
        <v/>
      </c>
      <c r="S253" s="15">
        <f>IF(A253&lt;=1,0,R252)</f>
        <v/>
      </c>
      <c r="T253" s="15">
        <f>IF(A253&lt;=1,0,S252)</f>
        <v/>
      </c>
      <c r="U253" s="15">
        <f>IF(A253&lt;=1,0,T252)</f>
        <v/>
      </c>
      <c r="V253" s="15">
        <f>IF(A253&lt;=1,0,U252)</f>
        <v/>
      </c>
      <c r="W253" s="15">
        <f>IF(A253&lt;=1,0,V252)</f>
        <v/>
      </c>
      <c r="X253" s="15">
        <f>IF(A253&lt;=1,0,W252)</f>
        <v/>
      </c>
      <c r="Y253" s="15">
        <f>IF(A253&lt;=1,0,X252)</f>
        <v/>
      </c>
      <c r="Z253" s="15">
        <f>IF(A253&lt;=1,0,Y252)</f>
        <v/>
      </c>
      <c r="AA253" s="15">
        <f>IF(A253&lt;=1,0,Z252)</f>
        <v/>
      </c>
    </row>
    <row r="254">
      <c r="A254" s="55" t="n">
        <v>248</v>
      </c>
      <c r="B254" s="15">
        <f>IF(A254&gt;Inputs!$C$62,"",INDEX(Trajectory!$G$23:$G$2000,A254))</f>
        <v/>
      </c>
      <c r="C254" s="15">
        <f>IF(B254="","",IF(A254&lt;=Inputs!$C$75,INDEX(Trajectory!$G$23:$G$2000,1),INDEX(Trajectory!$G$23:$G$2000,MAX(1,A254-Inputs!$C$75))))</f>
        <v/>
      </c>
      <c r="D254" s="15">
        <f>IF(C254="","",MAX(Inputs!$C$76,CEILING(C254/(Inputs!$C$42*Inputs!$C$92),1)))</f>
        <v/>
      </c>
      <c r="E254" s="15">
        <f>IF(D254="","",MAX(E253,D254))</f>
        <v/>
      </c>
      <c r="F254" s="15">
        <f>E254-E253</f>
        <v/>
      </c>
      <c r="G254" s="12">
        <f>IF(E254="",1,IF(E254=0,1,(E254-SUM(L254:AA254)+SUMPRODUCT(L254:AA254,$N$5:$N$20))/E254))</f>
        <v/>
      </c>
      <c r="H254" s="14">
        <f>IF(E254="",0,E254*G254)</f>
        <v/>
      </c>
      <c r="I254" s="15">
        <f>IF(H254="",0,H254*Inputs!$C$42)</f>
        <v/>
      </c>
      <c r="J254" s="14">
        <f>IF(E254="",1,1 + (Inputs!$C$95-1)*IF((1-Inputs!$C$94)=0,0,(1-G254)/(1-Inputs!$C$94)))</f>
        <v/>
      </c>
      <c r="K254" s="12">
        <f>IF(I254=0,"",B254/I254)</f>
        <v/>
      </c>
      <c r="L254" s="15">
        <f>IF(F254="",0,F254)</f>
        <v/>
      </c>
      <c r="M254" s="15">
        <f>IF(A254&lt;=1,0,L253)</f>
        <v/>
      </c>
      <c r="N254" s="15">
        <f>IF(A254&lt;=1,0,M253)</f>
        <v/>
      </c>
      <c r="O254" s="15">
        <f>IF(A254&lt;=1,0,N253)</f>
        <v/>
      </c>
      <c r="P254" s="15">
        <f>IF(A254&lt;=1,0,O253)</f>
        <v/>
      </c>
      <c r="Q254" s="15">
        <f>IF(A254&lt;=1,0,P253)</f>
        <v/>
      </c>
      <c r="R254" s="15">
        <f>IF(A254&lt;=1,0,Q253)</f>
        <v/>
      </c>
      <c r="S254" s="15">
        <f>IF(A254&lt;=1,0,R253)</f>
        <v/>
      </c>
      <c r="T254" s="15">
        <f>IF(A254&lt;=1,0,S253)</f>
        <v/>
      </c>
      <c r="U254" s="15">
        <f>IF(A254&lt;=1,0,T253)</f>
        <v/>
      </c>
      <c r="V254" s="15">
        <f>IF(A254&lt;=1,0,U253)</f>
        <v/>
      </c>
      <c r="W254" s="15">
        <f>IF(A254&lt;=1,0,V253)</f>
        <v/>
      </c>
      <c r="X254" s="15">
        <f>IF(A254&lt;=1,0,W253)</f>
        <v/>
      </c>
      <c r="Y254" s="15">
        <f>IF(A254&lt;=1,0,X253)</f>
        <v/>
      </c>
      <c r="Z254" s="15">
        <f>IF(A254&lt;=1,0,Y253)</f>
        <v/>
      </c>
      <c r="AA254" s="15">
        <f>IF(A254&lt;=1,0,Z253)</f>
        <v/>
      </c>
    </row>
    <row r="255">
      <c r="A255" s="55" t="n">
        <v>249</v>
      </c>
      <c r="B255" s="15">
        <f>IF(A255&gt;Inputs!$C$62,"",INDEX(Trajectory!$G$23:$G$2000,A255))</f>
        <v/>
      </c>
      <c r="C255" s="15">
        <f>IF(B255="","",IF(A255&lt;=Inputs!$C$75,INDEX(Trajectory!$G$23:$G$2000,1),INDEX(Trajectory!$G$23:$G$2000,MAX(1,A255-Inputs!$C$75))))</f>
        <v/>
      </c>
      <c r="D255" s="15">
        <f>IF(C255="","",MAX(Inputs!$C$76,CEILING(C255/(Inputs!$C$42*Inputs!$C$92),1)))</f>
        <v/>
      </c>
      <c r="E255" s="15">
        <f>IF(D255="","",MAX(E254,D255))</f>
        <v/>
      </c>
      <c r="F255" s="15">
        <f>E255-E254</f>
        <v/>
      </c>
      <c r="G255" s="12">
        <f>IF(E255="",1,IF(E255=0,1,(E255-SUM(L255:AA255)+SUMPRODUCT(L255:AA255,$N$5:$N$20))/E255))</f>
        <v/>
      </c>
      <c r="H255" s="14">
        <f>IF(E255="",0,E255*G255)</f>
        <v/>
      </c>
      <c r="I255" s="15">
        <f>IF(H255="",0,H255*Inputs!$C$42)</f>
        <v/>
      </c>
      <c r="J255" s="14">
        <f>IF(E255="",1,1 + (Inputs!$C$95-1)*IF((1-Inputs!$C$94)=0,0,(1-G255)/(1-Inputs!$C$94)))</f>
        <v/>
      </c>
      <c r="K255" s="12">
        <f>IF(I255=0,"",B255/I255)</f>
        <v/>
      </c>
      <c r="L255" s="15">
        <f>IF(F255="",0,F255)</f>
        <v/>
      </c>
      <c r="M255" s="15">
        <f>IF(A255&lt;=1,0,L254)</f>
        <v/>
      </c>
      <c r="N255" s="15">
        <f>IF(A255&lt;=1,0,M254)</f>
        <v/>
      </c>
      <c r="O255" s="15">
        <f>IF(A255&lt;=1,0,N254)</f>
        <v/>
      </c>
      <c r="P255" s="15">
        <f>IF(A255&lt;=1,0,O254)</f>
        <v/>
      </c>
      <c r="Q255" s="15">
        <f>IF(A255&lt;=1,0,P254)</f>
        <v/>
      </c>
      <c r="R255" s="15">
        <f>IF(A255&lt;=1,0,Q254)</f>
        <v/>
      </c>
      <c r="S255" s="15">
        <f>IF(A255&lt;=1,0,R254)</f>
        <v/>
      </c>
      <c r="T255" s="15">
        <f>IF(A255&lt;=1,0,S254)</f>
        <v/>
      </c>
      <c r="U255" s="15">
        <f>IF(A255&lt;=1,0,T254)</f>
        <v/>
      </c>
      <c r="V255" s="15">
        <f>IF(A255&lt;=1,0,U254)</f>
        <v/>
      </c>
      <c r="W255" s="15">
        <f>IF(A255&lt;=1,0,V254)</f>
        <v/>
      </c>
      <c r="X255" s="15">
        <f>IF(A255&lt;=1,0,W254)</f>
        <v/>
      </c>
      <c r="Y255" s="15">
        <f>IF(A255&lt;=1,0,X254)</f>
        <v/>
      </c>
      <c r="Z255" s="15">
        <f>IF(A255&lt;=1,0,Y254)</f>
        <v/>
      </c>
      <c r="AA255" s="15">
        <f>IF(A255&lt;=1,0,Z254)</f>
        <v/>
      </c>
    </row>
    <row r="256">
      <c r="A256" s="55" t="n">
        <v>250</v>
      </c>
      <c r="B256" s="15">
        <f>IF(A256&gt;Inputs!$C$62,"",INDEX(Trajectory!$G$23:$G$2000,A256))</f>
        <v/>
      </c>
      <c r="C256" s="15">
        <f>IF(B256="","",IF(A256&lt;=Inputs!$C$75,INDEX(Trajectory!$G$23:$G$2000,1),INDEX(Trajectory!$G$23:$G$2000,MAX(1,A256-Inputs!$C$75))))</f>
        <v/>
      </c>
      <c r="D256" s="15">
        <f>IF(C256="","",MAX(Inputs!$C$76,CEILING(C256/(Inputs!$C$42*Inputs!$C$92),1)))</f>
        <v/>
      </c>
      <c r="E256" s="15">
        <f>IF(D256="","",MAX(E255,D256))</f>
        <v/>
      </c>
      <c r="F256" s="15">
        <f>E256-E255</f>
        <v/>
      </c>
      <c r="G256" s="12">
        <f>IF(E256="",1,IF(E256=0,1,(E256-SUM(L256:AA256)+SUMPRODUCT(L256:AA256,$N$5:$N$20))/E256))</f>
        <v/>
      </c>
      <c r="H256" s="14">
        <f>IF(E256="",0,E256*G256)</f>
        <v/>
      </c>
      <c r="I256" s="15">
        <f>IF(H256="",0,H256*Inputs!$C$42)</f>
        <v/>
      </c>
      <c r="J256" s="14">
        <f>IF(E256="",1,1 + (Inputs!$C$95-1)*IF((1-Inputs!$C$94)=0,0,(1-G256)/(1-Inputs!$C$94)))</f>
        <v/>
      </c>
      <c r="K256" s="12">
        <f>IF(I256=0,"",B256/I256)</f>
        <v/>
      </c>
      <c r="L256" s="15">
        <f>IF(F256="",0,F256)</f>
        <v/>
      </c>
      <c r="M256" s="15">
        <f>IF(A256&lt;=1,0,L255)</f>
        <v/>
      </c>
      <c r="N256" s="15">
        <f>IF(A256&lt;=1,0,M255)</f>
        <v/>
      </c>
      <c r="O256" s="15">
        <f>IF(A256&lt;=1,0,N255)</f>
        <v/>
      </c>
      <c r="P256" s="15">
        <f>IF(A256&lt;=1,0,O255)</f>
        <v/>
      </c>
      <c r="Q256" s="15">
        <f>IF(A256&lt;=1,0,P255)</f>
        <v/>
      </c>
      <c r="R256" s="15">
        <f>IF(A256&lt;=1,0,Q255)</f>
        <v/>
      </c>
      <c r="S256" s="15">
        <f>IF(A256&lt;=1,0,R255)</f>
        <v/>
      </c>
      <c r="T256" s="15">
        <f>IF(A256&lt;=1,0,S255)</f>
        <v/>
      </c>
      <c r="U256" s="15">
        <f>IF(A256&lt;=1,0,T255)</f>
        <v/>
      </c>
      <c r="V256" s="15">
        <f>IF(A256&lt;=1,0,U255)</f>
        <v/>
      </c>
      <c r="W256" s="15">
        <f>IF(A256&lt;=1,0,V255)</f>
        <v/>
      </c>
      <c r="X256" s="15">
        <f>IF(A256&lt;=1,0,W255)</f>
        <v/>
      </c>
      <c r="Y256" s="15">
        <f>IF(A256&lt;=1,0,X255)</f>
        <v/>
      </c>
      <c r="Z256" s="15">
        <f>IF(A256&lt;=1,0,Y255)</f>
        <v/>
      </c>
      <c r="AA256" s="15">
        <f>IF(A256&lt;=1,0,Z255)</f>
        <v/>
      </c>
    </row>
    <row r="257">
      <c r="A257" s="55" t="n">
        <v>251</v>
      </c>
      <c r="B257" s="15">
        <f>IF(A257&gt;Inputs!$C$62,"",INDEX(Trajectory!$G$23:$G$2000,A257))</f>
        <v/>
      </c>
      <c r="C257" s="15">
        <f>IF(B257="","",IF(A257&lt;=Inputs!$C$75,INDEX(Trajectory!$G$23:$G$2000,1),INDEX(Trajectory!$G$23:$G$2000,MAX(1,A257-Inputs!$C$75))))</f>
        <v/>
      </c>
      <c r="D257" s="15">
        <f>IF(C257="","",MAX(Inputs!$C$76,CEILING(C257/(Inputs!$C$42*Inputs!$C$92),1)))</f>
        <v/>
      </c>
      <c r="E257" s="15">
        <f>IF(D257="","",MAX(E256,D257))</f>
        <v/>
      </c>
      <c r="F257" s="15">
        <f>E257-E256</f>
        <v/>
      </c>
      <c r="G257" s="12">
        <f>IF(E257="",1,IF(E257=0,1,(E257-SUM(L257:AA257)+SUMPRODUCT(L257:AA257,$N$5:$N$20))/E257))</f>
        <v/>
      </c>
      <c r="H257" s="14">
        <f>IF(E257="",0,E257*G257)</f>
        <v/>
      </c>
      <c r="I257" s="15">
        <f>IF(H257="",0,H257*Inputs!$C$42)</f>
        <v/>
      </c>
      <c r="J257" s="14">
        <f>IF(E257="",1,1 + (Inputs!$C$95-1)*IF((1-Inputs!$C$94)=0,0,(1-G257)/(1-Inputs!$C$94)))</f>
        <v/>
      </c>
      <c r="K257" s="12">
        <f>IF(I257=0,"",B257/I257)</f>
        <v/>
      </c>
      <c r="L257" s="15">
        <f>IF(F257="",0,F257)</f>
        <v/>
      </c>
      <c r="M257" s="15">
        <f>IF(A257&lt;=1,0,L256)</f>
        <v/>
      </c>
      <c r="N257" s="15">
        <f>IF(A257&lt;=1,0,M256)</f>
        <v/>
      </c>
      <c r="O257" s="15">
        <f>IF(A257&lt;=1,0,N256)</f>
        <v/>
      </c>
      <c r="P257" s="15">
        <f>IF(A257&lt;=1,0,O256)</f>
        <v/>
      </c>
      <c r="Q257" s="15">
        <f>IF(A257&lt;=1,0,P256)</f>
        <v/>
      </c>
      <c r="R257" s="15">
        <f>IF(A257&lt;=1,0,Q256)</f>
        <v/>
      </c>
      <c r="S257" s="15">
        <f>IF(A257&lt;=1,0,R256)</f>
        <v/>
      </c>
      <c r="T257" s="15">
        <f>IF(A257&lt;=1,0,S256)</f>
        <v/>
      </c>
      <c r="U257" s="15">
        <f>IF(A257&lt;=1,0,T256)</f>
        <v/>
      </c>
      <c r="V257" s="15">
        <f>IF(A257&lt;=1,0,U256)</f>
        <v/>
      </c>
      <c r="W257" s="15">
        <f>IF(A257&lt;=1,0,V256)</f>
        <v/>
      </c>
      <c r="X257" s="15">
        <f>IF(A257&lt;=1,0,W256)</f>
        <v/>
      </c>
      <c r="Y257" s="15">
        <f>IF(A257&lt;=1,0,X256)</f>
        <v/>
      </c>
      <c r="Z257" s="15">
        <f>IF(A257&lt;=1,0,Y256)</f>
        <v/>
      </c>
      <c r="AA257" s="15">
        <f>IF(A257&lt;=1,0,Z256)</f>
        <v/>
      </c>
    </row>
    <row r="258">
      <c r="A258" s="55" t="n">
        <v>252</v>
      </c>
      <c r="B258" s="15">
        <f>IF(A258&gt;Inputs!$C$62,"",INDEX(Trajectory!$G$23:$G$2000,A258))</f>
        <v/>
      </c>
      <c r="C258" s="15">
        <f>IF(B258="","",IF(A258&lt;=Inputs!$C$75,INDEX(Trajectory!$G$23:$G$2000,1),INDEX(Trajectory!$G$23:$G$2000,MAX(1,A258-Inputs!$C$75))))</f>
        <v/>
      </c>
      <c r="D258" s="15">
        <f>IF(C258="","",MAX(Inputs!$C$76,CEILING(C258/(Inputs!$C$42*Inputs!$C$92),1)))</f>
        <v/>
      </c>
      <c r="E258" s="15">
        <f>IF(D258="","",MAX(E257,D258))</f>
        <v/>
      </c>
      <c r="F258" s="15">
        <f>E258-E257</f>
        <v/>
      </c>
      <c r="G258" s="12">
        <f>IF(E258="",1,IF(E258=0,1,(E258-SUM(L258:AA258)+SUMPRODUCT(L258:AA258,$N$5:$N$20))/E258))</f>
        <v/>
      </c>
      <c r="H258" s="14">
        <f>IF(E258="",0,E258*G258)</f>
        <v/>
      </c>
      <c r="I258" s="15">
        <f>IF(H258="",0,H258*Inputs!$C$42)</f>
        <v/>
      </c>
      <c r="J258" s="14">
        <f>IF(E258="",1,1 + (Inputs!$C$95-1)*IF((1-Inputs!$C$94)=0,0,(1-G258)/(1-Inputs!$C$94)))</f>
        <v/>
      </c>
      <c r="K258" s="12">
        <f>IF(I258=0,"",B258/I258)</f>
        <v/>
      </c>
      <c r="L258" s="15">
        <f>IF(F258="",0,F258)</f>
        <v/>
      </c>
      <c r="M258" s="15">
        <f>IF(A258&lt;=1,0,L257)</f>
        <v/>
      </c>
      <c r="N258" s="15">
        <f>IF(A258&lt;=1,0,M257)</f>
        <v/>
      </c>
      <c r="O258" s="15">
        <f>IF(A258&lt;=1,0,N257)</f>
        <v/>
      </c>
      <c r="P258" s="15">
        <f>IF(A258&lt;=1,0,O257)</f>
        <v/>
      </c>
      <c r="Q258" s="15">
        <f>IF(A258&lt;=1,0,P257)</f>
        <v/>
      </c>
      <c r="R258" s="15">
        <f>IF(A258&lt;=1,0,Q257)</f>
        <v/>
      </c>
      <c r="S258" s="15">
        <f>IF(A258&lt;=1,0,R257)</f>
        <v/>
      </c>
      <c r="T258" s="15">
        <f>IF(A258&lt;=1,0,S257)</f>
        <v/>
      </c>
      <c r="U258" s="15">
        <f>IF(A258&lt;=1,0,T257)</f>
        <v/>
      </c>
      <c r="V258" s="15">
        <f>IF(A258&lt;=1,0,U257)</f>
        <v/>
      </c>
      <c r="W258" s="15">
        <f>IF(A258&lt;=1,0,V257)</f>
        <v/>
      </c>
      <c r="X258" s="15">
        <f>IF(A258&lt;=1,0,W257)</f>
        <v/>
      </c>
      <c r="Y258" s="15">
        <f>IF(A258&lt;=1,0,X257)</f>
        <v/>
      </c>
      <c r="Z258" s="15">
        <f>IF(A258&lt;=1,0,Y257)</f>
        <v/>
      </c>
      <c r="AA258" s="15">
        <f>IF(A258&lt;=1,0,Z257)</f>
        <v/>
      </c>
    </row>
    <row r="259">
      <c r="A259" s="55" t="n">
        <v>253</v>
      </c>
      <c r="B259" s="15">
        <f>IF(A259&gt;Inputs!$C$62,"",INDEX(Trajectory!$G$23:$G$2000,A259))</f>
        <v/>
      </c>
      <c r="C259" s="15">
        <f>IF(B259="","",IF(A259&lt;=Inputs!$C$75,INDEX(Trajectory!$G$23:$G$2000,1),INDEX(Trajectory!$G$23:$G$2000,MAX(1,A259-Inputs!$C$75))))</f>
        <v/>
      </c>
      <c r="D259" s="15">
        <f>IF(C259="","",MAX(Inputs!$C$76,CEILING(C259/(Inputs!$C$42*Inputs!$C$92),1)))</f>
        <v/>
      </c>
      <c r="E259" s="15">
        <f>IF(D259="","",MAX(E258,D259))</f>
        <v/>
      </c>
      <c r="F259" s="15">
        <f>E259-E258</f>
        <v/>
      </c>
      <c r="G259" s="12">
        <f>IF(E259="",1,IF(E259=0,1,(E259-SUM(L259:AA259)+SUMPRODUCT(L259:AA259,$N$5:$N$20))/E259))</f>
        <v/>
      </c>
      <c r="H259" s="14">
        <f>IF(E259="",0,E259*G259)</f>
        <v/>
      </c>
      <c r="I259" s="15">
        <f>IF(H259="",0,H259*Inputs!$C$42)</f>
        <v/>
      </c>
      <c r="J259" s="14">
        <f>IF(E259="",1,1 + (Inputs!$C$95-1)*IF((1-Inputs!$C$94)=0,0,(1-G259)/(1-Inputs!$C$94)))</f>
        <v/>
      </c>
      <c r="K259" s="12">
        <f>IF(I259=0,"",B259/I259)</f>
        <v/>
      </c>
      <c r="L259" s="15">
        <f>IF(F259="",0,F259)</f>
        <v/>
      </c>
      <c r="M259" s="15">
        <f>IF(A259&lt;=1,0,L258)</f>
        <v/>
      </c>
      <c r="N259" s="15">
        <f>IF(A259&lt;=1,0,M258)</f>
        <v/>
      </c>
      <c r="O259" s="15">
        <f>IF(A259&lt;=1,0,N258)</f>
        <v/>
      </c>
      <c r="P259" s="15">
        <f>IF(A259&lt;=1,0,O258)</f>
        <v/>
      </c>
      <c r="Q259" s="15">
        <f>IF(A259&lt;=1,0,P258)</f>
        <v/>
      </c>
      <c r="R259" s="15">
        <f>IF(A259&lt;=1,0,Q258)</f>
        <v/>
      </c>
      <c r="S259" s="15">
        <f>IF(A259&lt;=1,0,R258)</f>
        <v/>
      </c>
      <c r="T259" s="15">
        <f>IF(A259&lt;=1,0,S258)</f>
        <v/>
      </c>
      <c r="U259" s="15">
        <f>IF(A259&lt;=1,0,T258)</f>
        <v/>
      </c>
      <c r="V259" s="15">
        <f>IF(A259&lt;=1,0,U258)</f>
        <v/>
      </c>
      <c r="W259" s="15">
        <f>IF(A259&lt;=1,0,V258)</f>
        <v/>
      </c>
      <c r="X259" s="15">
        <f>IF(A259&lt;=1,0,W258)</f>
        <v/>
      </c>
      <c r="Y259" s="15">
        <f>IF(A259&lt;=1,0,X258)</f>
        <v/>
      </c>
      <c r="Z259" s="15">
        <f>IF(A259&lt;=1,0,Y258)</f>
        <v/>
      </c>
      <c r="AA259" s="15">
        <f>IF(A259&lt;=1,0,Z258)</f>
        <v/>
      </c>
    </row>
    <row r="260">
      <c r="A260" s="55" t="n">
        <v>254</v>
      </c>
      <c r="B260" s="15">
        <f>IF(A260&gt;Inputs!$C$62,"",INDEX(Trajectory!$G$23:$G$2000,A260))</f>
        <v/>
      </c>
      <c r="C260" s="15">
        <f>IF(B260="","",IF(A260&lt;=Inputs!$C$75,INDEX(Trajectory!$G$23:$G$2000,1),INDEX(Trajectory!$G$23:$G$2000,MAX(1,A260-Inputs!$C$75))))</f>
        <v/>
      </c>
      <c r="D260" s="15">
        <f>IF(C260="","",MAX(Inputs!$C$76,CEILING(C260/(Inputs!$C$42*Inputs!$C$92),1)))</f>
        <v/>
      </c>
      <c r="E260" s="15">
        <f>IF(D260="","",MAX(E259,D260))</f>
        <v/>
      </c>
      <c r="F260" s="15">
        <f>E260-E259</f>
        <v/>
      </c>
      <c r="G260" s="12">
        <f>IF(E260="",1,IF(E260=0,1,(E260-SUM(L260:AA260)+SUMPRODUCT(L260:AA260,$N$5:$N$20))/E260))</f>
        <v/>
      </c>
      <c r="H260" s="14">
        <f>IF(E260="",0,E260*G260)</f>
        <v/>
      </c>
      <c r="I260" s="15">
        <f>IF(H260="",0,H260*Inputs!$C$42)</f>
        <v/>
      </c>
      <c r="J260" s="14">
        <f>IF(E260="",1,1 + (Inputs!$C$95-1)*IF((1-Inputs!$C$94)=0,0,(1-G260)/(1-Inputs!$C$94)))</f>
        <v/>
      </c>
      <c r="K260" s="12">
        <f>IF(I260=0,"",B260/I260)</f>
        <v/>
      </c>
      <c r="L260" s="15">
        <f>IF(F260="",0,F260)</f>
        <v/>
      </c>
      <c r="M260" s="15">
        <f>IF(A260&lt;=1,0,L259)</f>
        <v/>
      </c>
      <c r="N260" s="15">
        <f>IF(A260&lt;=1,0,M259)</f>
        <v/>
      </c>
      <c r="O260" s="15">
        <f>IF(A260&lt;=1,0,N259)</f>
        <v/>
      </c>
      <c r="P260" s="15">
        <f>IF(A260&lt;=1,0,O259)</f>
        <v/>
      </c>
      <c r="Q260" s="15">
        <f>IF(A260&lt;=1,0,P259)</f>
        <v/>
      </c>
      <c r="R260" s="15">
        <f>IF(A260&lt;=1,0,Q259)</f>
        <v/>
      </c>
      <c r="S260" s="15">
        <f>IF(A260&lt;=1,0,R259)</f>
        <v/>
      </c>
      <c r="T260" s="15">
        <f>IF(A260&lt;=1,0,S259)</f>
        <v/>
      </c>
      <c r="U260" s="15">
        <f>IF(A260&lt;=1,0,T259)</f>
        <v/>
      </c>
      <c r="V260" s="15">
        <f>IF(A260&lt;=1,0,U259)</f>
        <v/>
      </c>
      <c r="W260" s="15">
        <f>IF(A260&lt;=1,0,V259)</f>
        <v/>
      </c>
      <c r="X260" s="15">
        <f>IF(A260&lt;=1,0,W259)</f>
        <v/>
      </c>
      <c r="Y260" s="15">
        <f>IF(A260&lt;=1,0,X259)</f>
        <v/>
      </c>
      <c r="Z260" s="15">
        <f>IF(A260&lt;=1,0,Y259)</f>
        <v/>
      </c>
      <c r="AA260" s="15">
        <f>IF(A260&lt;=1,0,Z259)</f>
        <v/>
      </c>
    </row>
    <row r="261">
      <c r="A261" s="55" t="n">
        <v>255</v>
      </c>
      <c r="B261" s="15">
        <f>IF(A261&gt;Inputs!$C$62,"",INDEX(Trajectory!$G$23:$G$2000,A261))</f>
        <v/>
      </c>
      <c r="C261" s="15">
        <f>IF(B261="","",IF(A261&lt;=Inputs!$C$75,INDEX(Trajectory!$G$23:$G$2000,1),INDEX(Trajectory!$G$23:$G$2000,MAX(1,A261-Inputs!$C$75))))</f>
        <v/>
      </c>
      <c r="D261" s="15">
        <f>IF(C261="","",MAX(Inputs!$C$76,CEILING(C261/(Inputs!$C$42*Inputs!$C$92),1)))</f>
        <v/>
      </c>
      <c r="E261" s="15">
        <f>IF(D261="","",MAX(E260,D261))</f>
        <v/>
      </c>
      <c r="F261" s="15">
        <f>E261-E260</f>
        <v/>
      </c>
      <c r="G261" s="12">
        <f>IF(E261="",1,IF(E261=0,1,(E261-SUM(L261:AA261)+SUMPRODUCT(L261:AA261,$N$5:$N$20))/E261))</f>
        <v/>
      </c>
      <c r="H261" s="14">
        <f>IF(E261="",0,E261*G261)</f>
        <v/>
      </c>
      <c r="I261" s="15">
        <f>IF(H261="",0,H261*Inputs!$C$42)</f>
        <v/>
      </c>
      <c r="J261" s="14">
        <f>IF(E261="",1,1 + (Inputs!$C$95-1)*IF((1-Inputs!$C$94)=0,0,(1-G261)/(1-Inputs!$C$94)))</f>
        <v/>
      </c>
      <c r="K261" s="12">
        <f>IF(I261=0,"",B261/I261)</f>
        <v/>
      </c>
      <c r="L261" s="15">
        <f>IF(F261="",0,F261)</f>
        <v/>
      </c>
      <c r="M261" s="15">
        <f>IF(A261&lt;=1,0,L260)</f>
        <v/>
      </c>
      <c r="N261" s="15">
        <f>IF(A261&lt;=1,0,M260)</f>
        <v/>
      </c>
      <c r="O261" s="15">
        <f>IF(A261&lt;=1,0,N260)</f>
        <v/>
      </c>
      <c r="P261" s="15">
        <f>IF(A261&lt;=1,0,O260)</f>
        <v/>
      </c>
      <c r="Q261" s="15">
        <f>IF(A261&lt;=1,0,P260)</f>
        <v/>
      </c>
      <c r="R261" s="15">
        <f>IF(A261&lt;=1,0,Q260)</f>
        <v/>
      </c>
      <c r="S261" s="15">
        <f>IF(A261&lt;=1,0,R260)</f>
        <v/>
      </c>
      <c r="T261" s="15">
        <f>IF(A261&lt;=1,0,S260)</f>
        <v/>
      </c>
      <c r="U261" s="15">
        <f>IF(A261&lt;=1,0,T260)</f>
        <v/>
      </c>
      <c r="V261" s="15">
        <f>IF(A261&lt;=1,0,U260)</f>
        <v/>
      </c>
      <c r="W261" s="15">
        <f>IF(A261&lt;=1,0,V260)</f>
        <v/>
      </c>
      <c r="X261" s="15">
        <f>IF(A261&lt;=1,0,W260)</f>
        <v/>
      </c>
      <c r="Y261" s="15">
        <f>IF(A261&lt;=1,0,X260)</f>
        <v/>
      </c>
      <c r="Z261" s="15">
        <f>IF(A261&lt;=1,0,Y260)</f>
        <v/>
      </c>
      <c r="AA261" s="15">
        <f>IF(A261&lt;=1,0,Z260)</f>
        <v/>
      </c>
    </row>
    <row r="262">
      <c r="A262" s="55" t="n">
        <v>256</v>
      </c>
      <c r="B262" s="15">
        <f>IF(A262&gt;Inputs!$C$62,"",INDEX(Trajectory!$G$23:$G$2000,A262))</f>
        <v/>
      </c>
      <c r="C262" s="15">
        <f>IF(B262="","",IF(A262&lt;=Inputs!$C$75,INDEX(Trajectory!$G$23:$G$2000,1),INDEX(Trajectory!$G$23:$G$2000,MAX(1,A262-Inputs!$C$75))))</f>
        <v/>
      </c>
      <c r="D262" s="15">
        <f>IF(C262="","",MAX(Inputs!$C$76,CEILING(C262/(Inputs!$C$42*Inputs!$C$92),1)))</f>
        <v/>
      </c>
      <c r="E262" s="15">
        <f>IF(D262="","",MAX(E261,D262))</f>
        <v/>
      </c>
      <c r="F262" s="15">
        <f>E262-E261</f>
        <v/>
      </c>
      <c r="G262" s="12">
        <f>IF(E262="",1,IF(E262=0,1,(E262-SUM(L262:AA262)+SUMPRODUCT(L262:AA262,$N$5:$N$20))/E262))</f>
        <v/>
      </c>
      <c r="H262" s="14">
        <f>IF(E262="",0,E262*G262)</f>
        <v/>
      </c>
      <c r="I262" s="15">
        <f>IF(H262="",0,H262*Inputs!$C$42)</f>
        <v/>
      </c>
      <c r="J262" s="14">
        <f>IF(E262="",1,1 + (Inputs!$C$95-1)*IF((1-Inputs!$C$94)=0,0,(1-G262)/(1-Inputs!$C$94)))</f>
        <v/>
      </c>
      <c r="K262" s="12">
        <f>IF(I262=0,"",B262/I262)</f>
        <v/>
      </c>
      <c r="L262" s="15">
        <f>IF(F262="",0,F262)</f>
        <v/>
      </c>
      <c r="M262" s="15">
        <f>IF(A262&lt;=1,0,L261)</f>
        <v/>
      </c>
      <c r="N262" s="15">
        <f>IF(A262&lt;=1,0,M261)</f>
        <v/>
      </c>
      <c r="O262" s="15">
        <f>IF(A262&lt;=1,0,N261)</f>
        <v/>
      </c>
      <c r="P262" s="15">
        <f>IF(A262&lt;=1,0,O261)</f>
        <v/>
      </c>
      <c r="Q262" s="15">
        <f>IF(A262&lt;=1,0,P261)</f>
        <v/>
      </c>
      <c r="R262" s="15">
        <f>IF(A262&lt;=1,0,Q261)</f>
        <v/>
      </c>
      <c r="S262" s="15">
        <f>IF(A262&lt;=1,0,R261)</f>
        <v/>
      </c>
      <c r="T262" s="15">
        <f>IF(A262&lt;=1,0,S261)</f>
        <v/>
      </c>
      <c r="U262" s="15">
        <f>IF(A262&lt;=1,0,T261)</f>
        <v/>
      </c>
      <c r="V262" s="15">
        <f>IF(A262&lt;=1,0,U261)</f>
        <v/>
      </c>
      <c r="W262" s="15">
        <f>IF(A262&lt;=1,0,V261)</f>
        <v/>
      </c>
      <c r="X262" s="15">
        <f>IF(A262&lt;=1,0,W261)</f>
        <v/>
      </c>
      <c r="Y262" s="15">
        <f>IF(A262&lt;=1,0,X261)</f>
        <v/>
      </c>
      <c r="Z262" s="15">
        <f>IF(A262&lt;=1,0,Y261)</f>
        <v/>
      </c>
      <c r="AA262" s="15">
        <f>IF(A262&lt;=1,0,Z261)</f>
        <v/>
      </c>
    </row>
    <row r="263">
      <c r="A263" s="55" t="n">
        <v>257</v>
      </c>
      <c r="B263" s="15">
        <f>IF(A263&gt;Inputs!$C$62,"",INDEX(Trajectory!$G$23:$G$2000,A263))</f>
        <v/>
      </c>
      <c r="C263" s="15">
        <f>IF(B263="","",IF(A263&lt;=Inputs!$C$75,INDEX(Trajectory!$G$23:$G$2000,1),INDEX(Trajectory!$G$23:$G$2000,MAX(1,A263-Inputs!$C$75))))</f>
        <v/>
      </c>
      <c r="D263" s="15">
        <f>IF(C263="","",MAX(Inputs!$C$76,CEILING(C263/(Inputs!$C$42*Inputs!$C$92),1)))</f>
        <v/>
      </c>
      <c r="E263" s="15">
        <f>IF(D263="","",MAX(E262,D263))</f>
        <v/>
      </c>
      <c r="F263" s="15">
        <f>E263-E262</f>
        <v/>
      </c>
      <c r="G263" s="12">
        <f>IF(E263="",1,IF(E263=0,1,(E263-SUM(L263:AA263)+SUMPRODUCT(L263:AA263,$N$5:$N$20))/E263))</f>
        <v/>
      </c>
      <c r="H263" s="14">
        <f>IF(E263="",0,E263*G263)</f>
        <v/>
      </c>
      <c r="I263" s="15">
        <f>IF(H263="",0,H263*Inputs!$C$42)</f>
        <v/>
      </c>
      <c r="J263" s="14">
        <f>IF(E263="",1,1 + (Inputs!$C$95-1)*IF((1-Inputs!$C$94)=0,0,(1-G263)/(1-Inputs!$C$94)))</f>
        <v/>
      </c>
      <c r="K263" s="12">
        <f>IF(I263=0,"",B263/I263)</f>
        <v/>
      </c>
      <c r="L263" s="15">
        <f>IF(F263="",0,F263)</f>
        <v/>
      </c>
      <c r="M263" s="15">
        <f>IF(A263&lt;=1,0,L262)</f>
        <v/>
      </c>
      <c r="N263" s="15">
        <f>IF(A263&lt;=1,0,M262)</f>
        <v/>
      </c>
      <c r="O263" s="15">
        <f>IF(A263&lt;=1,0,N262)</f>
        <v/>
      </c>
      <c r="P263" s="15">
        <f>IF(A263&lt;=1,0,O262)</f>
        <v/>
      </c>
      <c r="Q263" s="15">
        <f>IF(A263&lt;=1,0,P262)</f>
        <v/>
      </c>
      <c r="R263" s="15">
        <f>IF(A263&lt;=1,0,Q262)</f>
        <v/>
      </c>
      <c r="S263" s="15">
        <f>IF(A263&lt;=1,0,R262)</f>
        <v/>
      </c>
      <c r="T263" s="15">
        <f>IF(A263&lt;=1,0,S262)</f>
        <v/>
      </c>
      <c r="U263" s="15">
        <f>IF(A263&lt;=1,0,T262)</f>
        <v/>
      </c>
      <c r="V263" s="15">
        <f>IF(A263&lt;=1,0,U262)</f>
        <v/>
      </c>
      <c r="W263" s="15">
        <f>IF(A263&lt;=1,0,V262)</f>
        <v/>
      </c>
      <c r="X263" s="15">
        <f>IF(A263&lt;=1,0,W262)</f>
        <v/>
      </c>
      <c r="Y263" s="15">
        <f>IF(A263&lt;=1,0,X262)</f>
        <v/>
      </c>
      <c r="Z263" s="15">
        <f>IF(A263&lt;=1,0,Y262)</f>
        <v/>
      </c>
      <c r="AA263" s="15">
        <f>IF(A263&lt;=1,0,Z262)</f>
        <v/>
      </c>
    </row>
    <row r="264">
      <c r="A264" s="55" t="n">
        <v>258</v>
      </c>
      <c r="B264" s="15">
        <f>IF(A264&gt;Inputs!$C$62,"",INDEX(Trajectory!$G$23:$G$2000,A264))</f>
        <v/>
      </c>
      <c r="C264" s="15">
        <f>IF(B264="","",IF(A264&lt;=Inputs!$C$75,INDEX(Trajectory!$G$23:$G$2000,1),INDEX(Trajectory!$G$23:$G$2000,MAX(1,A264-Inputs!$C$75))))</f>
        <v/>
      </c>
      <c r="D264" s="15">
        <f>IF(C264="","",MAX(Inputs!$C$76,CEILING(C264/(Inputs!$C$42*Inputs!$C$92),1)))</f>
        <v/>
      </c>
      <c r="E264" s="15">
        <f>IF(D264="","",MAX(E263,D264))</f>
        <v/>
      </c>
      <c r="F264" s="15">
        <f>E264-E263</f>
        <v/>
      </c>
      <c r="G264" s="12">
        <f>IF(E264="",1,IF(E264=0,1,(E264-SUM(L264:AA264)+SUMPRODUCT(L264:AA264,$N$5:$N$20))/E264))</f>
        <v/>
      </c>
      <c r="H264" s="14">
        <f>IF(E264="",0,E264*G264)</f>
        <v/>
      </c>
      <c r="I264" s="15">
        <f>IF(H264="",0,H264*Inputs!$C$42)</f>
        <v/>
      </c>
      <c r="J264" s="14">
        <f>IF(E264="",1,1 + (Inputs!$C$95-1)*IF((1-Inputs!$C$94)=0,0,(1-G264)/(1-Inputs!$C$94)))</f>
        <v/>
      </c>
      <c r="K264" s="12">
        <f>IF(I264=0,"",B264/I264)</f>
        <v/>
      </c>
      <c r="L264" s="15">
        <f>IF(F264="",0,F264)</f>
        <v/>
      </c>
      <c r="M264" s="15">
        <f>IF(A264&lt;=1,0,L263)</f>
        <v/>
      </c>
      <c r="N264" s="15">
        <f>IF(A264&lt;=1,0,M263)</f>
        <v/>
      </c>
      <c r="O264" s="15">
        <f>IF(A264&lt;=1,0,N263)</f>
        <v/>
      </c>
      <c r="P264" s="15">
        <f>IF(A264&lt;=1,0,O263)</f>
        <v/>
      </c>
      <c r="Q264" s="15">
        <f>IF(A264&lt;=1,0,P263)</f>
        <v/>
      </c>
      <c r="R264" s="15">
        <f>IF(A264&lt;=1,0,Q263)</f>
        <v/>
      </c>
      <c r="S264" s="15">
        <f>IF(A264&lt;=1,0,R263)</f>
        <v/>
      </c>
      <c r="T264" s="15">
        <f>IF(A264&lt;=1,0,S263)</f>
        <v/>
      </c>
      <c r="U264" s="15">
        <f>IF(A264&lt;=1,0,T263)</f>
        <v/>
      </c>
      <c r="V264" s="15">
        <f>IF(A264&lt;=1,0,U263)</f>
        <v/>
      </c>
      <c r="W264" s="15">
        <f>IF(A264&lt;=1,0,V263)</f>
        <v/>
      </c>
      <c r="X264" s="15">
        <f>IF(A264&lt;=1,0,W263)</f>
        <v/>
      </c>
      <c r="Y264" s="15">
        <f>IF(A264&lt;=1,0,X263)</f>
        <v/>
      </c>
      <c r="Z264" s="15">
        <f>IF(A264&lt;=1,0,Y263)</f>
        <v/>
      </c>
      <c r="AA264" s="15">
        <f>IF(A264&lt;=1,0,Z263)</f>
        <v/>
      </c>
    </row>
    <row r="265">
      <c r="A265" s="55" t="n">
        <v>259</v>
      </c>
      <c r="B265" s="15">
        <f>IF(A265&gt;Inputs!$C$62,"",INDEX(Trajectory!$G$23:$G$2000,A265))</f>
        <v/>
      </c>
      <c r="C265" s="15">
        <f>IF(B265="","",IF(A265&lt;=Inputs!$C$75,INDEX(Trajectory!$G$23:$G$2000,1),INDEX(Trajectory!$G$23:$G$2000,MAX(1,A265-Inputs!$C$75))))</f>
        <v/>
      </c>
      <c r="D265" s="15">
        <f>IF(C265="","",MAX(Inputs!$C$76,CEILING(C265/(Inputs!$C$42*Inputs!$C$92),1)))</f>
        <v/>
      </c>
      <c r="E265" s="15">
        <f>IF(D265="","",MAX(E264,D265))</f>
        <v/>
      </c>
      <c r="F265" s="15">
        <f>E265-E264</f>
        <v/>
      </c>
      <c r="G265" s="12">
        <f>IF(E265="",1,IF(E265=0,1,(E265-SUM(L265:AA265)+SUMPRODUCT(L265:AA265,$N$5:$N$20))/E265))</f>
        <v/>
      </c>
      <c r="H265" s="14">
        <f>IF(E265="",0,E265*G265)</f>
        <v/>
      </c>
      <c r="I265" s="15">
        <f>IF(H265="",0,H265*Inputs!$C$42)</f>
        <v/>
      </c>
      <c r="J265" s="14">
        <f>IF(E265="",1,1 + (Inputs!$C$95-1)*IF((1-Inputs!$C$94)=0,0,(1-G265)/(1-Inputs!$C$94)))</f>
        <v/>
      </c>
      <c r="K265" s="12">
        <f>IF(I265=0,"",B265/I265)</f>
        <v/>
      </c>
      <c r="L265" s="15">
        <f>IF(F265="",0,F265)</f>
        <v/>
      </c>
      <c r="M265" s="15">
        <f>IF(A265&lt;=1,0,L264)</f>
        <v/>
      </c>
      <c r="N265" s="15">
        <f>IF(A265&lt;=1,0,M264)</f>
        <v/>
      </c>
      <c r="O265" s="15">
        <f>IF(A265&lt;=1,0,N264)</f>
        <v/>
      </c>
      <c r="P265" s="15">
        <f>IF(A265&lt;=1,0,O264)</f>
        <v/>
      </c>
      <c r="Q265" s="15">
        <f>IF(A265&lt;=1,0,P264)</f>
        <v/>
      </c>
      <c r="R265" s="15">
        <f>IF(A265&lt;=1,0,Q264)</f>
        <v/>
      </c>
      <c r="S265" s="15">
        <f>IF(A265&lt;=1,0,R264)</f>
        <v/>
      </c>
      <c r="T265" s="15">
        <f>IF(A265&lt;=1,0,S264)</f>
        <v/>
      </c>
      <c r="U265" s="15">
        <f>IF(A265&lt;=1,0,T264)</f>
        <v/>
      </c>
      <c r="V265" s="15">
        <f>IF(A265&lt;=1,0,U264)</f>
        <v/>
      </c>
      <c r="W265" s="15">
        <f>IF(A265&lt;=1,0,V264)</f>
        <v/>
      </c>
      <c r="X265" s="15">
        <f>IF(A265&lt;=1,0,W264)</f>
        <v/>
      </c>
      <c r="Y265" s="15">
        <f>IF(A265&lt;=1,0,X264)</f>
        <v/>
      </c>
      <c r="Z265" s="15">
        <f>IF(A265&lt;=1,0,Y264)</f>
        <v/>
      </c>
      <c r="AA265" s="15">
        <f>IF(A265&lt;=1,0,Z264)</f>
        <v/>
      </c>
    </row>
    <row r="266">
      <c r="A266" s="55" t="n">
        <v>260</v>
      </c>
      <c r="B266" s="15">
        <f>IF(A266&gt;Inputs!$C$62,"",INDEX(Trajectory!$G$23:$G$2000,A266))</f>
        <v/>
      </c>
      <c r="C266" s="15">
        <f>IF(B266="","",IF(A266&lt;=Inputs!$C$75,INDEX(Trajectory!$G$23:$G$2000,1),INDEX(Trajectory!$G$23:$G$2000,MAX(1,A266-Inputs!$C$75))))</f>
        <v/>
      </c>
      <c r="D266" s="15">
        <f>IF(C266="","",MAX(Inputs!$C$76,CEILING(C266/(Inputs!$C$42*Inputs!$C$92),1)))</f>
        <v/>
      </c>
      <c r="E266" s="15">
        <f>IF(D266="","",MAX(E265,D266))</f>
        <v/>
      </c>
      <c r="F266" s="15">
        <f>E266-E265</f>
        <v/>
      </c>
      <c r="G266" s="12">
        <f>IF(E266="",1,IF(E266=0,1,(E266-SUM(L266:AA266)+SUMPRODUCT(L266:AA266,$N$5:$N$20))/E266))</f>
        <v/>
      </c>
      <c r="H266" s="14">
        <f>IF(E266="",0,E266*G266)</f>
        <v/>
      </c>
      <c r="I266" s="15">
        <f>IF(H266="",0,H266*Inputs!$C$42)</f>
        <v/>
      </c>
      <c r="J266" s="14">
        <f>IF(E266="",1,1 + (Inputs!$C$95-1)*IF((1-Inputs!$C$94)=0,0,(1-G266)/(1-Inputs!$C$94)))</f>
        <v/>
      </c>
      <c r="K266" s="12">
        <f>IF(I266=0,"",B266/I266)</f>
        <v/>
      </c>
      <c r="L266" s="15">
        <f>IF(F266="",0,F266)</f>
        <v/>
      </c>
      <c r="M266" s="15">
        <f>IF(A266&lt;=1,0,L265)</f>
        <v/>
      </c>
      <c r="N266" s="15">
        <f>IF(A266&lt;=1,0,M265)</f>
        <v/>
      </c>
      <c r="O266" s="15">
        <f>IF(A266&lt;=1,0,N265)</f>
        <v/>
      </c>
      <c r="P266" s="15">
        <f>IF(A266&lt;=1,0,O265)</f>
        <v/>
      </c>
      <c r="Q266" s="15">
        <f>IF(A266&lt;=1,0,P265)</f>
        <v/>
      </c>
      <c r="R266" s="15">
        <f>IF(A266&lt;=1,0,Q265)</f>
        <v/>
      </c>
      <c r="S266" s="15">
        <f>IF(A266&lt;=1,0,R265)</f>
        <v/>
      </c>
      <c r="T266" s="15">
        <f>IF(A266&lt;=1,0,S265)</f>
        <v/>
      </c>
      <c r="U266" s="15">
        <f>IF(A266&lt;=1,0,T265)</f>
        <v/>
      </c>
      <c r="V266" s="15">
        <f>IF(A266&lt;=1,0,U265)</f>
        <v/>
      </c>
      <c r="W266" s="15">
        <f>IF(A266&lt;=1,0,V265)</f>
        <v/>
      </c>
      <c r="X266" s="15">
        <f>IF(A266&lt;=1,0,W265)</f>
        <v/>
      </c>
      <c r="Y266" s="15">
        <f>IF(A266&lt;=1,0,X265)</f>
        <v/>
      </c>
      <c r="Z266" s="15">
        <f>IF(A266&lt;=1,0,Y265)</f>
        <v/>
      </c>
      <c r="AA266" s="15">
        <f>IF(A266&lt;=1,0,Z265)</f>
        <v/>
      </c>
    </row>
  </sheetData>
  <mergeCells count="2">
    <mergeCell ref="A1:K1"/>
    <mergeCell ref="M3:N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282"/>
  <sheetViews>
    <sheetView workbookViewId="0">
      <pane ySplit="22" topLeftCell="A2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2" customWidth="1" min="9" max="9"/>
    <col width="12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8" customWidth="1" min="21" max="21"/>
    <col width="18" customWidth="1" min="22" max="22"/>
    <col width="18" customWidth="1" min="23" max="23"/>
    <col width="18" customWidth="1" min="24" max="24"/>
    <col width="13" customWidth="1" min="25" max="25"/>
    <col width="13" customWidth="1" min="26" max="26"/>
    <col width="13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</cols>
  <sheetData>
    <row r="1" ht="20" customHeight="1">
      <c r="A1" s="3" t="inlineStr">
        <is>
          <t>Trajectory Simulation (weekly cadence, capacity steps, inventory, cash)</t>
        </is>
      </c>
      <c r="B1" s="36" t="n"/>
      <c r="C1" s="36" t="n"/>
      <c r="D1" s="36" t="n"/>
      <c r="E1" s="36" t="n"/>
      <c r="F1" s="36" t="n"/>
      <c r="G1" s="36" t="n"/>
      <c r="H1" s="36" t="n"/>
      <c r="I1" s="36" t="n"/>
      <c r="J1" s="36" t="n"/>
      <c r="K1" s="36" t="n"/>
      <c r="L1" s="36" t="n"/>
      <c r="M1" s="36" t="n"/>
      <c r="N1" s="37" t="n"/>
    </row>
    <row r="3" ht="18" customHeight="1">
      <c r="A3" s="7" t="inlineStr">
        <is>
          <t>Inputs (linked)</t>
        </is>
      </c>
      <c r="B3" s="36" t="n"/>
      <c r="C3" s="37" t="n"/>
      <c r="D3" s="7" t="inlineStr">
        <is>
          <t>Key Outputs (derived)</t>
        </is>
      </c>
      <c r="E3" s="36" t="n"/>
      <c r="F3" s="37" t="n"/>
    </row>
    <row r="4">
      <c r="A4" s="8" t="inlineStr">
        <is>
          <t>Horizon (weeks)</t>
        </is>
      </c>
      <c r="B4" s="10">
        <f>Inputs!C62</f>
        <v/>
      </c>
      <c r="D4" s="8" t="inlineStr">
        <is>
          <t>Min cash balance</t>
        </is>
      </c>
      <c r="E4" s="41">
        <f>MIN(AA23:INDEX(AA:AA,22+Inputs!$C$62))</f>
        <v/>
      </c>
    </row>
    <row r="5">
      <c r="A5" s="8" t="inlineStr">
        <is>
          <t>Start active users</t>
        </is>
      </c>
      <c r="B5" s="10">
        <f>Inputs!C63</f>
        <v/>
      </c>
      <c r="D5" s="8" t="inlineStr">
        <is>
          <t>Weeks to cash-out</t>
        </is>
      </c>
      <c r="E5" s="15">
        <f>IF(E4&gt;=0,"",MATCH(1,AB23:INDEX(AB:AB,22+Inputs!$C$62),0))</f>
        <v/>
      </c>
    </row>
    <row r="6">
      <c r="A6" s="8" t="inlineStr">
        <is>
          <t>Weekly new users</t>
        </is>
      </c>
      <c r="B6" s="10">
        <f>Inputs!C64</f>
        <v/>
      </c>
      <c r="D6" s="8" t="inlineStr">
        <is>
          <t>Min fulfill rate</t>
        </is>
      </c>
      <c r="E6" s="12">
        <f>MIN(K23:INDEX(K:K,22+Inputs!$C$62))</f>
        <v/>
      </c>
    </row>
    <row r="7">
      <c r="A7" s="8" t="inlineStr">
        <is>
          <t>Base churn (weekly)</t>
        </is>
      </c>
      <c r="B7" s="10">
        <f>Inputs!C66</f>
        <v/>
      </c>
      <c r="D7" s="8" t="inlineStr">
        <is>
          <t>Max required garments</t>
        </is>
      </c>
      <c r="E7" s="17">
        <f>MAX(R23:INDEX(R:R,22+Inputs!$C$62))</f>
        <v/>
      </c>
    </row>
    <row r="8">
      <c r="A8" s="8" t="inlineStr">
        <is>
          <t>Start cash</t>
        </is>
      </c>
      <c r="B8" s="10">
        <f>Inputs!C72</f>
        <v/>
      </c>
      <c r="D8" s="8" t="inlineStr">
        <is>
          <t>Max inventory multiple</t>
        </is>
      </c>
      <c r="E8" s="14">
        <f>MAX(AC23:INDEX(AC:AC,22+Inputs!$C$62))</f>
        <v/>
      </c>
    </row>
    <row r="9">
      <c r="A9" s="8" t="inlineStr">
        <is>
          <t>CAC per new user</t>
        </is>
      </c>
      <c r="B9" s="10">
        <f>Inputs!C65</f>
        <v/>
      </c>
    </row>
    <row r="10">
      <c r="A10" s="8" t="inlineStr">
        <is>
          <t>Site add lead (wks)</t>
        </is>
      </c>
      <c r="B10" s="10">
        <f>Inputs!C75</f>
        <v/>
      </c>
    </row>
    <row r="11">
      <c r="A11" s="8" t="inlineStr">
        <is>
          <t>Inventory lead (wks)</t>
        </is>
      </c>
      <c r="B11" s="10">
        <f>Inputs!C73</f>
        <v/>
      </c>
    </row>
    <row r="22" ht="34" customHeight="1">
      <c r="A22" s="7" t="inlineStr">
        <is>
          <t>Week</t>
        </is>
      </c>
      <c r="B22" s="7" t="inlineStr">
        <is>
          <t>Active_Begin</t>
        </is>
      </c>
      <c r="C22" s="7" t="inlineStr">
        <is>
          <t>New_Users</t>
        </is>
      </c>
      <c r="D22" s="7" t="inlineStr">
        <is>
          <t>Churn_Rate</t>
        </is>
      </c>
      <c r="E22" s="7" t="inlineStr">
        <is>
          <t>Churned</t>
        </is>
      </c>
      <c r="F22" s="7" t="inlineStr">
        <is>
          <t>Active_End</t>
        </is>
      </c>
      <c r="G22" s="7" t="inlineStr">
        <is>
          <t>Demand_Boxes</t>
        </is>
      </c>
      <c r="H22" s="7" t="inlineStr">
        <is>
          <t>Sites_Online</t>
        </is>
      </c>
      <c r="I22" s="7" t="inlineStr">
        <is>
          <t>Capacity_Boxes</t>
        </is>
      </c>
      <c r="J22" s="7" t="inlineStr">
        <is>
          <t>Fulfilled</t>
        </is>
      </c>
      <c r="K22" s="7" t="inlineStr">
        <is>
          <t>Fulfill_Rate</t>
        </is>
      </c>
      <c r="L22" s="7" t="inlineStr">
        <is>
          <t>Refund_Rate</t>
        </is>
      </c>
      <c r="M22" s="7" t="inlineStr">
        <is>
          <t>Net_Revenue</t>
        </is>
      </c>
      <c r="N22" s="7" t="inlineStr">
        <is>
          <t>Var_Cost</t>
        </is>
      </c>
      <c r="O22" s="7" t="inlineStr">
        <is>
          <t>CM</t>
        </is>
      </c>
      <c r="P22" s="7" t="inlineStr">
        <is>
          <t>Fixed_OPEX</t>
        </is>
      </c>
      <c r="Q22" s="7" t="inlineStr">
        <is>
          <t>Op_Profit</t>
        </is>
      </c>
      <c r="R22" s="7" t="inlineStr">
        <is>
          <t>Req_Garments</t>
        </is>
      </c>
      <c r="S22" s="7" t="inlineStr">
        <is>
          <t>Inv_OnHand_Begin</t>
        </is>
      </c>
      <c r="T22" s="7" t="inlineStr">
        <is>
          <t>Replace_Garments</t>
        </is>
      </c>
      <c r="U22" s="7" t="inlineStr">
        <is>
          <t>Order_Garments</t>
        </is>
      </c>
      <c r="V22" s="7" t="inlineStr">
        <is>
          <t>Arrivals</t>
        </is>
      </c>
      <c r="W22" s="7" t="inlineStr">
        <is>
          <t>Inv_OnHand_End</t>
        </is>
      </c>
      <c r="X22" s="7" t="inlineStr">
        <is>
          <t>Inv_Spend</t>
        </is>
      </c>
      <c r="Y22" s="7" t="inlineStr">
        <is>
          <t>CAC_Spend</t>
        </is>
      </c>
      <c r="Z22" s="7" t="inlineStr">
        <is>
          <t>Cash_Begin</t>
        </is>
      </c>
      <c r="AA22" s="7" t="inlineStr">
        <is>
          <t>Cash_End</t>
        </is>
      </c>
      <c r="AB22" s="7" t="inlineStr">
        <is>
          <t>Cash_Neg_Flag</t>
        </is>
      </c>
      <c r="AC22" s="7" t="inlineStr">
        <is>
          <t>Inv_Multiple</t>
        </is>
      </c>
      <c r="AD22" s="7" t="inlineStr">
        <is>
          <t>Active_Service</t>
        </is>
      </c>
      <c r="AE22" s="7" t="inlineStr">
        <is>
          <t>CAC_t</t>
        </is>
      </c>
      <c r="AF22" s="7" t="inlineStr">
        <is>
          <t>Mktg_Budget</t>
        </is>
      </c>
      <c r="AG22" s="7" t="inlineStr">
        <is>
          <t>Churn_Shock</t>
        </is>
      </c>
      <c r="AH22" s="7" t="inlineStr">
        <is>
          <t>Ramp_Eff</t>
        </is>
      </c>
      <c r="AI22" s="7" t="inlineStr">
        <is>
          <t>VarCost_Mult</t>
        </is>
      </c>
      <c r="AJ22" s="7" t="inlineStr">
        <is>
          <t>Utilization</t>
        </is>
      </c>
    </row>
    <row r="23" ht="16" customHeight="1">
      <c r="A23" s="15" t="n">
        <v>1</v>
      </c>
      <c r="B23" s="50">
        <f>IF(A23&gt;Inputs!$C$62,"",IF(Inputs!$C$80=1,INDEX(Cohorts!$B$67:$B$326,A23),IF(A23=1,Inputs!$C$63,F22)))</f>
        <v/>
      </c>
      <c r="C23" s="50">
        <f>IF(A23&gt;Inputs!$C$62,"",IF(Inputs!$C$85=0,Inputs!$C$64,MIN(Inputs!$C$91,IF(AE23=0,0,AF23/AE23))))</f>
        <v/>
      </c>
      <c r="D23" s="51">
        <f>IF(A23&gt;Inputs!$C$62,"",IF(Inputs!$C$80=1,INDEX(Cohorts!$G$67:$G$326,A23),MAX(0, Inputs!$C$66 + Inputs!$C$67*L23 + Inputs!$C$68*(1-K23) + Inputs!$C$69*Inputs!$C$10)))</f>
        <v/>
      </c>
      <c r="E23" s="50">
        <f>IF(A23&gt;Inputs!$C$62,"",IF(Inputs!$C$80=1,INDEX(Cohorts!$H$67:$H$326,A23),D23*AD23))</f>
        <v/>
      </c>
      <c r="F23" s="50">
        <f>IF(A23&gt;Inputs!$C$62,"",IF(Inputs!$C$80=1,INDEX(Cohorts!$I$67:$I$326,A23),AD23-E23))</f>
        <v/>
      </c>
      <c r="G23" s="50">
        <f>IF(A23&gt;Inputs!$C$62,"",AD23)</f>
        <v/>
      </c>
      <c r="H23" s="50">
        <f>IF(A23&gt;Inputs!$C$62,"",INDEX(CapacityPlan!$E$7:$E$266,A23))</f>
        <v/>
      </c>
      <c r="I23" s="50">
        <f>IF(A23&gt;Inputs!$C$62,"",INDEX(CapacityPlan!$I$7:$I$266,A23))</f>
        <v/>
      </c>
      <c r="J23" s="50">
        <f>IF(A23&gt;Inputs!$C$62,"",IF(G23&gt;I23,I23,G23))</f>
        <v/>
      </c>
      <c r="K23" s="51">
        <f>IF(A23&gt;Inputs!$C$62,"",IF(G23=0,1,J23/G23))</f>
        <v/>
      </c>
      <c r="L23" s="51">
        <f>IF((Inputs!$C$36 + UnitEconomics!$B$12*Inputs!$C$37 + Inputs!$C$10*Inputs!$C$38 + Inputs!$C$70*(1-K23))&gt;1,1,(Inputs!$C$36 + UnitEconomics!$B$12*Inputs!$C$37 + Inputs!$C$10*Inputs!$C$38 + Inputs!$C$70*(1-K23)))</f>
        <v/>
      </c>
      <c r="M23" s="52">
        <f>IF(A23&gt;Inputs!$C$62,"",J23*Inputs!$C$7*(1-Inputs!$C$8)*(1-L23))</f>
        <v/>
      </c>
      <c r="N23" s="52">
        <f>IF(A23&gt;Inputs!$C$62,"",J23*UnitEconomics!$B$32*AI23 + (G23-J23)*Inputs!$C$71)</f>
        <v/>
      </c>
      <c r="O23" s="52">
        <f>M23-N23</f>
        <v/>
      </c>
      <c r="P23" s="52">
        <f>IF(A23&gt;Inputs!$C$62,"",Inputs!$C$40 + H23*Inputs!$C$41)</f>
        <v/>
      </c>
      <c r="Q23" s="52">
        <f>O23-P23</f>
        <v/>
      </c>
      <c r="R23" s="50">
        <f>IF(A23&gt;Inputs!$C$62,"",AD23*Inputs!$C$16*(Inputs!$C$9 + Inputs!$C$10*Inputs!$C$11 + Inputs!$C$12)*(1 + VLOOKUP(Inputs!$C$15,Lookups!$A$2:$B$20,2,TRUE)*(Scale!$B$9/IF(Scale!$B$8=0,1,Scale!$B$8)) + Inputs!$C$52))</f>
        <v/>
      </c>
      <c r="S23" s="50">
        <f>IF(A23=1,Scale!$B$13, W22)</f>
        <v/>
      </c>
      <c r="T23" s="50">
        <f>J23*Inputs!$C$16*(Inputs!$C$19 + Inputs!$C$20*Inputs!$C$21 + 1/Inputs!$C$18)</f>
        <v/>
      </c>
      <c r="U23" s="50">
        <f>MAX(0, (R23*(1+Inputs!$C$74)) - (S23 - T23))</f>
        <v/>
      </c>
      <c r="V23" s="50">
        <f>IF(A23&lt;=Inputs!$C$73,0,INDEX(U:U,ROW()-Inputs!$C$73))</f>
        <v/>
      </c>
      <c r="W23" s="50">
        <f>S23 - T23 + V23</f>
        <v/>
      </c>
      <c r="X23" s="52">
        <f>V23*Inputs!$C$17</f>
        <v/>
      </c>
      <c r="Y23" s="52">
        <f>IF(A23&gt;Inputs!$C$62,"",C23*AE23)</f>
        <v/>
      </c>
      <c r="Z23" s="52">
        <f>IF(A23=1,Inputs!$C$72,AA22)</f>
        <v/>
      </c>
      <c r="AA23" s="52">
        <f>Z23 + M23 - N23 - P23 - X23 - Y23</f>
        <v/>
      </c>
      <c r="AB23" s="53">
        <f>IF(AA23&lt;0,1,0)</f>
        <v/>
      </c>
      <c r="AC23" s="54">
        <f>IF(AD23=0,0,R23/(AD23*Inputs!$C$16))</f>
        <v/>
      </c>
      <c r="AD23" s="53">
        <f>IF(A23&gt;Inputs!$C$62,"",B23+C23)</f>
        <v/>
      </c>
      <c r="AE23" s="56">
        <f>IF(A23&gt;Inputs!$C$62,"", Inputs!$C$65*(1+Inputs!$C$89*POWER(MIN(1,IF(Inputs!$C$88=0,0,B23/Inputs!$C$88)),Inputs!$C$90)))</f>
        <v/>
      </c>
      <c r="AF23" s="52">
        <f>IF(A23&gt;Inputs!$C$62,"",IF(A23=1,Inputs!$C$86,MIN(Inputs!$C$86,Inputs!$C$87*M22)))</f>
        <v/>
      </c>
      <c r="AG23" s="51">
        <f>IF(A23&gt;Inputs!$C$62,"",MIN(0.5,MAX(0, Inputs!$C$67*L23 + Inputs!$C$68*(1-K23) + Inputs!$C$69*Inputs!$C$10)))</f>
        <v/>
      </c>
      <c r="AH23" s="51">
        <f>IF(A23&gt;Inputs!$C$62,"",INDEX(CapacityPlan!$G$7:$G$266,A23))</f>
        <v/>
      </c>
      <c r="AI23" s="54">
        <f>IF(A23&gt;Inputs!$C$62,"",INDEX(CapacityPlan!$J$7:$J$266,A23))</f>
        <v/>
      </c>
      <c r="AJ23" s="51">
        <f>IF(A23&gt;Inputs!$C$62,"",IF(I23=0,"",G23/I23))</f>
        <v/>
      </c>
    </row>
    <row r="24" ht="16" customHeight="1">
      <c r="A24" s="15" t="n">
        <v>2</v>
      </c>
      <c r="B24" s="50">
        <f>IF(A24&gt;Inputs!$C$62,"",IF(Inputs!$C$80=1,INDEX(Cohorts!$B$67:$B$326,A24),IF(A24=1,Inputs!$C$63,F23)))</f>
        <v/>
      </c>
      <c r="C24" s="50">
        <f>IF(A24&gt;Inputs!$C$62,"",IF(Inputs!$C$85=0,Inputs!$C$64,MIN(Inputs!$C$91,IF(AE24=0,0,AF24/AE24))))</f>
        <v/>
      </c>
      <c r="D24" s="51">
        <f>IF(A24&gt;Inputs!$C$62,"",IF(Inputs!$C$80=1,INDEX(Cohorts!$G$67:$G$326,A24),MAX(0, Inputs!$C$66 + Inputs!$C$67*L24 + Inputs!$C$68*(1-K24) + Inputs!$C$69*Inputs!$C$10)))</f>
        <v/>
      </c>
      <c r="E24" s="50">
        <f>IF(A24&gt;Inputs!$C$62,"",IF(Inputs!$C$80=1,INDEX(Cohorts!$H$67:$H$326,A24),D24*AD24))</f>
        <v/>
      </c>
      <c r="F24" s="50">
        <f>IF(A24&gt;Inputs!$C$62,"",IF(Inputs!$C$80=1,INDEX(Cohorts!$I$67:$I$326,A24),AD24-E24))</f>
        <v/>
      </c>
      <c r="G24" s="50">
        <f>IF(A24&gt;Inputs!$C$62,"",AD24)</f>
        <v/>
      </c>
      <c r="H24" s="50">
        <f>IF(A24&gt;Inputs!$C$62,"",INDEX(CapacityPlan!$E$7:$E$266,A24))</f>
        <v/>
      </c>
      <c r="I24" s="50">
        <f>IF(A24&gt;Inputs!$C$62,"",INDEX(CapacityPlan!$I$7:$I$266,A24))</f>
        <v/>
      </c>
      <c r="J24" s="50">
        <f>IF(A24&gt;Inputs!$C$62,"",IF(G24&gt;I24,I24,G24))</f>
        <v/>
      </c>
      <c r="K24" s="51">
        <f>IF(A24&gt;Inputs!$C$62,"",IF(G24=0,1,J24/G24))</f>
        <v/>
      </c>
      <c r="L24" s="51">
        <f>IF((Inputs!$C$36 + UnitEconomics!$B$12*Inputs!$C$37 + Inputs!$C$10*Inputs!$C$38 + Inputs!$C$70*(1-K24))&gt;1,1,(Inputs!$C$36 + UnitEconomics!$B$12*Inputs!$C$37 + Inputs!$C$10*Inputs!$C$38 + Inputs!$C$70*(1-K24)))</f>
        <v/>
      </c>
      <c r="M24" s="52">
        <f>IF(A24&gt;Inputs!$C$62,"",J24*Inputs!$C$7*(1-Inputs!$C$8)*(1-L24))</f>
        <v/>
      </c>
      <c r="N24" s="52">
        <f>IF(A24&gt;Inputs!$C$62,"",J24*UnitEconomics!$B$32*AI24 + (G24-J24)*Inputs!$C$71)</f>
        <v/>
      </c>
      <c r="O24" s="52">
        <f>M24-N24</f>
        <v/>
      </c>
      <c r="P24" s="52">
        <f>IF(A24&gt;Inputs!$C$62,"",Inputs!$C$40 + H24*Inputs!$C$41)</f>
        <v/>
      </c>
      <c r="Q24" s="52">
        <f>O24-P24</f>
        <v/>
      </c>
      <c r="R24" s="50">
        <f>IF(A24&gt;Inputs!$C$62,"",AD24*Inputs!$C$16*(Inputs!$C$9 + Inputs!$C$10*Inputs!$C$11 + Inputs!$C$12)*(1 + VLOOKUP(Inputs!$C$15,Lookups!$A$2:$B$20,2,TRUE)*(Scale!$B$9/IF(Scale!$B$8=0,1,Scale!$B$8)) + Inputs!$C$52))</f>
        <v/>
      </c>
      <c r="S24" s="50">
        <f>IF(A24=1,Scale!$B$13, W23)</f>
        <v/>
      </c>
      <c r="T24" s="50">
        <f>J24*Inputs!$C$16*(Inputs!$C$19 + Inputs!$C$20*Inputs!$C$21 + 1/Inputs!$C$18)</f>
        <v/>
      </c>
      <c r="U24" s="50">
        <f>MAX(0, (R24*(1+Inputs!$C$74)) - (S24 - T24))</f>
        <v/>
      </c>
      <c r="V24" s="50">
        <f>IF(A24&lt;=Inputs!$C$73,0,INDEX(U:U,ROW()-Inputs!$C$73))</f>
        <v/>
      </c>
      <c r="W24" s="50">
        <f>S24 - T24 + V24</f>
        <v/>
      </c>
      <c r="X24" s="52">
        <f>V24*Inputs!$C$17</f>
        <v/>
      </c>
      <c r="Y24" s="52">
        <f>IF(A24&gt;Inputs!$C$62,"",C24*AE24)</f>
        <v/>
      </c>
      <c r="Z24" s="52">
        <f>IF(A24=1,Inputs!$C$72,AA23)</f>
        <v/>
      </c>
      <c r="AA24" s="52">
        <f>Z24 + M24 - N24 - P24 - X24 - Y24</f>
        <v/>
      </c>
      <c r="AB24" s="53">
        <f>IF(AA24&lt;0,1,0)</f>
        <v/>
      </c>
      <c r="AC24" s="54">
        <f>IF(AD24=0,0,R24/(AD24*Inputs!$C$16))</f>
        <v/>
      </c>
      <c r="AD24" s="53">
        <f>IF(A24&gt;Inputs!$C$62,"",B24+C24)</f>
        <v/>
      </c>
      <c r="AE24" s="56">
        <f>IF(A24&gt;Inputs!$C$62,"", Inputs!$C$65*(1+Inputs!$C$89*POWER(MIN(1,IF(Inputs!$C$88=0,0,B24/Inputs!$C$88)),Inputs!$C$90)))</f>
        <v/>
      </c>
      <c r="AF24" s="52">
        <f>IF(A24&gt;Inputs!$C$62,"",IF(A24=1,Inputs!$C$86,MIN(Inputs!$C$86,Inputs!$C$87*M23)))</f>
        <v/>
      </c>
      <c r="AG24" s="51">
        <f>IF(A24&gt;Inputs!$C$62,"",MIN(0.5,MAX(0, Inputs!$C$67*L24 + Inputs!$C$68*(1-K24) + Inputs!$C$69*Inputs!$C$10)))</f>
        <v/>
      </c>
      <c r="AH24" s="51">
        <f>IF(A24&gt;Inputs!$C$62,"",INDEX(CapacityPlan!$G$7:$G$266,A24))</f>
        <v/>
      </c>
      <c r="AI24" s="54">
        <f>IF(A24&gt;Inputs!$C$62,"",INDEX(CapacityPlan!$J$7:$J$266,A24))</f>
        <v/>
      </c>
      <c r="AJ24" s="51">
        <f>IF(A24&gt;Inputs!$C$62,"",IF(I24=0,"",G24/I24))</f>
        <v/>
      </c>
    </row>
    <row r="25" ht="16" customHeight="1">
      <c r="A25" s="15" t="n">
        <v>3</v>
      </c>
      <c r="B25" s="50">
        <f>IF(A25&gt;Inputs!$C$62,"",IF(Inputs!$C$80=1,INDEX(Cohorts!$B$67:$B$326,A25),IF(A25=1,Inputs!$C$63,F24)))</f>
        <v/>
      </c>
      <c r="C25" s="50">
        <f>IF(A25&gt;Inputs!$C$62,"",IF(Inputs!$C$85=0,Inputs!$C$64,MIN(Inputs!$C$91,IF(AE25=0,0,AF25/AE25))))</f>
        <v/>
      </c>
      <c r="D25" s="51">
        <f>IF(A25&gt;Inputs!$C$62,"",IF(Inputs!$C$80=1,INDEX(Cohorts!$G$67:$G$326,A25),MAX(0, Inputs!$C$66 + Inputs!$C$67*L25 + Inputs!$C$68*(1-K25) + Inputs!$C$69*Inputs!$C$10)))</f>
        <v/>
      </c>
      <c r="E25" s="50">
        <f>IF(A25&gt;Inputs!$C$62,"",IF(Inputs!$C$80=1,INDEX(Cohorts!$H$67:$H$326,A25),D25*AD25))</f>
        <v/>
      </c>
      <c r="F25" s="50">
        <f>IF(A25&gt;Inputs!$C$62,"",IF(Inputs!$C$80=1,INDEX(Cohorts!$I$67:$I$326,A25),AD25-E25))</f>
        <v/>
      </c>
      <c r="G25" s="50">
        <f>IF(A25&gt;Inputs!$C$62,"",AD25)</f>
        <v/>
      </c>
      <c r="H25" s="50">
        <f>IF(A25&gt;Inputs!$C$62,"",INDEX(CapacityPlan!$E$7:$E$266,A25))</f>
        <v/>
      </c>
      <c r="I25" s="50">
        <f>IF(A25&gt;Inputs!$C$62,"",INDEX(CapacityPlan!$I$7:$I$266,A25))</f>
        <v/>
      </c>
      <c r="J25" s="50">
        <f>IF(A25&gt;Inputs!$C$62,"",IF(G25&gt;I25,I25,G25))</f>
        <v/>
      </c>
      <c r="K25" s="51">
        <f>IF(A25&gt;Inputs!$C$62,"",IF(G25=0,1,J25/G25))</f>
        <v/>
      </c>
      <c r="L25" s="51">
        <f>IF((Inputs!$C$36 + UnitEconomics!$B$12*Inputs!$C$37 + Inputs!$C$10*Inputs!$C$38 + Inputs!$C$70*(1-K25))&gt;1,1,(Inputs!$C$36 + UnitEconomics!$B$12*Inputs!$C$37 + Inputs!$C$10*Inputs!$C$38 + Inputs!$C$70*(1-K25)))</f>
        <v/>
      </c>
      <c r="M25" s="52">
        <f>IF(A25&gt;Inputs!$C$62,"",J25*Inputs!$C$7*(1-Inputs!$C$8)*(1-L25))</f>
        <v/>
      </c>
      <c r="N25" s="52">
        <f>IF(A25&gt;Inputs!$C$62,"",J25*UnitEconomics!$B$32*AI25 + (G25-J25)*Inputs!$C$71)</f>
        <v/>
      </c>
      <c r="O25" s="52">
        <f>M25-N25</f>
        <v/>
      </c>
      <c r="P25" s="52">
        <f>IF(A25&gt;Inputs!$C$62,"",Inputs!$C$40 + H25*Inputs!$C$41)</f>
        <v/>
      </c>
      <c r="Q25" s="52">
        <f>O25-P25</f>
        <v/>
      </c>
      <c r="R25" s="50">
        <f>IF(A25&gt;Inputs!$C$62,"",AD25*Inputs!$C$16*(Inputs!$C$9 + Inputs!$C$10*Inputs!$C$11 + Inputs!$C$12)*(1 + VLOOKUP(Inputs!$C$15,Lookups!$A$2:$B$20,2,TRUE)*(Scale!$B$9/IF(Scale!$B$8=0,1,Scale!$B$8)) + Inputs!$C$52))</f>
        <v/>
      </c>
      <c r="S25" s="50">
        <f>IF(A25=1,Scale!$B$13, W24)</f>
        <v/>
      </c>
      <c r="T25" s="50">
        <f>J25*Inputs!$C$16*(Inputs!$C$19 + Inputs!$C$20*Inputs!$C$21 + 1/Inputs!$C$18)</f>
        <v/>
      </c>
      <c r="U25" s="50">
        <f>MAX(0, (R25*(1+Inputs!$C$74)) - (S25 - T25))</f>
        <v/>
      </c>
      <c r="V25" s="50">
        <f>IF(A25&lt;=Inputs!$C$73,0,INDEX(U:U,ROW()-Inputs!$C$73))</f>
        <v/>
      </c>
      <c r="W25" s="50">
        <f>S25 - T25 + V25</f>
        <v/>
      </c>
      <c r="X25" s="52">
        <f>V25*Inputs!$C$17</f>
        <v/>
      </c>
      <c r="Y25" s="52">
        <f>IF(A25&gt;Inputs!$C$62,"",C25*AE25)</f>
        <v/>
      </c>
      <c r="Z25" s="52">
        <f>IF(A25=1,Inputs!$C$72,AA24)</f>
        <v/>
      </c>
      <c r="AA25" s="52">
        <f>Z25 + M25 - N25 - P25 - X25 - Y25</f>
        <v/>
      </c>
      <c r="AB25" s="53">
        <f>IF(AA25&lt;0,1,0)</f>
        <v/>
      </c>
      <c r="AC25" s="54">
        <f>IF(AD25=0,0,R25/(AD25*Inputs!$C$16))</f>
        <v/>
      </c>
      <c r="AD25" s="53">
        <f>IF(A25&gt;Inputs!$C$62,"",B25+C25)</f>
        <v/>
      </c>
      <c r="AE25" s="56">
        <f>IF(A25&gt;Inputs!$C$62,"", Inputs!$C$65*(1+Inputs!$C$89*POWER(MIN(1,IF(Inputs!$C$88=0,0,B25/Inputs!$C$88)),Inputs!$C$90)))</f>
        <v/>
      </c>
      <c r="AF25" s="52">
        <f>IF(A25&gt;Inputs!$C$62,"",IF(A25=1,Inputs!$C$86,MIN(Inputs!$C$86,Inputs!$C$87*M24)))</f>
        <v/>
      </c>
      <c r="AG25" s="51">
        <f>IF(A25&gt;Inputs!$C$62,"",MIN(0.5,MAX(0, Inputs!$C$67*L25 + Inputs!$C$68*(1-K25) + Inputs!$C$69*Inputs!$C$10)))</f>
        <v/>
      </c>
      <c r="AH25" s="51">
        <f>IF(A25&gt;Inputs!$C$62,"",INDEX(CapacityPlan!$G$7:$G$266,A25))</f>
        <v/>
      </c>
      <c r="AI25" s="54">
        <f>IF(A25&gt;Inputs!$C$62,"",INDEX(CapacityPlan!$J$7:$J$266,A25))</f>
        <v/>
      </c>
      <c r="AJ25" s="51">
        <f>IF(A25&gt;Inputs!$C$62,"",IF(I25=0,"",G25/I25))</f>
        <v/>
      </c>
    </row>
    <row r="26" ht="16" customHeight="1">
      <c r="A26" s="15" t="n">
        <v>4</v>
      </c>
      <c r="B26" s="50">
        <f>IF(A26&gt;Inputs!$C$62,"",IF(Inputs!$C$80=1,INDEX(Cohorts!$B$67:$B$326,A26),IF(A26=1,Inputs!$C$63,F25)))</f>
        <v/>
      </c>
      <c r="C26" s="50">
        <f>IF(A26&gt;Inputs!$C$62,"",IF(Inputs!$C$85=0,Inputs!$C$64,MIN(Inputs!$C$91,IF(AE26=0,0,AF26/AE26))))</f>
        <v/>
      </c>
      <c r="D26" s="51">
        <f>IF(A26&gt;Inputs!$C$62,"",IF(Inputs!$C$80=1,INDEX(Cohorts!$G$67:$G$326,A26),MAX(0, Inputs!$C$66 + Inputs!$C$67*L26 + Inputs!$C$68*(1-K26) + Inputs!$C$69*Inputs!$C$10)))</f>
        <v/>
      </c>
      <c r="E26" s="50">
        <f>IF(A26&gt;Inputs!$C$62,"",IF(Inputs!$C$80=1,INDEX(Cohorts!$H$67:$H$326,A26),D26*AD26))</f>
        <v/>
      </c>
      <c r="F26" s="50">
        <f>IF(A26&gt;Inputs!$C$62,"",IF(Inputs!$C$80=1,INDEX(Cohorts!$I$67:$I$326,A26),AD26-E26))</f>
        <v/>
      </c>
      <c r="G26" s="50">
        <f>IF(A26&gt;Inputs!$C$62,"",AD26)</f>
        <v/>
      </c>
      <c r="H26" s="50">
        <f>IF(A26&gt;Inputs!$C$62,"",INDEX(CapacityPlan!$E$7:$E$266,A26))</f>
        <v/>
      </c>
      <c r="I26" s="50">
        <f>IF(A26&gt;Inputs!$C$62,"",INDEX(CapacityPlan!$I$7:$I$266,A26))</f>
        <v/>
      </c>
      <c r="J26" s="50">
        <f>IF(A26&gt;Inputs!$C$62,"",IF(G26&gt;I26,I26,G26))</f>
        <v/>
      </c>
      <c r="K26" s="51">
        <f>IF(A26&gt;Inputs!$C$62,"",IF(G26=0,1,J26/G26))</f>
        <v/>
      </c>
      <c r="L26" s="51">
        <f>IF((Inputs!$C$36 + UnitEconomics!$B$12*Inputs!$C$37 + Inputs!$C$10*Inputs!$C$38 + Inputs!$C$70*(1-K26))&gt;1,1,(Inputs!$C$36 + UnitEconomics!$B$12*Inputs!$C$37 + Inputs!$C$10*Inputs!$C$38 + Inputs!$C$70*(1-K26)))</f>
        <v/>
      </c>
      <c r="M26" s="52">
        <f>IF(A26&gt;Inputs!$C$62,"",J26*Inputs!$C$7*(1-Inputs!$C$8)*(1-L26))</f>
        <v/>
      </c>
      <c r="N26" s="52">
        <f>IF(A26&gt;Inputs!$C$62,"",J26*UnitEconomics!$B$32*AI26 + (G26-J26)*Inputs!$C$71)</f>
        <v/>
      </c>
      <c r="O26" s="52">
        <f>M26-N26</f>
        <v/>
      </c>
      <c r="P26" s="52">
        <f>IF(A26&gt;Inputs!$C$62,"",Inputs!$C$40 + H26*Inputs!$C$41)</f>
        <v/>
      </c>
      <c r="Q26" s="52">
        <f>O26-P26</f>
        <v/>
      </c>
      <c r="R26" s="50">
        <f>IF(A26&gt;Inputs!$C$62,"",AD26*Inputs!$C$16*(Inputs!$C$9 + Inputs!$C$10*Inputs!$C$11 + Inputs!$C$12)*(1 + VLOOKUP(Inputs!$C$15,Lookups!$A$2:$B$20,2,TRUE)*(Scale!$B$9/IF(Scale!$B$8=0,1,Scale!$B$8)) + Inputs!$C$52))</f>
        <v/>
      </c>
      <c r="S26" s="50">
        <f>IF(A26=1,Scale!$B$13, W25)</f>
        <v/>
      </c>
      <c r="T26" s="50">
        <f>J26*Inputs!$C$16*(Inputs!$C$19 + Inputs!$C$20*Inputs!$C$21 + 1/Inputs!$C$18)</f>
        <v/>
      </c>
      <c r="U26" s="50">
        <f>MAX(0, (R26*(1+Inputs!$C$74)) - (S26 - T26))</f>
        <v/>
      </c>
      <c r="V26" s="50">
        <f>IF(A26&lt;=Inputs!$C$73,0,INDEX(U:U,ROW()-Inputs!$C$73))</f>
        <v/>
      </c>
      <c r="W26" s="50">
        <f>S26 - T26 + V26</f>
        <v/>
      </c>
      <c r="X26" s="52">
        <f>V26*Inputs!$C$17</f>
        <v/>
      </c>
      <c r="Y26" s="52">
        <f>IF(A26&gt;Inputs!$C$62,"",C26*AE26)</f>
        <v/>
      </c>
      <c r="Z26" s="52">
        <f>IF(A26=1,Inputs!$C$72,AA25)</f>
        <v/>
      </c>
      <c r="AA26" s="52">
        <f>Z26 + M26 - N26 - P26 - X26 - Y26</f>
        <v/>
      </c>
      <c r="AB26" s="53">
        <f>IF(AA26&lt;0,1,0)</f>
        <v/>
      </c>
      <c r="AC26" s="54">
        <f>IF(AD26=0,0,R26/(AD26*Inputs!$C$16))</f>
        <v/>
      </c>
      <c r="AD26" s="53">
        <f>IF(A26&gt;Inputs!$C$62,"",B26+C26)</f>
        <v/>
      </c>
      <c r="AE26" s="56">
        <f>IF(A26&gt;Inputs!$C$62,"", Inputs!$C$65*(1+Inputs!$C$89*POWER(MIN(1,IF(Inputs!$C$88=0,0,B26/Inputs!$C$88)),Inputs!$C$90)))</f>
        <v/>
      </c>
      <c r="AF26" s="52">
        <f>IF(A26&gt;Inputs!$C$62,"",IF(A26=1,Inputs!$C$86,MIN(Inputs!$C$86,Inputs!$C$87*M25)))</f>
        <v/>
      </c>
      <c r="AG26" s="51">
        <f>IF(A26&gt;Inputs!$C$62,"",MIN(0.5,MAX(0, Inputs!$C$67*L26 + Inputs!$C$68*(1-K26) + Inputs!$C$69*Inputs!$C$10)))</f>
        <v/>
      </c>
      <c r="AH26" s="51">
        <f>IF(A26&gt;Inputs!$C$62,"",INDEX(CapacityPlan!$G$7:$G$266,A26))</f>
        <v/>
      </c>
      <c r="AI26" s="54">
        <f>IF(A26&gt;Inputs!$C$62,"",INDEX(CapacityPlan!$J$7:$J$266,A26))</f>
        <v/>
      </c>
      <c r="AJ26" s="51">
        <f>IF(A26&gt;Inputs!$C$62,"",IF(I26=0,"",G26/I26))</f>
        <v/>
      </c>
    </row>
    <row r="27" ht="16" customHeight="1">
      <c r="A27" s="15" t="n">
        <v>5</v>
      </c>
      <c r="B27" s="50">
        <f>IF(A27&gt;Inputs!$C$62,"",IF(Inputs!$C$80=1,INDEX(Cohorts!$B$67:$B$326,A27),IF(A27=1,Inputs!$C$63,F26)))</f>
        <v/>
      </c>
      <c r="C27" s="50">
        <f>IF(A27&gt;Inputs!$C$62,"",IF(Inputs!$C$85=0,Inputs!$C$64,MIN(Inputs!$C$91,IF(AE27=0,0,AF27/AE27))))</f>
        <v/>
      </c>
      <c r="D27" s="51">
        <f>IF(A27&gt;Inputs!$C$62,"",IF(Inputs!$C$80=1,INDEX(Cohorts!$G$67:$G$326,A27),MAX(0, Inputs!$C$66 + Inputs!$C$67*L27 + Inputs!$C$68*(1-K27) + Inputs!$C$69*Inputs!$C$10)))</f>
        <v/>
      </c>
      <c r="E27" s="50">
        <f>IF(A27&gt;Inputs!$C$62,"",IF(Inputs!$C$80=1,INDEX(Cohorts!$H$67:$H$326,A27),D27*AD27))</f>
        <v/>
      </c>
      <c r="F27" s="50">
        <f>IF(A27&gt;Inputs!$C$62,"",IF(Inputs!$C$80=1,INDEX(Cohorts!$I$67:$I$326,A27),AD27-E27))</f>
        <v/>
      </c>
      <c r="G27" s="50">
        <f>IF(A27&gt;Inputs!$C$62,"",AD27)</f>
        <v/>
      </c>
      <c r="H27" s="50">
        <f>IF(A27&gt;Inputs!$C$62,"",INDEX(CapacityPlan!$E$7:$E$266,A27))</f>
        <v/>
      </c>
      <c r="I27" s="50">
        <f>IF(A27&gt;Inputs!$C$62,"",INDEX(CapacityPlan!$I$7:$I$266,A27))</f>
        <v/>
      </c>
      <c r="J27" s="50">
        <f>IF(A27&gt;Inputs!$C$62,"",IF(G27&gt;I27,I27,G27))</f>
        <v/>
      </c>
      <c r="K27" s="51">
        <f>IF(A27&gt;Inputs!$C$62,"",IF(G27=0,1,J27/G27))</f>
        <v/>
      </c>
      <c r="L27" s="51">
        <f>IF((Inputs!$C$36 + UnitEconomics!$B$12*Inputs!$C$37 + Inputs!$C$10*Inputs!$C$38 + Inputs!$C$70*(1-K27))&gt;1,1,(Inputs!$C$36 + UnitEconomics!$B$12*Inputs!$C$37 + Inputs!$C$10*Inputs!$C$38 + Inputs!$C$70*(1-K27)))</f>
        <v/>
      </c>
      <c r="M27" s="52">
        <f>IF(A27&gt;Inputs!$C$62,"",J27*Inputs!$C$7*(1-Inputs!$C$8)*(1-L27))</f>
        <v/>
      </c>
      <c r="N27" s="52">
        <f>IF(A27&gt;Inputs!$C$62,"",J27*UnitEconomics!$B$32*AI27 + (G27-J27)*Inputs!$C$71)</f>
        <v/>
      </c>
      <c r="O27" s="52">
        <f>M27-N27</f>
        <v/>
      </c>
      <c r="P27" s="52">
        <f>IF(A27&gt;Inputs!$C$62,"",Inputs!$C$40 + H27*Inputs!$C$41)</f>
        <v/>
      </c>
      <c r="Q27" s="52">
        <f>O27-P27</f>
        <v/>
      </c>
      <c r="R27" s="50">
        <f>IF(A27&gt;Inputs!$C$62,"",AD27*Inputs!$C$16*(Inputs!$C$9 + Inputs!$C$10*Inputs!$C$11 + Inputs!$C$12)*(1 + VLOOKUP(Inputs!$C$15,Lookups!$A$2:$B$20,2,TRUE)*(Scale!$B$9/IF(Scale!$B$8=0,1,Scale!$B$8)) + Inputs!$C$52))</f>
        <v/>
      </c>
      <c r="S27" s="50">
        <f>IF(A27=1,Scale!$B$13, W26)</f>
        <v/>
      </c>
      <c r="T27" s="50">
        <f>J27*Inputs!$C$16*(Inputs!$C$19 + Inputs!$C$20*Inputs!$C$21 + 1/Inputs!$C$18)</f>
        <v/>
      </c>
      <c r="U27" s="50">
        <f>MAX(0, (R27*(1+Inputs!$C$74)) - (S27 - T27))</f>
        <v/>
      </c>
      <c r="V27" s="50">
        <f>IF(A27&lt;=Inputs!$C$73,0,INDEX(U:U,ROW()-Inputs!$C$73))</f>
        <v/>
      </c>
      <c r="W27" s="50">
        <f>S27 - T27 + V27</f>
        <v/>
      </c>
      <c r="X27" s="52">
        <f>V27*Inputs!$C$17</f>
        <v/>
      </c>
      <c r="Y27" s="52">
        <f>IF(A27&gt;Inputs!$C$62,"",C27*AE27)</f>
        <v/>
      </c>
      <c r="Z27" s="52">
        <f>IF(A27=1,Inputs!$C$72,AA26)</f>
        <v/>
      </c>
      <c r="AA27" s="52">
        <f>Z27 + M27 - N27 - P27 - X27 - Y27</f>
        <v/>
      </c>
      <c r="AB27" s="53">
        <f>IF(AA27&lt;0,1,0)</f>
        <v/>
      </c>
      <c r="AC27" s="54">
        <f>IF(AD27=0,0,R27/(AD27*Inputs!$C$16))</f>
        <v/>
      </c>
      <c r="AD27" s="53">
        <f>IF(A27&gt;Inputs!$C$62,"",B27+C27)</f>
        <v/>
      </c>
      <c r="AE27" s="56">
        <f>IF(A27&gt;Inputs!$C$62,"", Inputs!$C$65*(1+Inputs!$C$89*POWER(MIN(1,IF(Inputs!$C$88=0,0,B27/Inputs!$C$88)),Inputs!$C$90)))</f>
        <v/>
      </c>
      <c r="AF27" s="52">
        <f>IF(A27&gt;Inputs!$C$62,"",IF(A27=1,Inputs!$C$86,MIN(Inputs!$C$86,Inputs!$C$87*M26)))</f>
        <v/>
      </c>
      <c r="AG27" s="51">
        <f>IF(A27&gt;Inputs!$C$62,"",MIN(0.5,MAX(0, Inputs!$C$67*L27 + Inputs!$C$68*(1-K27) + Inputs!$C$69*Inputs!$C$10)))</f>
        <v/>
      </c>
      <c r="AH27" s="51">
        <f>IF(A27&gt;Inputs!$C$62,"",INDEX(CapacityPlan!$G$7:$G$266,A27))</f>
        <v/>
      </c>
      <c r="AI27" s="54">
        <f>IF(A27&gt;Inputs!$C$62,"",INDEX(CapacityPlan!$J$7:$J$266,A27))</f>
        <v/>
      </c>
      <c r="AJ27" s="51">
        <f>IF(A27&gt;Inputs!$C$62,"",IF(I27=0,"",G27/I27))</f>
        <v/>
      </c>
    </row>
    <row r="28" ht="16" customHeight="1">
      <c r="A28" s="15" t="n">
        <v>6</v>
      </c>
      <c r="B28" s="50">
        <f>IF(A28&gt;Inputs!$C$62,"",IF(Inputs!$C$80=1,INDEX(Cohorts!$B$67:$B$326,A28),IF(A28=1,Inputs!$C$63,F27)))</f>
        <v/>
      </c>
      <c r="C28" s="50">
        <f>IF(A28&gt;Inputs!$C$62,"",IF(Inputs!$C$85=0,Inputs!$C$64,MIN(Inputs!$C$91,IF(AE28=0,0,AF28/AE28))))</f>
        <v/>
      </c>
      <c r="D28" s="51">
        <f>IF(A28&gt;Inputs!$C$62,"",IF(Inputs!$C$80=1,INDEX(Cohorts!$G$67:$G$326,A28),MAX(0, Inputs!$C$66 + Inputs!$C$67*L28 + Inputs!$C$68*(1-K28) + Inputs!$C$69*Inputs!$C$10)))</f>
        <v/>
      </c>
      <c r="E28" s="50">
        <f>IF(A28&gt;Inputs!$C$62,"",IF(Inputs!$C$80=1,INDEX(Cohorts!$H$67:$H$326,A28),D28*AD28))</f>
        <v/>
      </c>
      <c r="F28" s="50">
        <f>IF(A28&gt;Inputs!$C$62,"",IF(Inputs!$C$80=1,INDEX(Cohorts!$I$67:$I$326,A28),AD28-E28))</f>
        <v/>
      </c>
      <c r="G28" s="50">
        <f>IF(A28&gt;Inputs!$C$62,"",AD28)</f>
        <v/>
      </c>
      <c r="H28" s="50">
        <f>IF(A28&gt;Inputs!$C$62,"",INDEX(CapacityPlan!$E$7:$E$266,A28))</f>
        <v/>
      </c>
      <c r="I28" s="50">
        <f>IF(A28&gt;Inputs!$C$62,"",INDEX(CapacityPlan!$I$7:$I$266,A28))</f>
        <v/>
      </c>
      <c r="J28" s="50">
        <f>IF(A28&gt;Inputs!$C$62,"",IF(G28&gt;I28,I28,G28))</f>
        <v/>
      </c>
      <c r="K28" s="51">
        <f>IF(A28&gt;Inputs!$C$62,"",IF(G28=0,1,J28/G28))</f>
        <v/>
      </c>
      <c r="L28" s="51">
        <f>IF((Inputs!$C$36 + UnitEconomics!$B$12*Inputs!$C$37 + Inputs!$C$10*Inputs!$C$38 + Inputs!$C$70*(1-K28))&gt;1,1,(Inputs!$C$36 + UnitEconomics!$B$12*Inputs!$C$37 + Inputs!$C$10*Inputs!$C$38 + Inputs!$C$70*(1-K28)))</f>
        <v/>
      </c>
      <c r="M28" s="52">
        <f>IF(A28&gt;Inputs!$C$62,"",J28*Inputs!$C$7*(1-Inputs!$C$8)*(1-L28))</f>
        <v/>
      </c>
      <c r="N28" s="52">
        <f>IF(A28&gt;Inputs!$C$62,"",J28*UnitEconomics!$B$32*AI28 + (G28-J28)*Inputs!$C$71)</f>
        <v/>
      </c>
      <c r="O28" s="52">
        <f>M28-N28</f>
        <v/>
      </c>
      <c r="P28" s="52">
        <f>IF(A28&gt;Inputs!$C$62,"",Inputs!$C$40 + H28*Inputs!$C$41)</f>
        <v/>
      </c>
      <c r="Q28" s="52">
        <f>O28-P28</f>
        <v/>
      </c>
      <c r="R28" s="50">
        <f>IF(A28&gt;Inputs!$C$62,"",AD28*Inputs!$C$16*(Inputs!$C$9 + Inputs!$C$10*Inputs!$C$11 + Inputs!$C$12)*(1 + VLOOKUP(Inputs!$C$15,Lookups!$A$2:$B$20,2,TRUE)*(Scale!$B$9/IF(Scale!$B$8=0,1,Scale!$B$8)) + Inputs!$C$52))</f>
        <v/>
      </c>
      <c r="S28" s="50">
        <f>IF(A28=1,Scale!$B$13, W27)</f>
        <v/>
      </c>
      <c r="T28" s="50">
        <f>J28*Inputs!$C$16*(Inputs!$C$19 + Inputs!$C$20*Inputs!$C$21 + 1/Inputs!$C$18)</f>
        <v/>
      </c>
      <c r="U28" s="50">
        <f>MAX(0, (R28*(1+Inputs!$C$74)) - (S28 - T28))</f>
        <v/>
      </c>
      <c r="V28" s="50">
        <f>IF(A28&lt;=Inputs!$C$73,0,INDEX(U:U,ROW()-Inputs!$C$73))</f>
        <v/>
      </c>
      <c r="W28" s="50">
        <f>S28 - T28 + V28</f>
        <v/>
      </c>
      <c r="X28" s="52">
        <f>V28*Inputs!$C$17</f>
        <v/>
      </c>
      <c r="Y28" s="52">
        <f>IF(A28&gt;Inputs!$C$62,"",C28*AE28)</f>
        <v/>
      </c>
      <c r="Z28" s="52">
        <f>IF(A28=1,Inputs!$C$72,AA27)</f>
        <v/>
      </c>
      <c r="AA28" s="52">
        <f>Z28 + M28 - N28 - P28 - X28 - Y28</f>
        <v/>
      </c>
      <c r="AB28" s="53">
        <f>IF(AA28&lt;0,1,0)</f>
        <v/>
      </c>
      <c r="AC28" s="54">
        <f>IF(AD28=0,0,R28/(AD28*Inputs!$C$16))</f>
        <v/>
      </c>
      <c r="AD28" s="53">
        <f>IF(A28&gt;Inputs!$C$62,"",B28+C28)</f>
        <v/>
      </c>
      <c r="AE28" s="56">
        <f>IF(A28&gt;Inputs!$C$62,"", Inputs!$C$65*(1+Inputs!$C$89*POWER(MIN(1,IF(Inputs!$C$88=0,0,B28/Inputs!$C$88)),Inputs!$C$90)))</f>
        <v/>
      </c>
      <c r="AF28" s="52">
        <f>IF(A28&gt;Inputs!$C$62,"",IF(A28=1,Inputs!$C$86,MIN(Inputs!$C$86,Inputs!$C$87*M27)))</f>
        <v/>
      </c>
      <c r="AG28" s="51">
        <f>IF(A28&gt;Inputs!$C$62,"",MIN(0.5,MAX(0, Inputs!$C$67*L28 + Inputs!$C$68*(1-K28) + Inputs!$C$69*Inputs!$C$10)))</f>
        <v/>
      </c>
      <c r="AH28" s="51">
        <f>IF(A28&gt;Inputs!$C$62,"",INDEX(CapacityPlan!$G$7:$G$266,A28))</f>
        <v/>
      </c>
      <c r="AI28" s="54">
        <f>IF(A28&gt;Inputs!$C$62,"",INDEX(CapacityPlan!$J$7:$J$266,A28))</f>
        <v/>
      </c>
      <c r="AJ28" s="51">
        <f>IF(A28&gt;Inputs!$C$62,"",IF(I28=0,"",G28/I28))</f>
        <v/>
      </c>
    </row>
    <row r="29" ht="16" customHeight="1">
      <c r="A29" s="15" t="n">
        <v>7</v>
      </c>
      <c r="B29" s="50">
        <f>IF(A29&gt;Inputs!$C$62,"",IF(Inputs!$C$80=1,INDEX(Cohorts!$B$67:$B$326,A29),IF(A29=1,Inputs!$C$63,F28)))</f>
        <v/>
      </c>
      <c r="C29" s="50">
        <f>IF(A29&gt;Inputs!$C$62,"",IF(Inputs!$C$85=0,Inputs!$C$64,MIN(Inputs!$C$91,IF(AE29=0,0,AF29/AE29))))</f>
        <v/>
      </c>
      <c r="D29" s="51">
        <f>IF(A29&gt;Inputs!$C$62,"",IF(Inputs!$C$80=1,INDEX(Cohorts!$G$67:$G$326,A29),MAX(0, Inputs!$C$66 + Inputs!$C$67*L29 + Inputs!$C$68*(1-K29) + Inputs!$C$69*Inputs!$C$10)))</f>
        <v/>
      </c>
      <c r="E29" s="50">
        <f>IF(A29&gt;Inputs!$C$62,"",IF(Inputs!$C$80=1,INDEX(Cohorts!$H$67:$H$326,A29),D29*AD29))</f>
        <v/>
      </c>
      <c r="F29" s="50">
        <f>IF(A29&gt;Inputs!$C$62,"",IF(Inputs!$C$80=1,INDEX(Cohorts!$I$67:$I$326,A29),AD29-E29))</f>
        <v/>
      </c>
      <c r="G29" s="50">
        <f>IF(A29&gt;Inputs!$C$62,"",AD29)</f>
        <v/>
      </c>
      <c r="H29" s="50">
        <f>IF(A29&gt;Inputs!$C$62,"",INDEX(CapacityPlan!$E$7:$E$266,A29))</f>
        <v/>
      </c>
      <c r="I29" s="50">
        <f>IF(A29&gt;Inputs!$C$62,"",INDEX(CapacityPlan!$I$7:$I$266,A29))</f>
        <v/>
      </c>
      <c r="J29" s="50">
        <f>IF(A29&gt;Inputs!$C$62,"",IF(G29&gt;I29,I29,G29))</f>
        <v/>
      </c>
      <c r="K29" s="51">
        <f>IF(A29&gt;Inputs!$C$62,"",IF(G29=0,1,J29/G29))</f>
        <v/>
      </c>
      <c r="L29" s="51">
        <f>IF((Inputs!$C$36 + UnitEconomics!$B$12*Inputs!$C$37 + Inputs!$C$10*Inputs!$C$38 + Inputs!$C$70*(1-K29))&gt;1,1,(Inputs!$C$36 + UnitEconomics!$B$12*Inputs!$C$37 + Inputs!$C$10*Inputs!$C$38 + Inputs!$C$70*(1-K29)))</f>
        <v/>
      </c>
      <c r="M29" s="52">
        <f>IF(A29&gt;Inputs!$C$62,"",J29*Inputs!$C$7*(1-Inputs!$C$8)*(1-L29))</f>
        <v/>
      </c>
      <c r="N29" s="52">
        <f>IF(A29&gt;Inputs!$C$62,"",J29*UnitEconomics!$B$32*AI29 + (G29-J29)*Inputs!$C$71)</f>
        <v/>
      </c>
      <c r="O29" s="52">
        <f>M29-N29</f>
        <v/>
      </c>
      <c r="P29" s="52">
        <f>IF(A29&gt;Inputs!$C$62,"",Inputs!$C$40 + H29*Inputs!$C$41)</f>
        <v/>
      </c>
      <c r="Q29" s="52">
        <f>O29-P29</f>
        <v/>
      </c>
      <c r="R29" s="50">
        <f>IF(A29&gt;Inputs!$C$62,"",AD29*Inputs!$C$16*(Inputs!$C$9 + Inputs!$C$10*Inputs!$C$11 + Inputs!$C$12)*(1 + VLOOKUP(Inputs!$C$15,Lookups!$A$2:$B$20,2,TRUE)*(Scale!$B$9/IF(Scale!$B$8=0,1,Scale!$B$8)) + Inputs!$C$52))</f>
        <v/>
      </c>
      <c r="S29" s="50">
        <f>IF(A29=1,Scale!$B$13, W28)</f>
        <v/>
      </c>
      <c r="T29" s="50">
        <f>J29*Inputs!$C$16*(Inputs!$C$19 + Inputs!$C$20*Inputs!$C$21 + 1/Inputs!$C$18)</f>
        <v/>
      </c>
      <c r="U29" s="50">
        <f>MAX(0, (R29*(1+Inputs!$C$74)) - (S29 - T29))</f>
        <v/>
      </c>
      <c r="V29" s="50">
        <f>IF(A29&lt;=Inputs!$C$73,0,INDEX(U:U,ROW()-Inputs!$C$73))</f>
        <v/>
      </c>
      <c r="W29" s="50">
        <f>S29 - T29 + V29</f>
        <v/>
      </c>
      <c r="X29" s="52">
        <f>V29*Inputs!$C$17</f>
        <v/>
      </c>
      <c r="Y29" s="52">
        <f>IF(A29&gt;Inputs!$C$62,"",C29*AE29)</f>
        <v/>
      </c>
      <c r="Z29" s="52">
        <f>IF(A29=1,Inputs!$C$72,AA28)</f>
        <v/>
      </c>
      <c r="AA29" s="52">
        <f>Z29 + M29 - N29 - P29 - X29 - Y29</f>
        <v/>
      </c>
      <c r="AB29" s="53">
        <f>IF(AA29&lt;0,1,0)</f>
        <v/>
      </c>
      <c r="AC29" s="54">
        <f>IF(AD29=0,0,R29/(AD29*Inputs!$C$16))</f>
        <v/>
      </c>
      <c r="AD29" s="53">
        <f>IF(A29&gt;Inputs!$C$62,"",B29+C29)</f>
        <v/>
      </c>
      <c r="AE29" s="56">
        <f>IF(A29&gt;Inputs!$C$62,"", Inputs!$C$65*(1+Inputs!$C$89*POWER(MIN(1,IF(Inputs!$C$88=0,0,B29/Inputs!$C$88)),Inputs!$C$90)))</f>
        <v/>
      </c>
      <c r="AF29" s="52">
        <f>IF(A29&gt;Inputs!$C$62,"",IF(A29=1,Inputs!$C$86,MIN(Inputs!$C$86,Inputs!$C$87*M28)))</f>
        <v/>
      </c>
      <c r="AG29" s="51">
        <f>IF(A29&gt;Inputs!$C$62,"",MIN(0.5,MAX(0, Inputs!$C$67*L29 + Inputs!$C$68*(1-K29) + Inputs!$C$69*Inputs!$C$10)))</f>
        <v/>
      </c>
      <c r="AH29" s="51">
        <f>IF(A29&gt;Inputs!$C$62,"",INDEX(CapacityPlan!$G$7:$G$266,A29))</f>
        <v/>
      </c>
      <c r="AI29" s="54">
        <f>IF(A29&gt;Inputs!$C$62,"",INDEX(CapacityPlan!$J$7:$J$266,A29))</f>
        <v/>
      </c>
      <c r="AJ29" s="51">
        <f>IF(A29&gt;Inputs!$C$62,"",IF(I29=0,"",G29/I29))</f>
        <v/>
      </c>
    </row>
    <row r="30" ht="16" customHeight="1">
      <c r="A30" s="15" t="n">
        <v>8</v>
      </c>
      <c r="B30" s="50">
        <f>IF(A30&gt;Inputs!$C$62,"",IF(Inputs!$C$80=1,INDEX(Cohorts!$B$67:$B$326,A30),IF(A30=1,Inputs!$C$63,F29)))</f>
        <v/>
      </c>
      <c r="C30" s="50">
        <f>IF(A30&gt;Inputs!$C$62,"",IF(Inputs!$C$85=0,Inputs!$C$64,MIN(Inputs!$C$91,IF(AE30=0,0,AF30/AE30))))</f>
        <v/>
      </c>
      <c r="D30" s="51">
        <f>IF(A30&gt;Inputs!$C$62,"",IF(Inputs!$C$80=1,INDEX(Cohorts!$G$67:$G$326,A30),MAX(0, Inputs!$C$66 + Inputs!$C$67*L30 + Inputs!$C$68*(1-K30) + Inputs!$C$69*Inputs!$C$10)))</f>
        <v/>
      </c>
      <c r="E30" s="50">
        <f>IF(A30&gt;Inputs!$C$62,"",IF(Inputs!$C$80=1,INDEX(Cohorts!$H$67:$H$326,A30),D30*AD30))</f>
        <v/>
      </c>
      <c r="F30" s="50">
        <f>IF(A30&gt;Inputs!$C$62,"",IF(Inputs!$C$80=1,INDEX(Cohorts!$I$67:$I$326,A30),AD30-E30))</f>
        <v/>
      </c>
      <c r="G30" s="50">
        <f>IF(A30&gt;Inputs!$C$62,"",AD30)</f>
        <v/>
      </c>
      <c r="H30" s="50">
        <f>IF(A30&gt;Inputs!$C$62,"",INDEX(CapacityPlan!$E$7:$E$266,A30))</f>
        <v/>
      </c>
      <c r="I30" s="50">
        <f>IF(A30&gt;Inputs!$C$62,"",INDEX(CapacityPlan!$I$7:$I$266,A30))</f>
        <v/>
      </c>
      <c r="J30" s="50">
        <f>IF(A30&gt;Inputs!$C$62,"",IF(G30&gt;I30,I30,G30))</f>
        <v/>
      </c>
      <c r="K30" s="51">
        <f>IF(A30&gt;Inputs!$C$62,"",IF(G30=0,1,J30/G30))</f>
        <v/>
      </c>
      <c r="L30" s="51">
        <f>IF((Inputs!$C$36 + UnitEconomics!$B$12*Inputs!$C$37 + Inputs!$C$10*Inputs!$C$38 + Inputs!$C$70*(1-K30))&gt;1,1,(Inputs!$C$36 + UnitEconomics!$B$12*Inputs!$C$37 + Inputs!$C$10*Inputs!$C$38 + Inputs!$C$70*(1-K30)))</f>
        <v/>
      </c>
      <c r="M30" s="52">
        <f>IF(A30&gt;Inputs!$C$62,"",J30*Inputs!$C$7*(1-Inputs!$C$8)*(1-L30))</f>
        <v/>
      </c>
      <c r="N30" s="52">
        <f>IF(A30&gt;Inputs!$C$62,"",J30*UnitEconomics!$B$32*AI30 + (G30-J30)*Inputs!$C$71)</f>
        <v/>
      </c>
      <c r="O30" s="52">
        <f>M30-N30</f>
        <v/>
      </c>
      <c r="P30" s="52">
        <f>IF(A30&gt;Inputs!$C$62,"",Inputs!$C$40 + H30*Inputs!$C$41)</f>
        <v/>
      </c>
      <c r="Q30" s="52">
        <f>O30-P30</f>
        <v/>
      </c>
      <c r="R30" s="50">
        <f>IF(A30&gt;Inputs!$C$62,"",AD30*Inputs!$C$16*(Inputs!$C$9 + Inputs!$C$10*Inputs!$C$11 + Inputs!$C$12)*(1 + VLOOKUP(Inputs!$C$15,Lookups!$A$2:$B$20,2,TRUE)*(Scale!$B$9/IF(Scale!$B$8=0,1,Scale!$B$8)) + Inputs!$C$52))</f>
        <v/>
      </c>
      <c r="S30" s="50">
        <f>IF(A30=1,Scale!$B$13, W29)</f>
        <v/>
      </c>
      <c r="T30" s="50">
        <f>J30*Inputs!$C$16*(Inputs!$C$19 + Inputs!$C$20*Inputs!$C$21 + 1/Inputs!$C$18)</f>
        <v/>
      </c>
      <c r="U30" s="50">
        <f>MAX(0, (R30*(1+Inputs!$C$74)) - (S30 - T30))</f>
        <v/>
      </c>
      <c r="V30" s="50">
        <f>IF(A30&lt;=Inputs!$C$73,0,INDEX(U:U,ROW()-Inputs!$C$73))</f>
        <v/>
      </c>
      <c r="W30" s="50">
        <f>S30 - T30 + V30</f>
        <v/>
      </c>
      <c r="X30" s="52">
        <f>V30*Inputs!$C$17</f>
        <v/>
      </c>
      <c r="Y30" s="52">
        <f>IF(A30&gt;Inputs!$C$62,"",C30*AE30)</f>
        <v/>
      </c>
      <c r="Z30" s="52">
        <f>IF(A30=1,Inputs!$C$72,AA29)</f>
        <v/>
      </c>
      <c r="AA30" s="52">
        <f>Z30 + M30 - N30 - P30 - X30 - Y30</f>
        <v/>
      </c>
      <c r="AB30" s="53">
        <f>IF(AA30&lt;0,1,0)</f>
        <v/>
      </c>
      <c r="AC30" s="54">
        <f>IF(AD30=0,0,R30/(AD30*Inputs!$C$16))</f>
        <v/>
      </c>
      <c r="AD30" s="53">
        <f>IF(A30&gt;Inputs!$C$62,"",B30+C30)</f>
        <v/>
      </c>
      <c r="AE30" s="56">
        <f>IF(A30&gt;Inputs!$C$62,"", Inputs!$C$65*(1+Inputs!$C$89*POWER(MIN(1,IF(Inputs!$C$88=0,0,B30/Inputs!$C$88)),Inputs!$C$90)))</f>
        <v/>
      </c>
      <c r="AF30" s="52">
        <f>IF(A30&gt;Inputs!$C$62,"",IF(A30=1,Inputs!$C$86,MIN(Inputs!$C$86,Inputs!$C$87*M29)))</f>
        <v/>
      </c>
      <c r="AG30" s="51">
        <f>IF(A30&gt;Inputs!$C$62,"",MIN(0.5,MAX(0, Inputs!$C$67*L30 + Inputs!$C$68*(1-K30) + Inputs!$C$69*Inputs!$C$10)))</f>
        <v/>
      </c>
      <c r="AH30" s="51">
        <f>IF(A30&gt;Inputs!$C$62,"",INDEX(CapacityPlan!$G$7:$G$266,A30))</f>
        <v/>
      </c>
      <c r="AI30" s="54">
        <f>IF(A30&gt;Inputs!$C$62,"",INDEX(CapacityPlan!$J$7:$J$266,A30))</f>
        <v/>
      </c>
      <c r="AJ30" s="51">
        <f>IF(A30&gt;Inputs!$C$62,"",IF(I30=0,"",G30/I30))</f>
        <v/>
      </c>
    </row>
    <row r="31" ht="16" customHeight="1">
      <c r="A31" s="15" t="n">
        <v>9</v>
      </c>
      <c r="B31" s="50">
        <f>IF(A31&gt;Inputs!$C$62,"",IF(Inputs!$C$80=1,INDEX(Cohorts!$B$67:$B$326,A31),IF(A31=1,Inputs!$C$63,F30)))</f>
        <v/>
      </c>
      <c r="C31" s="50">
        <f>IF(A31&gt;Inputs!$C$62,"",IF(Inputs!$C$85=0,Inputs!$C$64,MIN(Inputs!$C$91,IF(AE31=0,0,AF31/AE31))))</f>
        <v/>
      </c>
      <c r="D31" s="51">
        <f>IF(A31&gt;Inputs!$C$62,"",IF(Inputs!$C$80=1,INDEX(Cohorts!$G$67:$G$326,A31),MAX(0, Inputs!$C$66 + Inputs!$C$67*L31 + Inputs!$C$68*(1-K31) + Inputs!$C$69*Inputs!$C$10)))</f>
        <v/>
      </c>
      <c r="E31" s="50">
        <f>IF(A31&gt;Inputs!$C$62,"",IF(Inputs!$C$80=1,INDEX(Cohorts!$H$67:$H$326,A31),D31*AD31))</f>
        <v/>
      </c>
      <c r="F31" s="50">
        <f>IF(A31&gt;Inputs!$C$62,"",IF(Inputs!$C$80=1,INDEX(Cohorts!$I$67:$I$326,A31),AD31-E31))</f>
        <v/>
      </c>
      <c r="G31" s="50">
        <f>IF(A31&gt;Inputs!$C$62,"",AD31)</f>
        <v/>
      </c>
      <c r="H31" s="50">
        <f>IF(A31&gt;Inputs!$C$62,"",INDEX(CapacityPlan!$E$7:$E$266,A31))</f>
        <v/>
      </c>
      <c r="I31" s="50">
        <f>IF(A31&gt;Inputs!$C$62,"",INDEX(CapacityPlan!$I$7:$I$266,A31))</f>
        <v/>
      </c>
      <c r="J31" s="50">
        <f>IF(A31&gt;Inputs!$C$62,"",IF(G31&gt;I31,I31,G31))</f>
        <v/>
      </c>
      <c r="K31" s="51">
        <f>IF(A31&gt;Inputs!$C$62,"",IF(G31=0,1,J31/G31))</f>
        <v/>
      </c>
      <c r="L31" s="51">
        <f>IF((Inputs!$C$36 + UnitEconomics!$B$12*Inputs!$C$37 + Inputs!$C$10*Inputs!$C$38 + Inputs!$C$70*(1-K31))&gt;1,1,(Inputs!$C$36 + UnitEconomics!$B$12*Inputs!$C$37 + Inputs!$C$10*Inputs!$C$38 + Inputs!$C$70*(1-K31)))</f>
        <v/>
      </c>
      <c r="M31" s="52">
        <f>IF(A31&gt;Inputs!$C$62,"",J31*Inputs!$C$7*(1-Inputs!$C$8)*(1-L31))</f>
        <v/>
      </c>
      <c r="N31" s="52">
        <f>IF(A31&gt;Inputs!$C$62,"",J31*UnitEconomics!$B$32*AI31 + (G31-J31)*Inputs!$C$71)</f>
        <v/>
      </c>
      <c r="O31" s="52">
        <f>M31-N31</f>
        <v/>
      </c>
      <c r="P31" s="52">
        <f>IF(A31&gt;Inputs!$C$62,"",Inputs!$C$40 + H31*Inputs!$C$41)</f>
        <v/>
      </c>
      <c r="Q31" s="52">
        <f>O31-P31</f>
        <v/>
      </c>
      <c r="R31" s="50">
        <f>IF(A31&gt;Inputs!$C$62,"",AD31*Inputs!$C$16*(Inputs!$C$9 + Inputs!$C$10*Inputs!$C$11 + Inputs!$C$12)*(1 + VLOOKUP(Inputs!$C$15,Lookups!$A$2:$B$20,2,TRUE)*(Scale!$B$9/IF(Scale!$B$8=0,1,Scale!$B$8)) + Inputs!$C$52))</f>
        <v/>
      </c>
      <c r="S31" s="50">
        <f>IF(A31=1,Scale!$B$13, W30)</f>
        <v/>
      </c>
      <c r="T31" s="50">
        <f>J31*Inputs!$C$16*(Inputs!$C$19 + Inputs!$C$20*Inputs!$C$21 + 1/Inputs!$C$18)</f>
        <v/>
      </c>
      <c r="U31" s="50">
        <f>MAX(0, (R31*(1+Inputs!$C$74)) - (S31 - T31))</f>
        <v/>
      </c>
      <c r="V31" s="50">
        <f>IF(A31&lt;=Inputs!$C$73,0,INDEX(U:U,ROW()-Inputs!$C$73))</f>
        <v/>
      </c>
      <c r="W31" s="50">
        <f>S31 - T31 + V31</f>
        <v/>
      </c>
      <c r="X31" s="52">
        <f>V31*Inputs!$C$17</f>
        <v/>
      </c>
      <c r="Y31" s="52">
        <f>IF(A31&gt;Inputs!$C$62,"",C31*AE31)</f>
        <v/>
      </c>
      <c r="Z31" s="52">
        <f>IF(A31=1,Inputs!$C$72,AA30)</f>
        <v/>
      </c>
      <c r="AA31" s="52">
        <f>Z31 + M31 - N31 - P31 - X31 - Y31</f>
        <v/>
      </c>
      <c r="AB31" s="53">
        <f>IF(AA31&lt;0,1,0)</f>
        <v/>
      </c>
      <c r="AC31" s="54">
        <f>IF(AD31=0,0,R31/(AD31*Inputs!$C$16))</f>
        <v/>
      </c>
      <c r="AD31" s="53">
        <f>IF(A31&gt;Inputs!$C$62,"",B31+C31)</f>
        <v/>
      </c>
      <c r="AE31" s="56">
        <f>IF(A31&gt;Inputs!$C$62,"", Inputs!$C$65*(1+Inputs!$C$89*POWER(MIN(1,IF(Inputs!$C$88=0,0,B31/Inputs!$C$88)),Inputs!$C$90)))</f>
        <v/>
      </c>
      <c r="AF31" s="52">
        <f>IF(A31&gt;Inputs!$C$62,"",IF(A31=1,Inputs!$C$86,MIN(Inputs!$C$86,Inputs!$C$87*M30)))</f>
        <v/>
      </c>
      <c r="AG31" s="51">
        <f>IF(A31&gt;Inputs!$C$62,"",MIN(0.5,MAX(0, Inputs!$C$67*L31 + Inputs!$C$68*(1-K31) + Inputs!$C$69*Inputs!$C$10)))</f>
        <v/>
      </c>
      <c r="AH31" s="51">
        <f>IF(A31&gt;Inputs!$C$62,"",INDEX(CapacityPlan!$G$7:$G$266,A31))</f>
        <v/>
      </c>
      <c r="AI31" s="54">
        <f>IF(A31&gt;Inputs!$C$62,"",INDEX(CapacityPlan!$J$7:$J$266,A31))</f>
        <v/>
      </c>
      <c r="AJ31" s="51">
        <f>IF(A31&gt;Inputs!$C$62,"",IF(I31=0,"",G31/I31))</f>
        <v/>
      </c>
    </row>
    <row r="32" ht="16" customHeight="1">
      <c r="A32" s="15" t="n">
        <v>10</v>
      </c>
      <c r="B32" s="50">
        <f>IF(A32&gt;Inputs!$C$62,"",IF(Inputs!$C$80=1,INDEX(Cohorts!$B$67:$B$326,A32),IF(A32=1,Inputs!$C$63,F31)))</f>
        <v/>
      </c>
      <c r="C32" s="50">
        <f>IF(A32&gt;Inputs!$C$62,"",IF(Inputs!$C$85=0,Inputs!$C$64,MIN(Inputs!$C$91,IF(AE32=0,0,AF32/AE32))))</f>
        <v/>
      </c>
      <c r="D32" s="51">
        <f>IF(A32&gt;Inputs!$C$62,"",IF(Inputs!$C$80=1,INDEX(Cohorts!$G$67:$G$326,A32),MAX(0, Inputs!$C$66 + Inputs!$C$67*L32 + Inputs!$C$68*(1-K32) + Inputs!$C$69*Inputs!$C$10)))</f>
        <v/>
      </c>
      <c r="E32" s="50">
        <f>IF(A32&gt;Inputs!$C$62,"",IF(Inputs!$C$80=1,INDEX(Cohorts!$H$67:$H$326,A32),D32*AD32))</f>
        <v/>
      </c>
      <c r="F32" s="50">
        <f>IF(A32&gt;Inputs!$C$62,"",IF(Inputs!$C$80=1,INDEX(Cohorts!$I$67:$I$326,A32),AD32-E32))</f>
        <v/>
      </c>
      <c r="G32" s="50">
        <f>IF(A32&gt;Inputs!$C$62,"",AD32)</f>
        <v/>
      </c>
      <c r="H32" s="50">
        <f>IF(A32&gt;Inputs!$C$62,"",INDEX(CapacityPlan!$E$7:$E$266,A32))</f>
        <v/>
      </c>
      <c r="I32" s="50">
        <f>IF(A32&gt;Inputs!$C$62,"",INDEX(CapacityPlan!$I$7:$I$266,A32))</f>
        <v/>
      </c>
      <c r="J32" s="50">
        <f>IF(A32&gt;Inputs!$C$62,"",IF(G32&gt;I32,I32,G32))</f>
        <v/>
      </c>
      <c r="K32" s="51">
        <f>IF(A32&gt;Inputs!$C$62,"",IF(G32=0,1,J32/G32))</f>
        <v/>
      </c>
      <c r="L32" s="51">
        <f>IF((Inputs!$C$36 + UnitEconomics!$B$12*Inputs!$C$37 + Inputs!$C$10*Inputs!$C$38 + Inputs!$C$70*(1-K32))&gt;1,1,(Inputs!$C$36 + UnitEconomics!$B$12*Inputs!$C$37 + Inputs!$C$10*Inputs!$C$38 + Inputs!$C$70*(1-K32)))</f>
        <v/>
      </c>
      <c r="M32" s="52">
        <f>IF(A32&gt;Inputs!$C$62,"",J32*Inputs!$C$7*(1-Inputs!$C$8)*(1-L32))</f>
        <v/>
      </c>
      <c r="N32" s="52">
        <f>IF(A32&gt;Inputs!$C$62,"",J32*UnitEconomics!$B$32*AI32 + (G32-J32)*Inputs!$C$71)</f>
        <v/>
      </c>
      <c r="O32" s="52">
        <f>M32-N32</f>
        <v/>
      </c>
      <c r="P32" s="52">
        <f>IF(A32&gt;Inputs!$C$62,"",Inputs!$C$40 + H32*Inputs!$C$41)</f>
        <v/>
      </c>
      <c r="Q32" s="52">
        <f>O32-P32</f>
        <v/>
      </c>
      <c r="R32" s="50">
        <f>IF(A32&gt;Inputs!$C$62,"",AD32*Inputs!$C$16*(Inputs!$C$9 + Inputs!$C$10*Inputs!$C$11 + Inputs!$C$12)*(1 + VLOOKUP(Inputs!$C$15,Lookups!$A$2:$B$20,2,TRUE)*(Scale!$B$9/IF(Scale!$B$8=0,1,Scale!$B$8)) + Inputs!$C$52))</f>
        <v/>
      </c>
      <c r="S32" s="50">
        <f>IF(A32=1,Scale!$B$13, W31)</f>
        <v/>
      </c>
      <c r="T32" s="50">
        <f>J32*Inputs!$C$16*(Inputs!$C$19 + Inputs!$C$20*Inputs!$C$21 + 1/Inputs!$C$18)</f>
        <v/>
      </c>
      <c r="U32" s="50">
        <f>MAX(0, (R32*(1+Inputs!$C$74)) - (S32 - T32))</f>
        <v/>
      </c>
      <c r="V32" s="50">
        <f>IF(A32&lt;=Inputs!$C$73,0,INDEX(U:U,ROW()-Inputs!$C$73))</f>
        <v/>
      </c>
      <c r="W32" s="50">
        <f>S32 - T32 + V32</f>
        <v/>
      </c>
      <c r="X32" s="52">
        <f>V32*Inputs!$C$17</f>
        <v/>
      </c>
      <c r="Y32" s="52">
        <f>IF(A32&gt;Inputs!$C$62,"",C32*AE32)</f>
        <v/>
      </c>
      <c r="Z32" s="52">
        <f>IF(A32=1,Inputs!$C$72,AA31)</f>
        <v/>
      </c>
      <c r="AA32" s="52">
        <f>Z32 + M32 - N32 - P32 - X32 - Y32</f>
        <v/>
      </c>
      <c r="AB32" s="53">
        <f>IF(AA32&lt;0,1,0)</f>
        <v/>
      </c>
      <c r="AC32" s="54">
        <f>IF(AD32=0,0,R32/(AD32*Inputs!$C$16))</f>
        <v/>
      </c>
      <c r="AD32" s="53">
        <f>IF(A32&gt;Inputs!$C$62,"",B32+C32)</f>
        <v/>
      </c>
      <c r="AE32" s="56">
        <f>IF(A32&gt;Inputs!$C$62,"", Inputs!$C$65*(1+Inputs!$C$89*POWER(MIN(1,IF(Inputs!$C$88=0,0,B32/Inputs!$C$88)),Inputs!$C$90)))</f>
        <v/>
      </c>
      <c r="AF32" s="52">
        <f>IF(A32&gt;Inputs!$C$62,"",IF(A32=1,Inputs!$C$86,MIN(Inputs!$C$86,Inputs!$C$87*M31)))</f>
        <v/>
      </c>
      <c r="AG32" s="51">
        <f>IF(A32&gt;Inputs!$C$62,"",MIN(0.5,MAX(0, Inputs!$C$67*L32 + Inputs!$C$68*(1-K32) + Inputs!$C$69*Inputs!$C$10)))</f>
        <v/>
      </c>
      <c r="AH32" s="51">
        <f>IF(A32&gt;Inputs!$C$62,"",INDEX(CapacityPlan!$G$7:$G$266,A32))</f>
        <v/>
      </c>
      <c r="AI32" s="54">
        <f>IF(A32&gt;Inputs!$C$62,"",INDEX(CapacityPlan!$J$7:$J$266,A32))</f>
        <v/>
      </c>
      <c r="AJ32" s="51">
        <f>IF(A32&gt;Inputs!$C$62,"",IF(I32=0,"",G32/I32))</f>
        <v/>
      </c>
    </row>
    <row r="33" ht="16" customHeight="1">
      <c r="A33" s="15" t="n">
        <v>11</v>
      </c>
      <c r="B33" s="50">
        <f>IF(A33&gt;Inputs!$C$62,"",IF(Inputs!$C$80=1,INDEX(Cohorts!$B$67:$B$326,A33),IF(A33=1,Inputs!$C$63,F32)))</f>
        <v/>
      </c>
      <c r="C33" s="50">
        <f>IF(A33&gt;Inputs!$C$62,"",IF(Inputs!$C$85=0,Inputs!$C$64,MIN(Inputs!$C$91,IF(AE33=0,0,AF33/AE33))))</f>
        <v/>
      </c>
      <c r="D33" s="51">
        <f>IF(A33&gt;Inputs!$C$62,"",IF(Inputs!$C$80=1,INDEX(Cohorts!$G$67:$G$326,A33),MAX(0, Inputs!$C$66 + Inputs!$C$67*L33 + Inputs!$C$68*(1-K33) + Inputs!$C$69*Inputs!$C$10)))</f>
        <v/>
      </c>
      <c r="E33" s="50">
        <f>IF(A33&gt;Inputs!$C$62,"",IF(Inputs!$C$80=1,INDEX(Cohorts!$H$67:$H$326,A33),D33*AD33))</f>
        <v/>
      </c>
      <c r="F33" s="50">
        <f>IF(A33&gt;Inputs!$C$62,"",IF(Inputs!$C$80=1,INDEX(Cohorts!$I$67:$I$326,A33),AD33-E33))</f>
        <v/>
      </c>
      <c r="G33" s="50">
        <f>IF(A33&gt;Inputs!$C$62,"",AD33)</f>
        <v/>
      </c>
      <c r="H33" s="50">
        <f>IF(A33&gt;Inputs!$C$62,"",INDEX(CapacityPlan!$E$7:$E$266,A33))</f>
        <v/>
      </c>
      <c r="I33" s="50">
        <f>IF(A33&gt;Inputs!$C$62,"",INDEX(CapacityPlan!$I$7:$I$266,A33))</f>
        <v/>
      </c>
      <c r="J33" s="50">
        <f>IF(A33&gt;Inputs!$C$62,"",IF(G33&gt;I33,I33,G33))</f>
        <v/>
      </c>
      <c r="K33" s="51">
        <f>IF(A33&gt;Inputs!$C$62,"",IF(G33=0,1,J33/G33))</f>
        <v/>
      </c>
      <c r="L33" s="51">
        <f>IF((Inputs!$C$36 + UnitEconomics!$B$12*Inputs!$C$37 + Inputs!$C$10*Inputs!$C$38 + Inputs!$C$70*(1-K33))&gt;1,1,(Inputs!$C$36 + UnitEconomics!$B$12*Inputs!$C$37 + Inputs!$C$10*Inputs!$C$38 + Inputs!$C$70*(1-K33)))</f>
        <v/>
      </c>
      <c r="M33" s="52">
        <f>IF(A33&gt;Inputs!$C$62,"",J33*Inputs!$C$7*(1-Inputs!$C$8)*(1-L33))</f>
        <v/>
      </c>
      <c r="N33" s="52">
        <f>IF(A33&gt;Inputs!$C$62,"",J33*UnitEconomics!$B$32*AI33 + (G33-J33)*Inputs!$C$71)</f>
        <v/>
      </c>
      <c r="O33" s="52">
        <f>M33-N33</f>
        <v/>
      </c>
      <c r="P33" s="52">
        <f>IF(A33&gt;Inputs!$C$62,"",Inputs!$C$40 + H33*Inputs!$C$41)</f>
        <v/>
      </c>
      <c r="Q33" s="52">
        <f>O33-P33</f>
        <v/>
      </c>
      <c r="R33" s="50">
        <f>IF(A33&gt;Inputs!$C$62,"",AD33*Inputs!$C$16*(Inputs!$C$9 + Inputs!$C$10*Inputs!$C$11 + Inputs!$C$12)*(1 + VLOOKUP(Inputs!$C$15,Lookups!$A$2:$B$20,2,TRUE)*(Scale!$B$9/IF(Scale!$B$8=0,1,Scale!$B$8)) + Inputs!$C$52))</f>
        <v/>
      </c>
      <c r="S33" s="50">
        <f>IF(A33=1,Scale!$B$13, W32)</f>
        <v/>
      </c>
      <c r="T33" s="50">
        <f>J33*Inputs!$C$16*(Inputs!$C$19 + Inputs!$C$20*Inputs!$C$21 + 1/Inputs!$C$18)</f>
        <v/>
      </c>
      <c r="U33" s="50">
        <f>MAX(0, (R33*(1+Inputs!$C$74)) - (S33 - T33))</f>
        <v/>
      </c>
      <c r="V33" s="50">
        <f>IF(A33&lt;=Inputs!$C$73,0,INDEX(U:U,ROW()-Inputs!$C$73))</f>
        <v/>
      </c>
      <c r="W33" s="50">
        <f>S33 - T33 + V33</f>
        <v/>
      </c>
      <c r="X33" s="52">
        <f>V33*Inputs!$C$17</f>
        <v/>
      </c>
      <c r="Y33" s="52">
        <f>IF(A33&gt;Inputs!$C$62,"",C33*AE33)</f>
        <v/>
      </c>
      <c r="Z33" s="52">
        <f>IF(A33=1,Inputs!$C$72,AA32)</f>
        <v/>
      </c>
      <c r="AA33" s="52">
        <f>Z33 + M33 - N33 - P33 - X33 - Y33</f>
        <v/>
      </c>
      <c r="AB33" s="53">
        <f>IF(AA33&lt;0,1,0)</f>
        <v/>
      </c>
      <c r="AC33" s="54">
        <f>IF(AD33=0,0,R33/(AD33*Inputs!$C$16))</f>
        <v/>
      </c>
      <c r="AD33" s="53">
        <f>IF(A33&gt;Inputs!$C$62,"",B33+C33)</f>
        <v/>
      </c>
      <c r="AE33" s="56">
        <f>IF(A33&gt;Inputs!$C$62,"", Inputs!$C$65*(1+Inputs!$C$89*POWER(MIN(1,IF(Inputs!$C$88=0,0,B33/Inputs!$C$88)),Inputs!$C$90)))</f>
        <v/>
      </c>
      <c r="AF33" s="52">
        <f>IF(A33&gt;Inputs!$C$62,"",IF(A33=1,Inputs!$C$86,MIN(Inputs!$C$86,Inputs!$C$87*M32)))</f>
        <v/>
      </c>
      <c r="AG33" s="51">
        <f>IF(A33&gt;Inputs!$C$62,"",MIN(0.5,MAX(0, Inputs!$C$67*L33 + Inputs!$C$68*(1-K33) + Inputs!$C$69*Inputs!$C$10)))</f>
        <v/>
      </c>
      <c r="AH33" s="51">
        <f>IF(A33&gt;Inputs!$C$62,"",INDEX(CapacityPlan!$G$7:$G$266,A33))</f>
        <v/>
      </c>
      <c r="AI33" s="54">
        <f>IF(A33&gt;Inputs!$C$62,"",INDEX(CapacityPlan!$J$7:$J$266,A33))</f>
        <v/>
      </c>
      <c r="AJ33" s="51">
        <f>IF(A33&gt;Inputs!$C$62,"",IF(I33=0,"",G33/I33))</f>
        <v/>
      </c>
    </row>
    <row r="34" ht="16" customHeight="1">
      <c r="A34" s="15" t="n">
        <v>12</v>
      </c>
      <c r="B34" s="50">
        <f>IF(A34&gt;Inputs!$C$62,"",IF(Inputs!$C$80=1,INDEX(Cohorts!$B$67:$B$326,A34),IF(A34=1,Inputs!$C$63,F33)))</f>
        <v/>
      </c>
      <c r="C34" s="50">
        <f>IF(A34&gt;Inputs!$C$62,"",IF(Inputs!$C$85=0,Inputs!$C$64,MIN(Inputs!$C$91,IF(AE34=0,0,AF34/AE34))))</f>
        <v/>
      </c>
      <c r="D34" s="51">
        <f>IF(A34&gt;Inputs!$C$62,"",IF(Inputs!$C$80=1,INDEX(Cohorts!$G$67:$G$326,A34),MAX(0, Inputs!$C$66 + Inputs!$C$67*L34 + Inputs!$C$68*(1-K34) + Inputs!$C$69*Inputs!$C$10)))</f>
        <v/>
      </c>
      <c r="E34" s="50">
        <f>IF(A34&gt;Inputs!$C$62,"",IF(Inputs!$C$80=1,INDEX(Cohorts!$H$67:$H$326,A34),D34*AD34))</f>
        <v/>
      </c>
      <c r="F34" s="50">
        <f>IF(A34&gt;Inputs!$C$62,"",IF(Inputs!$C$80=1,INDEX(Cohorts!$I$67:$I$326,A34),AD34-E34))</f>
        <v/>
      </c>
      <c r="G34" s="50">
        <f>IF(A34&gt;Inputs!$C$62,"",AD34)</f>
        <v/>
      </c>
      <c r="H34" s="50">
        <f>IF(A34&gt;Inputs!$C$62,"",INDEX(CapacityPlan!$E$7:$E$266,A34))</f>
        <v/>
      </c>
      <c r="I34" s="50">
        <f>IF(A34&gt;Inputs!$C$62,"",INDEX(CapacityPlan!$I$7:$I$266,A34))</f>
        <v/>
      </c>
      <c r="J34" s="50">
        <f>IF(A34&gt;Inputs!$C$62,"",IF(G34&gt;I34,I34,G34))</f>
        <v/>
      </c>
      <c r="K34" s="51">
        <f>IF(A34&gt;Inputs!$C$62,"",IF(G34=0,1,J34/G34))</f>
        <v/>
      </c>
      <c r="L34" s="51">
        <f>IF((Inputs!$C$36 + UnitEconomics!$B$12*Inputs!$C$37 + Inputs!$C$10*Inputs!$C$38 + Inputs!$C$70*(1-K34))&gt;1,1,(Inputs!$C$36 + UnitEconomics!$B$12*Inputs!$C$37 + Inputs!$C$10*Inputs!$C$38 + Inputs!$C$70*(1-K34)))</f>
        <v/>
      </c>
      <c r="M34" s="52">
        <f>IF(A34&gt;Inputs!$C$62,"",J34*Inputs!$C$7*(1-Inputs!$C$8)*(1-L34))</f>
        <v/>
      </c>
      <c r="N34" s="52">
        <f>IF(A34&gt;Inputs!$C$62,"",J34*UnitEconomics!$B$32*AI34 + (G34-J34)*Inputs!$C$71)</f>
        <v/>
      </c>
      <c r="O34" s="52">
        <f>M34-N34</f>
        <v/>
      </c>
      <c r="P34" s="52">
        <f>IF(A34&gt;Inputs!$C$62,"",Inputs!$C$40 + H34*Inputs!$C$41)</f>
        <v/>
      </c>
      <c r="Q34" s="52">
        <f>O34-P34</f>
        <v/>
      </c>
      <c r="R34" s="50">
        <f>IF(A34&gt;Inputs!$C$62,"",AD34*Inputs!$C$16*(Inputs!$C$9 + Inputs!$C$10*Inputs!$C$11 + Inputs!$C$12)*(1 + VLOOKUP(Inputs!$C$15,Lookups!$A$2:$B$20,2,TRUE)*(Scale!$B$9/IF(Scale!$B$8=0,1,Scale!$B$8)) + Inputs!$C$52))</f>
        <v/>
      </c>
      <c r="S34" s="50">
        <f>IF(A34=1,Scale!$B$13, W33)</f>
        <v/>
      </c>
      <c r="T34" s="50">
        <f>J34*Inputs!$C$16*(Inputs!$C$19 + Inputs!$C$20*Inputs!$C$21 + 1/Inputs!$C$18)</f>
        <v/>
      </c>
      <c r="U34" s="50">
        <f>MAX(0, (R34*(1+Inputs!$C$74)) - (S34 - T34))</f>
        <v/>
      </c>
      <c r="V34" s="50">
        <f>IF(A34&lt;=Inputs!$C$73,0,INDEX(U:U,ROW()-Inputs!$C$73))</f>
        <v/>
      </c>
      <c r="W34" s="50">
        <f>S34 - T34 + V34</f>
        <v/>
      </c>
      <c r="X34" s="52">
        <f>V34*Inputs!$C$17</f>
        <v/>
      </c>
      <c r="Y34" s="52">
        <f>IF(A34&gt;Inputs!$C$62,"",C34*AE34)</f>
        <v/>
      </c>
      <c r="Z34" s="52">
        <f>IF(A34=1,Inputs!$C$72,AA33)</f>
        <v/>
      </c>
      <c r="AA34" s="52">
        <f>Z34 + M34 - N34 - P34 - X34 - Y34</f>
        <v/>
      </c>
      <c r="AB34" s="53">
        <f>IF(AA34&lt;0,1,0)</f>
        <v/>
      </c>
      <c r="AC34" s="54">
        <f>IF(AD34=0,0,R34/(AD34*Inputs!$C$16))</f>
        <v/>
      </c>
      <c r="AD34" s="53">
        <f>IF(A34&gt;Inputs!$C$62,"",B34+C34)</f>
        <v/>
      </c>
      <c r="AE34" s="56">
        <f>IF(A34&gt;Inputs!$C$62,"", Inputs!$C$65*(1+Inputs!$C$89*POWER(MIN(1,IF(Inputs!$C$88=0,0,B34/Inputs!$C$88)),Inputs!$C$90)))</f>
        <v/>
      </c>
      <c r="AF34" s="52">
        <f>IF(A34&gt;Inputs!$C$62,"",IF(A34=1,Inputs!$C$86,MIN(Inputs!$C$86,Inputs!$C$87*M33)))</f>
        <v/>
      </c>
      <c r="AG34" s="51">
        <f>IF(A34&gt;Inputs!$C$62,"",MIN(0.5,MAX(0, Inputs!$C$67*L34 + Inputs!$C$68*(1-K34) + Inputs!$C$69*Inputs!$C$10)))</f>
        <v/>
      </c>
      <c r="AH34" s="51">
        <f>IF(A34&gt;Inputs!$C$62,"",INDEX(CapacityPlan!$G$7:$G$266,A34))</f>
        <v/>
      </c>
      <c r="AI34" s="54">
        <f>IF(A34&gt;Inputs!$C$62,"",INDEX(CapacityPlan!$J$7:$J$266,A34))</f>
        <v/>
      </c>
      <c r="AJ34" s="51">
        <f>IF(A34&gt;Inputs!$C$62,"",IF(I34=0,"",G34/I34))</f>
        <v/>
      </c>
    </row>
    <row r="35" ht="16" customHeight="1">
      <c r="A35" s="15" t="n">
        <v>13</v>
      </c>
      <c r="B35" s="50">
        <f>IF(A35&gt;Inputs!$C$62,"",IF(Inputs!$C$80=1,INDEX(Cohorts!$B$67:$B$326,A35),IF(A35=1,Inputs!$C$63,F34)))</f>
        <v/>
      </c>
      <c r="C35" s="50">
        <f>IF(A35&gt;Inputs!$C$62,"",IF(Inputs!$C$85=0,Inputs!$C$64,MIN(Inputs!$C$91,IF(AE35=0,0,AF35/AE35))))</f>
        <v/>
      </c>
      <c r="D35" s="51">
        <f>IF(A35&gt;Inputs!$C$62,"",IF(Inputs!$C$80=1,INDEX(Cohorts!$G$67:$G$326,A35),MAX(0, Inputs!$C$66 + Inputs!$C$67*L35 + Inputs!$C$68*(1-K35) + Inputs!$C$69*Inputs!$C$10)))</f>
        <v/>
      </c>
      <c r="E35" s="50">
        <f>IF(A35&gt;Inputs!$C$62,"",IF(Inputs!$C$80=1,INDEX(Cohorts!$H$67:$H$326,A35),D35*AD35))</f>
        <v/>
      </c>
      <c r="F35" s="50">
        <f>IF(A35&gt;Inputs!$C$62,"",IF(Inputs!$C$80=1,INDEX(Cohorts!$I$67:$I$326,A35),AD35-E35))</f>
        <v/>
      </c>
      <c r="G35" s="50">
        <f>IF(A35&gt;Inputs!$C$62,"",AD35)</f>
        <v/>
      </c>
      <c r="H35" s="50">
        <f>IF(A35&gt;Inputs!$C$62,"",INDEX(CapacityPlan!$E$7:$E$266,A35))</f>
        <v/>
      </c>
      <c r="I35" s="50">
        <f>IF(A35&gt;Inputs!$C$62,"",INDEX(CapacityPlan!$I$7:$I$266,A35))</f>
        <v/>
      </c>
      <c r="J35" s="50">
        <f>IF(A35&gt;Inputs!$C$62,"",IF(G35&gt;I35,I35,G35))</f>
        <v/>
      </c>
      <c r="K35" s="51">
        <f>IF(A35&gt;Inputs!$C$62,"",IF(G35=0,1,J35/G35))</f>
        <v/>
      </c>
      <c r="L35" s="51">
        <f>IF((Inputs!$C$36 + UnitEconomics!$B$12*Inputs!$C$37 + Inputs!$C$10*Inputs!$C$38 + Inputs!$C$70*(1-K35))&gt;1,1,(Inputs!$C$36 + UnitEconomics!$B$12*Inputs!$C$37 + Inputs!$C$10*Inputs!$C$38 + Inputs!$C$70*(1-K35)))</f>
        <v/>
      </c>
      <c r="M35" s="52">
        <f>IF(A35&gt;Inputs!$C$62,"",J35*Inputs!$C$7*(1-Inputs!$C$8)*(1-L35))</f>
        <v/>
      </c>
      <c r="N35" s="52">
        <f>IF(A35&gt;Inputs!$C$62,"",J35*UnitEconomics!$B$32*AI35 + (G35-J35)*Inputs!$C$71)</f>
        <v/>
      </c>
      <c r="O35" s="52">
        <f>M35-N35</f>
        <v/>
      </c>
      <c r="P35" s="52">
        <f>IF(A35&gt;Inputs!$C$62,"",Inputs!$C$40 + H35*Inputs!$C$41)</f>
        <v/>
      </c>
      <c r="Q35" s="52">
        <f>O35-P35</f>
        <v/>
      </c>
      <c r="R35" s="50">
        <f>IF(A35&gt;Inputs!$C$62,"",AD35*Inputs!$C$16*(Inputs!$C$9 + Inputs!$C$10*Inputs!$C$11 + Inputs!$C$12)*(1 + VLOOKUP(Inputs!$C$15,Lookups!$A$2:$B$20,2,TRUE)*(Scale!$B$9/IF(Scale!$B$8=0,1,Scale!$B$8)) + Inputs!$C$52))</f>
        <v/>
      </c>
      <c r="S35" s="50">
        <f>IF(A35=1,Scale!$B$13, W34)</f>
        <v/>
      </c>
      <c r="T35" s="50">
        <f>J35*Inputs!$C$16*(Inputs!$C$19 + Inputs!$C$20*Inputs!$C$21 + 1/Inputs!$C$18)</f>
        <v/>
      </c>
      <c r="U35" s="50">
        <f>MAX(0, (R35*(1+Inputs!$C$74)) - (S35 - T35))</f>
        <v/>
      </c>
      <c r="V35" s="50">
        <f>IF(A35&lt;=Inputs!$C$73,0,INDEX(U:U,ROW()-Inputs!$C$73))</f>
        <v/>
      </c>
      <c r="W35" s="50">
        <f>S35 - T35 + V35</f>
        <v/>
      </c>
      <c r="X35" s="52">
        <f>V35*Inputs!$C$17</f>
        <v/>
      </c>
      <c r="Y35" s="52">
        <f>IF(A35&gt;Inputs!$C$62,"",C35*AE35)</f>
        <v/>
      </c>
      <c r="Z35" s="52">
        <f>IF(A35=1,Inputs!$C$72,AA34)</f>
        <v/>
      </c>
      <c r="AA35" s="52">
        <f>Z35 + M35 - N35 - P35 - X35 - Y35</f>
        <v/>
      </c>
      <c r="AB35" s="53">
        <f>IF(AA35&lt;0,1,0)</f>
        <v/>
      </c>
      <c r="AC35" s="54">
        <f>IF(AD35=0,0,R35/(AD35*Inputs!$C$16))</f>
        <v/>
      </c>
      <c r="AD35" s="53">
        <f>IF(A35&gt;Inputs!$C$62,"",B35+C35)</f>
        <v/>
      </c>
      <c r="AE35" s="56">
        <f>IF(A35&gt;Inputs!$C$62,"", Inputs!$C$65*(1+Inputs!$C$89*POWER(MIN(1,IF(Inputs!$C$88=0,0,B35/Inputs!$C$88)),Inputs!$C$90)))</f>
        <v/>
      </c>
      <c r="AF35" s="52">
        <f>IF(A35&gt;Inputs!$C$62,"",IF(A35=1,Inputs!$C$86,MIN(Inputs!$C$86,Inputs!$C$87*M34)))</f>
        <v/>
      </c>
      <c r="AG35" s="51">
        <f>IF(A35&gt;Inputs!$C$62,"",MIN(0.5,MAX(0, Inputs!$C$67*L35 + Inputs!$C$68*(1-K35) + Inputs!$C$69*Inputs!$C$10)))</f>
        <v/>
      </c>
      <c r="AH35" s="51">
        <f>IF(A35&gt;Inputs!$C$62,"",INDEX(CapacityPlan!$G$7:$G$266,A35))</f>
        <v/>
      </c>
      <c r="AI35" s="54">
        <f>IF(A35&gt;Inputs!$C$62,"",INDEX(CapacityPlan!$J$7:$J$266,A35))</f>
        <v/>
      </c>
      <c r="AJ35" s="51">
        <f>IF(A35&gt;Inputs!$C$62,"",IF(I35=0,"",G35/I35))</f>
        <v/>
      </c>
    </row>
    <row r="36" ht="16" customHeight="1">
      <c r="A36" s="15" t="n">
        <v>14</v>
      </c>
      <c r="B36" s="50">
        <f>IF(A36&gt;Inputs!$C$62,"",IF(Inputs!$C$80=1,INDEX(Cohorts!$B$67:$B$326,A36),IF(A36=1,Inputs!$C$63,F35)))</f>
        <v/>
      </c>
      <c r="C36" s="50">
        <f>IF(A36&gt;Inputs!$C$62,"",IF(Inputs!$C$85=0,Inputs!$C$64,MIN(Inputs!$C$91,IF(AE36=0,0,AF36/AE36))))</f>
        <v/>
      </c>
      <c r="D36" s="51">
        <f>IF(A36&gt;Inputs!$C$62,"",IF(Inputs!$C$80=1,INDEX(Cohorts!$G$67:$G$326,A36),MAX(0, Inputs!$C$66 + Inputs!$C$67*L36 + Inputs!$C$68*(1-K36) + Inputs!$C$69*Inputs!$C$10)))</f>
        <v/>
      </c>
      <c r="E36" s="50">
        <f>IF(A36&gt;Inputs!$C$62,"",IF(Inputs!$C$80=1,INDEX(Cohorts!$H$67:$H$326,A36),D36*AD36))</f>
        <v/>
      </c>
      <c r="F36" s="50">
        <f>IF(A36&gt;Inputs!$C$62,"",IF(Inputs!$C$80=1,INDEX(Cohorts!$I$67:$I$326,A36),AD36-E36))</f>
        <v/>
      </c>
      <c r="G36" s="50">
        <f>IF(A36&gt;Inputs!$C$62,"",AD36)</f>
        <v/>
      </c>
      <c r="H36" s="50">
        <f>IF(A36&gt;Inputs!$C$62,"",INDEX(CapacityPlan!$E$7:$E$266,A36))</f>
        <v/>
      </c>
      <c r="I36" s="50">
        <f>IF(A36&gt;Inputs!$C$62,"",INDEX(CapacityPlan!$I$7:$I$266,A36))</f>
        <v/>
      </c>
      <c r="J36" s="50">
        <f>IF(A36&gt;Inputs!$C$62,"",IF(G36&gt;I36,I36,G36))</f>
        <v/>
      </c>
      <c r="K36" s="51">
        <f>IF(A36&gt;Inputs!$C$62,"",IF(G36=0,1,J36/G36))</f>
        <v/>
      </c>
      <c r="L36" s="51">
        <f>IF((Inputs!$C$36 + UnitEconomics!$B$12*Inputs!$C$37 + Inputs!$C$10*Inputs!$C$38 + Inputs!$C$70*(1-K36))&gt;1,1,(Inputs!$C$36 + UnitEconomics!$B$12*Inputs!$C$37 + Inputs!$C$10*Inputs!$C$38 + Inputs!$C$70*(1-K36)))</f>
        <v/>
      </c>
      <c r="M36" s="52">
        <f>IF(A36&gt;Inputs!$C$62,"",J36*Inputs!$C$7*(1-Inputs!$C$8)*(1-L36))</f>
        <v/>
      </c>
      <c r="N36" s="52">
        <f>IF(A36&gt;Inputs!$C$62,"",J36*UnitEconomics!$B$32*AI36 + (G36-J36)*Inputs!$C$71)</f>
        <v/>
      </c>
      <c r="O36" s="52">
        <f>M36-N36</f>
        <v/>
      </c>
      <c r="P36" s="52">
        <f>IF(A36&gt;Inputs!$C$62,"",Inputs!$C$40 + H36*Inputs!$C$41)</f>
        <v/>
      </c>
      <c r="Q36" s="52">
        <f>O36-P36</f>
        <v/>
      </c>
      <c r="R36" s="50">
        <f>IF(A36&gt;Inputs!$C$62,"",AD36*Inputs!$C$16*(Inputs!$C$9 + Inputs!$C$10*Inputs!$C$11 + Inputs!$C$12)*(1 + VLOOKUP(Inputs!$C$15,Lookups!$A$2:$B$20,2,TRUE)*(Scale!$B$9/IF(Scale!$B$8=0,1,Scale!$B$8)) + Inputs!$C$52))</f>
        <v/>
      </c>
      <c r="S36" s="50">
        <f>IF(A36=1,Scale!$B$13, W35)</f>
        <v/>
      </c>
      <c r="T36" s="50">
        <f>J36*Inputs!$C$16*(Inputs!$C$19 + Inputs!$C$20*Inputs!$C$21 + 1/Inputs!$C$18)</f>
        <v/>
      </c>
      <c r="U36" s="50">
        <f>MAX(0, (R36*(1+Inputs!$C$74)) - (S36 - T36))</f>
        <v/>
      </c>
      <c r="V36" s="50">
        <f>IF(A36&lt;=Inputs!$C$73,0,INDEX(U:U,ROW()-Inputs!$C$73))</f>
        <v/>
      </c>
      <c r="W36" s="50">
        <f>S36 - T36 + V36</f>
        <v/>
      </c>
      <c r="X36" s="52">
        <f>V36*Inputs!$C$17</f>
        <v/>
      </c>
      <c r="Y36" s="52">
        <f>IF(A36&gt;Inputs!$C$62,"",C36*AE36)</f>
        <v/>
      </c>
      <c r="Z36" s="52">
        <f>IF(A36=1,Inputs!$C$72,AA35)</f>
        <v/>
      </c>
      <c r="AA36" s="52">
        <f>Z36 + M36 - N36 - P36 - X36 - Y36</f>
        <v/>
      </c>
      <c r="AB36" s="53">
        <f>IF(AA36&lt;0,1,0)</f>
        <v/>
      </c>
      <c r="AC36" s="54">
        <f>IF(AD36=0,0,R36/(AD36*Inputs!$C$16))</f>
        <v/>
      </c>
      <c r="AD36" s="53">
        <f>IF(A36&gt;Inputs!$C$62,"",B36+C36)</f>
        <v/>
      </c>
      <c r="AE36" s="56">
        <f>IF(A36&gt;Inputs!$C$62,"", Inputs!$C$65*(1+Inputs!$C$89*POWER(MIN(1,IF(Inputs!$C$88=0,0,B36/Inputs!$C$88)),Inputs!$C$90)))</f>
        <v/>
      </c>
      <c r="AF36" s="52">
        <f>IF(A36&gt;Inputs!$C$62,"",IF(A36=1,Inputs!$C$86,MIN(Inputs!$C$86,Inputs!$C$87*M35)))</f>
        <v/>
      </c>
      <c r="AG36" s="51">
        <f>IF(A36&gt;Inputs!$C$62,"",MIN(0.5,MAX(0, Inputs!$C$67*L36 + Inputs!$C$68*(1-K36) + Inputs!$C$69*Inputs!$C$10)))</f>
        <v/>
      </c>
      <c r="AH36" s="51">
        <f>IF(A36&gt;Inputs!$C$62,"",INDEX(CapacityPlan!$G$7:$G$266,A36))</f>
        <v/>
      </c>
      <c r="AI36" s="54">
        <f>IF(A36&gt;Inputs!$C$62,"",INDEX(CapacityPlan!$J$7:$J$266,A36))</f>
        <v/>
      </c>
      <c r="AJ36" s="51">
        <f>IF(A36&gt;Inputs!$C$62,"",IF(I36=0,"",G36/I36))</f>
        <v/>
      </c>
    </row>
    <row r="37" ht="16" customHeight="1">
      <c r="A37" s="15" t="n">
        <v>15</v>
      </c>
      <c r="B37" s="50">
        <f>IF(A37&gt;Inputs!$C$62,"",IF(Inputs!$C$80=1,INDEX(Cohorts!$B$67:$B$326,A37),IF(A37=1,Inputs!$C$63,F36)))</f>
        <v/>
      </c>
      <c r="C37" s="50">
        <f>IF(A37&gt;Inputs!$C$62,"",IF(Inputs!$C$85=0,Inputs!$C$64,MIN(Inputs!$C$91,IF(AE37=0,0,AF37/AE37))))</f>
        <v/>
      </c>
      <c r="D37" s="51">
        <f>IF(A37&gt;Inputs!$C$62,"",IF(Inputs!$C$80=1,INDEX(Cohorts!$G$67:$G$326,A37),MAX(0, Inputs!$C$66 + Inputs!$C$67*L37 + Inputs!$C$68*(1-K37) + Inputs!$C$69*Inputs!$C$10)))</f>
        <v/>
      </c>
      <c r="E37" s="50">
        <f>IF(A37&gt;Inputs!$C$62,"",IF(Inputs!$C$80=1,INDEX(Cohorts!$H$67:$H$326,A37),D37*AD37))</f>
        <v/>
      </c>
      <c r="F37" s="50">
        <f>IF(A37&gt;Inputs!$C$62,"",IF(Inputs!$C$80=1,INDEX(Cohorts!$I$67:$I$326,A37),AD37-E37))</f>
        <v/>
      </c>
      <c r="G37" s="50">
        <f>IF(A37&gt;Inputs!$C$62,"",AD37)</f>
        <v/>
      </c>
      <c r="H37" s="50">
        <f>IF(A37&gt;Inputs!$C$62,"",INDEX(CapacityPlan!$E$7:$E$266,A37))</f>
        <v/>
      </c>
      <c r="I37" s="50">
        <f>IF(A37&gt;Inputs!$C$62,"",INDEX(CapacityPlan!$I$7:$I$266,A37))</f>
        <v/>
      </c>
      <c r="J37" s="50">
        <f>IF(A37&gt;Inputs!$C$62,"",IF(G37&gt;I37,I37,G37))</f>
        <v/>
      </c>
      <c r="K37" s="51">
        <f>IF(A37&gt;Inputs!$C$62,"",IF(G37=0,1,J37/G37))</f>
        <v/>
      </c>
      <c r="L37" s="51">
        <f>IF((Inputs!$C$36 + UnitEconomics!$B$12*Inputs!$C$37 + Inputs!$C$10*Inputs!$C$38 + Inputs!$C$70*(1-K37))&gt;1,1,(Inputs!$C$36 + UnitEconomics!$B$12*Inputs!$C$37 + Inputs!$C$10*Inputs!$C$38 + Inputs!$C$70*(1-K37)))</f>
        <v/>
      </c>
      <c r="M37" s="52">
        <f>IF(A37&gt;Inputs!$C$62,"",J37*Inputs!$C$7*(1-Inputs!$C$8)*(1-L37))</f>
        <v/>
      </c>
      <c r="N37" s="52">
        <f>IF(A37&gt;Inputs!$C$62,"",J37*UnitEconomics!$B$32*AI37 + (G37-J37)*Inputs!$C$71)</f>
        <v/>
      </c>
      <c r="O37" s="52">
        <f>M37-N37</f>
        <v/>
      </c>
      <c r="P37" s="52">
        <f>IF(A37&gt;Inputs!$C$62,"",Inputs!$C$40 + H37*Inputs!$C$41)</f>
        <v/>
      </c>
      <c r="Q37" s="52">
        <f>O37-P37</f>
        <v/>
      </c>
      <c r="R37" s="50">
        <f>IF(A37&gt;Inputs!$C$62,"",AD37*Inputs!$C$16*(Inputs!$C$9 + Inputs!$C$10*Inputs!$C$11 + Inputs!$C$12)*(1 + VLOOKUP(Inputs!$C$15,Lookups!$A$2:$B$20,2,TRUE)*(Scale!$B$9/IF(Scale!$B$8=0,1,Scale!$B$8)) + Inputs!$C$52))</f>
        <v/>
      </c>
      <c r="S37" s="50">
        <f>IF(A37=1,Scale!$B$13, W36)</f>
        <v/>
      </c>
      <c r="T37" s="50">
        <f>J37*Inputs!$C$16*(Inputs!$C$19 + Inputs!$C$20*Inputs!$C$21 + 1/Inputs!$C$18)</f>
        <v/>
      </c>
      <c r="U37" s="50">
        <f>MAX(0, (R37*(1+Inputs!$C$74)) - (S37 - T37))</f>
        <v/>
      </c>
      <c r="V37" s="50">
        <f>IF(A37&lt;=Inputs!$C$73,0,INDEX(U:U,ROW()-Inputs!$C$73))</f>
        <v/>
      </c>
      <c r="W37" s="50">
        <f>S37 - T37 + V37</f>
        <v/>
      </c>
      <c r="X37" s="52">
        <f>V37*Inputs!$C$17</f>
        <v/>
      </c>
      <c r="Y37" s="52">
        <f>IF(A37&gt;Inputs!$C$62,"",C37*AE37)</f>
        <v/>
      </c>
      <c r="Z37" s="52">
        <f>IF(A37=1,Inputs!$C$72,AA36)</f>
        <v/>
      </c>
      <c r="AA37" s="52">
        <f>Z37 + M37 - N37 - P37 - X37 - Y37</f>
        <v/>
      </c>
      <c r="AB37" s="53">
        <f>IF(AA37&lt;0,1,0)</f>
        <v/>
      </c>
      <c r="AC37" s="54">
        <f>IF(AD37=0,0,R37/(AD37*Inputs!$C$16))</f>
        <v/>
      </c>
      <c r="AD37" s="53">
        <f>IF(A37&gt;Inputs!$C$62,"",B37+C37)</f>
        <v/>
      </c>
      <c r="AE37" s="56">
        <f>IF(A37&gt;Inputs!$C$62,"", Inputs!$C$65*(1+Inputs!$C$89*POWER(MIN(1,IF(Inputs!$C$88=0,0,B37/Inputs!$C$88)),Inputs!$C$90)))</f>
        <v/>
      </c>
      <c r="AF37" s="52">
        <f>IF(A37&gt;Inputs!$C$62,"",IF(A37=1,Inputs!$C$86,MIN(Inputs!$C$86,Inputs!$C$87*M36)))</f>
        <v/>
      </c>
      <c r="AG37" s="51">
        <f>IF(A37&gt;Inputs!$C$62,"",MIN(0.5,MAX(0, Inputs!$C$67*L37 + Inputs!$C$68*(1-K37) + Inputs!$C$69*Inputs!$C$10)))</f>
        <v/>
      </c>
      <c r="AH37" s="51">
        <f>IF(A37&gt;Inputs!$C$62,"",INDEX(CapacityPlan!$G$7:$G$266,A37))</f>
        <v/>
      </c>
      <c r="AI37" s="54">
        <f>IF(A37&gt;Inputs!$C$62,"",INDEX(CapacityPlan!$J$7:$J$266,A37))</f>
        <v/>
      </c>
      <c r="AJ37" s="51">
        <f>IF(A37&gt;Inputs!$C$62,"",IF(I37=0,"",G37/I37))</f>
        <v/>
      </c>
    </row>
    <row r="38" ht="16" customHeight="1">
      <c r="A38" s="15" t="n">
        <v>16</v>
      </c>
      <c r="B38" s="50">
        <f>IF(A38&gt;Inputs!$C$62,"",IF(Inputs!$C$80=1,INDEX(Cohorts!$B$67:$B$326,A38),IF(A38=1,Inputs!$C$63,F37)))</f>
        <v/>
      </c>
      <c r="C38" s="50">
        <f>IF(A38&gt;Inputs!$C$62,"",IF(Inputs!$C$85=0,Inputs!$C$64,MIN(Inputs!$C$91,IF(AE38=0,0,AF38/AE38))))</f>
        <v/>
      </c>
      <c r="D38" s="51">
        <f>IF(A38&gt;Inputs!$C$62,"",IF(Inputs!$C$80=1,INDEX(Cohorts!$G$67:$G$326,A38),MAX(0, Inputs!$C$66 + Inputs!$C$67*L38 + Inputs!$C$68*(1-K38) + Inputs!$C$69*Inputs!$C$10)))</f>
        <v/>
      </c>
      <c r="E38" s="50">
        <f>IF(A38&gt;Inputs!$C$62,"",IF(Inputs!$C$80=1,INDEX(Cohorts!$H$67:$H$326,A38),D38*AD38))</f>
        <v/>
      </c>
      <c r="F38" s="50">
        <f>IF(A38&gt;Inputs!$C$62,"",IF(Inputs!$C$80=1,INDEX(Cohorts!$I$67:$I$326,A38),AD38-E38))</f>
        <v/>
      </c>
      <c r="G38" s="50">
        <f>IF(A38&gt;Inputs!$C$62,"",AD38)</f>
        <v/>
      </c>
      <c r="H38" s="50">
        <f>IF(A38&gt;Inputs!$C$62,"",INDEX(CapacityPlan!$E$7:$E$266,A38))</f>
        <v/>
      </c>
      <c r="I38" s="50">
        <f>IF(A38&gt;Inputs!$C$62,"",INDEX(CapacityPlan!$I$7:$I$266,A38))</f>
        <v/>
      </c>
      <c r="J38" s="50">
        <f>IF(A38&gt;Inputs!$C$62,"",IF(G38&gt;I38,I38,G38))</f>
        <v/>
      </c>
      <c r="K38" s="51">
        <f>IF(A38&gt;Inputs!$C$62,"",IF(G38=0,1,J38/G38))</f>
        <v/>
      </c>
      <c r="L38" s="51">
        <f>IF((Inputs!$C$36 + UnitEconomics!$B$12*Inputs!$C$37 + Inputs!$C$10*Inputs!$C$38 + Inputs!$C$70*(1-K38))&gt;1,1,(Inputs!$C$36 + UnitEconomics!$B$12*Inputs!$C$37 + Inputs!$C$10*Inputs!$C$38 + Inputs!$C$70*(1-K38)))</f>
        <v/>
      </c>
      <c r="M38" s="52">
        <f>IF(A38&gt;Inputs!$C$62,"",J38*Inputs!$C$7*(1-Inputs!$C$8)*(1-L38))</f>
        <v/>
      </c>
      <c r="N38" s="52">
        <f>IF(A38&gt;Inputs!$C$62,"",J38*UnitEconomics!$B$32*AI38 + (G38-J38)*Inputs!$C$71)</f>
        <v/>
      </c>
      <c r="O38" s="52">
        <f>M38-N38</f>
        <v/>
      </c>
      <c r="P38" s="52">
        <f>IF(A38&gt;Inputs!$C$62,"",Inputs!$C$40 + H38*Inputs!$C$41)</f>
        <v/>
      </c>
      <c r="Q38" s="52">
        <f>O38-P38</f>
        <v/>
      </c>
      <c r="R38" s="50">
        <f>IF(A38&gt;Inputs!$C$62,"",AD38*Inputs!$C$16*(Inputs!$C$9 + Inputs!$C$10*Inputs!$C$11 + Inputs!$C$12)*(1 + VLOOKUP(Inputs!$C$15,Lookups!$A$2:$B$20,2,TRUE)*(Scale!$B$9/IF(Scale!$B$8=0,1,Scale!$B$8)) + Inputs!$C$52))</f>
        <v/>
      </c>
      <c r="S38" s="50">
        <f>IF(A38=1,Scale!$B$13, W37)</f>
        <v/>
      </c>
      <c r="T38" s="50">
        <f>J38*Inputs!$C$16*(Inputs!$C$19 + Inputs!$C$20*Inputs!$C$21 + 1/Inputs!$C$18)</f>
        <v/>
      </c>
      <c r="U38" s="50">
        <f>MAX(0, (R38*(1+Inputs!$C$74)) - (S38 - T38))</f>
        <v/>
      </c>
      <c r="V38" s="50">
        <f>IF(A38&lt;=Inputs!$C$73,0,INDEX(U:U,ROW()-Inputs!$C$73))</f>
        <v/>
      </c>
      <c r="W38" s="50">
        <f>S38 - T38 + V38</f>
        <v/>
      </c>
      <c r="X38" s="52">
        <f>V38*Inputs!$C$17</f>
        <v/>
      </c>
      <c r="Y38" s="52">
        <f>IF(A38&gt;Inputs!$C$62,"",C38*AE38)</f>
        <v/>
      </c>
      <c r="Z38" s="52">
        <f>IF(A38=1,Inputs!$C$72,AA37)</f>
        <v/>
      </c>
      <c r="AA38" s="52">
        <f>Z38 + M38 - N38 - P38 - X38 - Y38</f>
        <v/>
      </c>
      <c r="AB38" s="53">
        <f>IF(AA38&lt;0,1,0)</f>
        <v/>
      </c>
      <c r="AC38" s="54">
        <f>IF(AD38=0,0,R38/(AD38*Inputs!$C$16))</f>
        <v/>
      </c>
      <c r="AD38" s="53">
        <f>IF(A38&gt;Inputs!$C$62,"",B38+C38)</f>
        <v/>
      </c>
      <c r="AE38" s="56">
        <f>IF(A38&gt;Inputs!$C$62,"", Inputs!$C$65*(1+Inputs!$C$89*POWER(MIN(1,IF(Inputs!$C$88=0,0,B38/Inputs!$C$88)),Inputs!$C$90)))</f>
        <v/>
      </c>
      <c r="AF38" s="52">
        <f>IF(A38&gt;Inputs!$C$62,"",IF(A38=1,Inputs!$C$86,MIN(Inputs!$C$86,Inputs!$C$87*M37)))</f>
        <v/>
      </c>
      <c r="AG38" s="51">
        <f>IF(A38&gt;Inputs!$C$62,"",MIN(0.5,MAX(0, Inputs!$C$67*L38 + Inputs!$C$68*(1-K38) + Inputs!$C$69*Inputs!$C$10)))</f>
        <v/>
      </c>
      <c r="AH38" s="51">
        <f>IF(A38&gt;Inputs!$C$62,"",INDEX(CapacityPlan!$G$7:$G$266,A38))</f>
        <v/>
      </c>
      <c r="AI38" s="54">
        <f>IF(A38&gt;Inputs!$C$62,"",INDEX(CapacityPlan!$J$7:$J$266,A38))</f>
        <v/>
      </c>
      <c r="AJ38" s="51">
        <f>IF(A38&gt;Inputs!$C$62,"",IF(I38=0,"",G38/I38))</f>
        <v/>
      </c>
    </row>
    <row r="39" ht="16" customHeight="1">
      <c r="A39" s="15" t="n">
        <v>17</v>
      </c>
      <c r="B39" s="50">
        <f>IF(A39&gt;Inputs!$C$62,"",IF(Inputs!$C$80=1,INDEX(Cohorts!$B$67:$B$326,A39),IF(A39=1,Inputs!$C$63,F38)))</f>
        <v/>
      </c>
      <c r="C39" s="50">
        <f>IF(A39&gt;Inputs!$C$62,"",IF(Inputs!$C$85=0,Inputs!$C$64,MIN(Inputs!$C$91,IF(AE39=0,0,AF39/AE39))))</f>
        <v/>
      </c>
      <c r="D39" s="51">
        <f>IF(A39&gt;Inputs!$C$62,"",IF(Inputs!$C$80=1,INDEX(Cohorts!$G$67:$G$326,A39),MAX(0, Inputs!$C$66 + Inputs!$C$67*L39 + Inputs!$C$68*(1-K39) + Inputs!$C$69*Inputs!$C$10)))</f>
        <v/>
      </c>
      <c r="E39" s="50">
        <f>IF(A39&gt;Inputs!$C$62,"",IF(Inputs!$C$80=1,INDEX(Cohorts!$H$67:$H$326,A39),D39*AD39))</f>
        <v/>
      </c>
      <c r="F39" s="50">
        <f>IF(A39&gt;Inputs!$C$62,"",IF(Inputs!$C$80=1,INDEX(Cohorts!$I$67:$I$326,A39),AD39-E39))</f>
        <v/>
      </c>
      <c r="G39" s="50">
        <f>IF(A39&gt;Inputs!$C$62,"",AD39)</f>
        <v/>
      </c>
      <c r="H39" s="50">
        <f>IF(A39&gt;Inputs!$C$62,"",INDEX(CapacityPlan!$E$7:$E$266,A39))</f>
        <v/>
      </c>
      <c r="I39" s="50">
        <f>IF(A39&gt;Inputs!$C$62,"",INDEX(CapacityPlan!$I$7:$I$266,A39))</f>
        <v/>
      </c>
      <c r="J39" s="50">
        <f>IF(A39&gt;Inputs!$C$62,"",IF(G39&gt;I39,I39,G39))</f>
        <v/>
      </c>
      <c r="K39" s="51">
        <f>IF(A39&gt;Inputs!$C$62,"",IF(G39=0,1,J39/G39))</f>
        <v/>
      </c>
      <c r="L39" s="51">
        <f>IF((Inputs!$C$36 + UnitEconomics!$B$12*Inputs!$C$37 + Inputs!$C$10*Inputs!$C$38 + Inputs!$C$70*(1-K39))&gt;1,1,(Inputs!$C$36 + UnitEconomics!$B$12*Inputs!$C$37 + Inputs!$C$10*Inputs!$C$38 + Inputs!$C$70*(1-K39)))</f>
        <v/>
      </c>
      <c r="M39" s="52">
        <f>IF(A39&gt;Inputs!$C$62,"",J39*Inputs!$C$7*(1-Inputs!$C$8)*(1-L39))</f>
        <v/>
      </c>
      <c r="N39" s="52">
        <f>IF(A39&gt;Inputs!$C$62,"",J39*UnitEconomics!$B$32*AI39 + (G39-J39)*Inputs!$C$71)</f>
        <v/>
      </c>
      <c r="O39" s="52">
        <f>M39-N39</f>
        <v/>
      </c>
      <c r="P39" s="52">
        <f>IF(A39&gt;Inputs!$C$62,"",Inputs!$C$40 + H39*Inputs!$C$41)</f>
        <v/>
      </c>
      <c r="Q39" s="52">
        <f>O39-P39</f>
        <v/>
      </c>
      <c r="R39" s="50">
        <f>IF(A39&gt;Inputs!$C$62,"",AD39*Inputs!$C$16*(Inputs!$C$9 + Inputs!$C$10*Inputs!$C$11 + Inputs!$C$12)*(1 + VLOOKUP(Inputs!$C$15,Lookups!$A$2:$B$20,2,TRUE)*(Scale!$B$9/IF(Scale!$B$8=0,1,Scale!$B$8)) + Inputs!$C$52))</f>
        <v/>
      </c>
      <c r="S39" s="50">
        <f>IF(A39=1,Scale!$B$13, W38)</f>
        <v/>
      </c>
      <c r="T39" s="50">
        <f>J39*Inputs!$C$16*(Inputs!$C$19 + Inputs!$C$20*Inputs!$C$21 + 1/Inputs!$C$18)</f>
        <v/>
      </c>
      <c r="U39" s="50">
        <f>MAX(0, (R39*(1+Inputs!$C$74)) - (S39 - T39))</f>
        <v/>
      </c>
      <c r="V39" s="50">
        <f>IF(A39&lt;=Inputs!$C$73,0,INDEX(U:U,ROW()-Inputs!$C$73))</f>
        <v/>
      </c>
      <c r="W39" s="50">
        <f>S39 - T39 + V39</f>
        <v/>
      </c>
      <c r="X39" s="52">
        <f>V39*Inputs!$C$17</f>
        <v/>
      </c>
      <c r="Y39" s="52">
        <f>IF(A39&gt;Inputs!$C$62,"",C39*AE39)</f>
        <v/>
      </c>
      <c r="Z39" s="52">
        <f>IF(A39=1,Inputs!$C$72,AA38)</f>
        <v/>
      </c>
      <c r="AA39" s="52">
        <f>Z39 + M39 - N39 - P39 - X39 - Y39</f>
        <v/>
      </c>
      <c r="AB39" s="53">
        <f>IF(AA39&lt;0,1,0)</f>
        <v/>
      </c>
      <c r="AC39" s="54">
        <f>IF(AD39=0,0,R39/(AD39*Inputs!$C$16))</f>
        <v/>
      </c>
      <c r="AD39" s="53">
        <f>IF(A39&gt;Inputs!$C$62,"",B39+C39)</f>
        <v/>
      </c>
      <c r="AE39" s="56">
        <f>IF(A39&gt;Inputs!$C$62,"", Inputs!$C$65*(1+Inputs!$C$89*POWER(MIN(1,IF(Inputs!$C$88=0,0,B39/Inputs!$C$88)),Inputs!$C$90)))</f>
        <v/>
      </c>
      <c r="AF39" s="52">
        <f>IF(A39&gt;Inputs!$C$62,"",IF(A39=1,Inputs!$C$86,MIN(Inputs!$C$86,Inputs!$C$87*M38)))</f>
        <v/>
      </c>
      <c r="AG39" s="51">
        <f>IF(A39&gt;Inputs!$C$62,"",MIN(0.5,MAX(0, Inputs!$C$67*L39 + Inputs!$C$68*(1-K39) + Inputs!$C$69*Inputs!$C$10)))</f>
        <v/>
      </c>
      <c r="AH39" s="51">
        <f>IF(A39&gt;Inputs!$C$62,"",INDEX(CapacityPlan!$G$7:$G$266,A39))</f>
        <v/>
      </c>
      <c r="AI39" s="54">
        <f>IF(A39&gt;Inputs!$C$62,"",INDEX(CapacityPlan!$J$7:$J$266,A39))</f>
        <v/>
      </c>
      <c r="AJ39" s="51">
        <f>IF(A39&gt;Inputs!$C$62,"",IF(I39=0,"",G39/I39))</f>
        <v/>
      </c>
    </row>
    <row r="40" ht="16" customHeight="1">
      <c r="A40" s="15" t="n">
        <v>18</v>
      </c>
      <c r="B40" s="50">
        <f>IF(A40&gt;Inputs!$C$62,"",IF(Inputs!$C$80=1,INDEX(Cohorts!$B$67:$B$326,A40),IF(A40=1,Inputs!$C$63,F39)))</f>
        <v/>
      </c>
      <c r="C40" s="50">
        <f>IF(A40&gt;Inputs!$C$62,"",IF(Inputs!$C$85=0,Inputs!$C$64,MIN(Inputs!$C$91,IF(AE40=0,0,AF40/AE40))))</f>
        <v/>
      </c>
      <c r="D40" s="51">
        <f>IF(A40&gt;Inputs!$C$62,"",IF(Inputs!$C$80=1,INDEX(Cohorts!$G$67:$G$326,A40),MAX(0, Inputs!$C$66 + Inputs!$C$67*L40 + Inputs!$C$68*(1-K40) + Inputs!$C$69*Inputs!$C$10)))</f>
        <v/>
      </c>
      <c r="E40" s="50">
        <f>IF(A40&gt;Inputs!$C$62,"",IF(Inputs!$C$80=1,INDEX(Cohorts!$H$67:$H$326,A40),D40*AD40))</f>
        <v/>
      </c>
      <c r="F40" s="50">
        <f>IF(A40&gt;Inputs!$C$62,"",IF(Inputs!$C$80=1,INDEX(Cohorts!$I$67:$I$326,A40),AD40-E40))</f>
        <v/>
      </c>
      <c r="G40" s="50">
        <f>IF(A40&gt;Inputs!$C$62,"",AD40)</f>
        <v/>
      </c>
      <c r="H40" s="50">
        <f>IF(A40&gt;Inputs!$C$62,"",INDEX(CapacityPlan!$E$7:$E$266,A40))</f>
        <v/>
      </c>
      <c r="I40" s="50">
        <f>IF(A40&gt;Inputs!$C$62,"",INDEX(CapacityPlan!$I$7:$I$266,A40))</f>
        <v/>
      </c>
      <c r="J40" s="50">
        <f>IF(A40&gt;Inputs!$C$62,"",IF(G40&gt;I40,I40,G40))</f>
        <v/>
      </c>
      <c r="K40" s="51">
        <f>IF(A40&gt;Inputs!$C$62,"",IF(G40=0,1,J40/G40))</f>
        <v/>
      </c>
      <c r="L40" s="51">
        <f>IF((Inputs!$C$36 + UnitEconomics!$B$12*Inputs!$C$37 + Inputs!$C$10*Inputs!$C$38 + Inputs!$C$70*(1-K40))&gt;1,1,(Inputs!$C$36 + UnitEconomics!$B$12*Inputs!$C$37 + Inputs!$C$10*Inputs!$C$38 + Inputs!$C$70*(1-K40)))</f>
        <v/>
      </c>
      <c r="M40" s="52">
        <f>IF(A40&gt;Inputs!$C$62,"",J40*Inputs!$C$7*(1-Inputs!$C$8)*(1-L40))</f>
        <v/>
      </c>
      <c r="N40" s="52">
        <f>IF(A40&gt;Inputs!$C$62,"",J40*UnitEconomics!$B$32*AI40 + (G40-J40)*Inputs!$C$71)</f>
        <v/>
      </c>
      <c r="O40" s="52">
        <f>M40-N40</f>
        <v/>
      </c>
      <c r="P40" s="52">
        <f>IF(A40&gt;Inputs!$C$62,"",Inputs!$C$40 + H40*Inputs!$C$41)</f>
        <v/>
      </c>
      <c r="Q40" s="52">
        <f>O40-P40</f>
        <v/>
      </c>
      <c r="R40" s="50">
        <f>IF(A40&gt;Inputs!$C$62,"",AD40*Inputs!$C$16*(Inputs!$C$9 + Inputs!$C$10*Inputs!$C$11 + Inputs!$C$12)*(1 + VLOOKUP(Inputs!$C$15,Lookups!$A$2:$B$20,2,TRUE)*(Scale!$B$9/IF(Scale!$B$8=0,1,Scale!$B$8)) + Inputs!$C$52))</f>
        <v/>
      </c>
      <c r="S40" s="50">
        <f>IF(A40=1,Scale!$B$13, W39)</f>
        <v/>
      </c>
      <c r="T40" s="50">
        <f>J40*Inputs!$C$16*(Inputs!$C$19 + Inputs!$C$20*Inputs!$C$21 + 1/Inputs!$C$18)</f>
        <v/>
      </c>
      <c r="U40" s="50">
        <f>MAX(0, (R40*(1+Inputs!$C$74)) - (S40 - T40))</f>
        <v/>
      </c>
      <c r="V40" s="50">
        <f>IF(A40&lt;=Inputs!$C$73,0,INDEX(U:U,ROW()-Inputs!$C$73))</f>
        <v/>
      </c>
      <c r="W40" s="50">
        <f>S40 - T40 + V40</f>
        <v/>
      </c>
      <c r="X40" s="52">
        <f>V40*Inputs!$C$17</f>
        <v/>
      </c>
      <c r="Y40" s="52">
        <f>IF(A40&gt;Inputs!$C$62,"",C40*AE40)</f>
        <v/>
      </c>
      <c r="Z40" s="52">
        <f>IF(A40=1,Inputs!$C$72,AA39)</f>
        <v/>
      </c>
      <c r="AA40" s="52">
        <f>Z40 + M40 - N40 - P40 - X40 - Y40</f>
        <v/>
      </c>
      <c r="AB40" s="53">
        <f>IF(AA40&lt;0,1,0)</f>
        <v/>
      </c>
      <c r="AC40" s="54">
        <f>IF(AD40=0,0,R40/(AD40*Inputs!$C$16))</f>
        <v/>
      </c>
      <c r="AD40" s="53">
        <f>IF(A40&gt;Inputs!$C$62,"",B40+C40)</f>
        <v/>
      </c>
      <c r="AE40" s="56">
        <f>IF(A40&gt;Inputs!$C$62,"", Inputs!$C$65*(1+Inputs!$C$89*POWER(MIN(1,IF(Inputs!$C$88=0,0,B40/Inputs!$C$88)),Inputs!$C$90)))</f>
        <v/>
      </c>
      <c r="AF40" s="52">
        <f>IF(A40&gt;Inputs!$C$62,"",IF(A40=1,Inputs!$C$86,MIN(Inputs!$C$86,Inputs!$C$87*M39)))</f>
        <v/>
      </c>
      <c r="AG40" s="51">
        <f>IF(A40&gt;Inputs!$C$62,"",MIN(0.5,MAX(0, Inputs!$C$67*L40 + Inputs!$C$68*(1-K40) + Inputs!$C$69*Inputs!$C$10)))</f>
        <v/>
      </c>
      <c r="AH40" s="51">
        <f>IF(A40&gt;Inputs!$C$62,"",INDEX(CapacityPlan!$G$7:$G$266,A40))</f>
        <v/>
      </c>
      <c r="AI40" s="54">
        <f>IF(A40&gt;Inputs!$C$62,"",INDEX(CapacityPlan!$J$7:$J$266,A40))</f>
        <v/>
      </c>
      <c r="AJ40" s="51">
        <f>IF(A40&gt;Inputs!$C$62,"",IF(I40=0,"",G40/I40))</f>
        <v/>
      </c>
    </row>
    <row r="41" ht="16" customHeight="1">
      <c r="A41" s="15" t="n">
        <v>19</v>
      </c>
      <c r="B41" s="50">
        <f>IF(A41&gt;Inputs!$C$62,"",IF(Inputs!$C$80=1,INDEX(Cohorts!$B$67:$B$326,A41),IF(A41=1,Inputs!$C$63,F40)))</f>
        <v/>
      </c>
      <c r="C41" s="50">
        <f>IF(A41&gt;Inputs!$C$62,"",IF(Inputs!$C$85=0,Inputs!$C$64,MIN(Inputs!$C$91,IF(AE41=0,0,AF41/AE41))))</f>
        <v/>
      </c>
      <c r="D41" s="51">
        <f>IF(A41&gt;Inputs!$C$62,"",IF(Inputs!$C$80=1,INDEX(Cohorts!$G$67:$G$326,A41),MAX(0, Inputs!$C$66 + Inputs!$C$67*L41 + Inputs!$C$68*(1-K41) + Inputs!$C$69*Inputs!$C$10)))</f>
        <v/>
      </c>
      <c r="E41" s="50">
        <f>IF(A41&gt;Inputs!$C$62,"",IF(Inputs!$C$80=1,INDEX(Cohorts!$H$67:$H$326,A41),D41*AD41))</f>
        <v/>
      </c>
      <c r="F41" s="50">
        <f>IF(A41&gt;Inputs!$C$62,"",IF(Inputs!$C$80=1,INDEX(Cohorts!$I$67:$I$326,A41),AD41-E41))</f>
        <v/>
      </c>
      <c r="G41" s="50">
        <f>IF(A41&gt;Inputs!$C$62,"",AD41)</f>
        <v/>
      </c>
      <c r="H41" s="50">
        <f>IF(A41&gt;Inputs!$C$62,"",INDEX(CapacityPlan!$E$7:$E$266,A41))</f>
        <v/>
      </c>
      <c r="I41" s="50">
        <f>IF(A41&gt;Inputs!$C$62,"",INDEX(CapacityPlan!$I$7:$I$266,A41))</f>
        <v/>
      </c>
      <c r="J41" s="50">
        <f>IF(A41&gt;Inputs!$C$62,"",IF(G41&gt;I41,I41,G41))</f>
        <v/>
      </c>
      <c r="K41" s="51">
        <f>IF(A41&gt;Inputs!$C$62,"",IF(G41=0,1,J41/G41))</f>
        <v/>
      </c>
      <c r="L41" s="51">
        <f>IF((Inputs!$C$36 + UnitEconomics!$B$12*Inputs!$C$37 + Inputs!$C$10*Inputs!$C$38 + Inputs!$C$70*(1-K41))&gt;1,1,(Inputs!$C$36 + UnitEconomics!$B$12*Inputs!$C$37 + Inputs!$C$10*Inputs!$C$38 + Inputs!$C$70*(1-K41)))</f>
        <v/>
      </c>
      <c r="M41" s="52">
        <f>IF(A41&gt;Inputs!$C$62,"",J41*Inputs!$C$7*(1-Inputs!$C$8)*(1-L41))</f>
        <v/>
      </c>
      <c r="N41" s="52">
        <f>IF(A41&gt;Inputs!$C$62,"",J41*UnitEconomics!$B$32*AI41 + (G41-J41)*Inputs!$C$71)</f>
        <v/>
      </c>
      <c r="O41" s="52">
        <f>M41-N41</f>
        <v/>
      </c>
      <c r="P41" s="52">
        <f>IF(A41&gt;Inputs!$C$62,"",Inputs!$C$40 + H41*Inputs!$C$41)</f>
        <v/>
      </c>
      <c r="Q41" s="52">
        <f>O41-P41</f>
        <v/>
      </c>
      <c r="R41" s="50">
        <f>IF(A41&gt;Inputs!$C$62,"",AD41*Inputs!$C$16*(Inputs!$C$9 + Inputs!$C$10*Inputs!$C$11 + Inputs!$C$12)*(1 + VLOOKUP(Inputs!$C$15,Lookups!$A$2:$B$20,2,TRUE)*(Scale!$B$9/IF(Scale!$B$8=0,1,Scale!$B$8)) + Inputs!$C$52))</f>
        <v/>
      </c>
      <c r="S41" s="50">
        <f>IF(A41=1,Scale!$B$13, W40)</f>
        <v/>
      </c>
      <c r="T41" s="50">
        <f>J41*Inputs!$C$16*(Inputs!$C$19 + Inputs!$C$20*Inputs!$C$21 + 1/Inputs!$C$18)</f>
        <v/>
      </c>
      <c r="U41" s="50">
        <f>MAX(0, (R41*(1+Inputs!$C$74)) - (S41 - T41))</f>
        <v/>
      </c>
      <c r="V41" s="50">
        <f>IF(A41&lt;=Inputs!$C$73,0,INDEX(U:U,ROW()-Inputs!$C$73))</f>
        <v/>
      </c>
      <c r="W41" s="50">
        <f>S41 - T41 + V41</f>
        <v/>
      </c>
      <c r="X41" s="52">
        <f>V41*Inputs!$C$17</f>
        <v/>
      </c>
      <c r="Y41" s="52">
        <f>IF(A41&gt;Inputs!$C$62,"",C41*AE41)</f>
        <v/>
      </c>
      <c r="Z41" s="52">
        <f>IF(A41=1,Inputs!$C$72,AA40)</f>
        <v/>
      </c>
      <c r="AA41" s="52">
        <f>Z41 + M41 - N41 - P41 - X41 - Y41</f>
        <v/>
      </c>
      <c r="AB41" s="53">
        <f>IF(AA41&lt;0,1,0)</f>
        <v/>
      </c>
      <c r="AC41" s="54">
        <f>IF(AD41=0,0,R41/(AD41*Inputs!$C$16))</f>
        <v/>
      </c>
      <c r="AD41" s="53">
        <f>IF(A41&gt;Inputs!$C$62,"",B41+C41)</f>
        <v/>
      </c>
      <c r="AE41" s="56">
        <f>IF(A41&gt;Inputs!$C$62,"", Inputs!$C$65*(1+Inputs!$C$89*POWER(MIN(1,IF(Inputs!$C$88=0,0,B41/Inputs!$C$88)),Inputs!$C$90)))</f>
        <v/>
      </c>
      <c r="AF41" s="52">
        <f>IF(A41&gt;Inputs!$C$62,"",IF(A41=1,Inputs!$C$86,MIN(Inputs!$C$86,Inputs!$C$87*M40)))</f>
        <v/>
      </c>
      <c r="AG41" s="51">
        <f>IF(A41&gt;Inputs!$C$62,"",MIN(0.5,MAX(0, Inputs!$C$67*L41 + Inputs!$C$68*(1-K41) + Inputs!$C$69*Inputs!$C$10)))</f>
        <v/>
      </c>
      <c r="AH41" s="51">
        <f>IF(A41&gt;Inputs!$C$62,"",INDEX(CapacityPlan!$G$7:$G$266,A41))</f>
        <v/>
      </c>
      <c r="AI41" s="54">
        <f>IF(A41&gt;Inputs!$C$62,"",INDEX(CapacityPlan!$J$7:$J$266,A41))</f>
        <v/>
      </c>
      <c r="AJ41" s="51">
        <f>IF(A41&gt;Inputs!$C$62,"",IF(I41=0,"",G41/I41))</f>
        <v/>
      </c>
    </row>
    <row r="42" ht="16" customHeight="1">
      <c r="A42" s="15" t="n">
        <v>20</v>
      </c>
      <c r="B42" s="50">
        <f>IF(A42&gt;Inputs!$C$62,"",IF(Inputs!$C$80=1,INDEX(Cohorts!$B$67:$B$326,A42),IF(A42=1,Inputs!$C$63,F41)))</f>
        <v/>
      </c>
      <c r="C42" s="50">
        <f>IF(A42&gt;Inputs!$C$62,"",IF(Inputs!$C$85=0,Inputs!$C$64,MIN(Inputs!$C$91,IF(AE42=0,0,AF42/AE42))))</f>
        <v/>
      </c>
      <c r="D42" s="51">
        <f>IF(A42&gt;Inputs!$C$62,"",IF(Inputs!$C$80=1,INDEX(Cohorts!$G$67:$G$326,A42),MAX(0, Inputs!$C$66 + Inputs!$C$67*L42 + Inputs!$C$68*(1-K42) + Inputs!$C$69*Inputs!$C$10)))</f>
        <v/>
      </c>
      <c r="E42" s="50">
        <f>IF(A42&gt;Inputs!$C$62,"",IF(Inputs!$C$80=1,INDEX(Cohorts!$H$67:$H$326,A42),D42*AD42))</f>
        <v/>
      </c>
      <c r="F42" s="50">
        <f>IF(A42&gt;Inputs!$C$62,"",IF(Inputs!$C$80=1,INDEX(Cohorts!$I$67:$I$326,A42),AD42-E42))</f>
        <v/>
      </c>
      <c r="G42" s="50">
        <f>IF(A42&gt;Inputs!$C$62,"",AD42)</f>
        <v/>
      </c>
      <c r="H42" s="50">
        <f>IF(A42&gt;Inputs!$C$62,"",INDEX(CapacityPlan!$E$7:$E$266,A42))</f>
        <v/>
      </c>
      <c r="I42" s="50">
        <f>IF(A42&gt;Inputs!$C$62,"",INDEX(CapacityPlan!$I$7:$I$266,A42))</f>
        <v/>
      </c>
      <c r="J42" s="50">
        <f>IF(A42&gt;Inputs!$C$62,"",IF(G42&gt;I42,I42,G42))</f>
        <v/>
      </c>
      <c r="K42" s="51">
        <f>IF(A42&gt;Inputs!$C$62,"",IF(G42=0,1,J42/G42))</f>
        <v/>
      </c>
      <c r="L42" s="51">
        <f>IF((Inputs!$C$36 + UnitEconomics!$B$12*Inputs!$C$37 + Inputs!$C$10*Inputs!$C$38 + Inputs!$C$70*(1-K42))&gt;1,1,(Inputs!$C$36 + UnitEconomics!$B$12*Inputs!$C$37 + Inputs!$C$10*Inputs!$C$38 + Inputs!$C$70*(1-K42)))</f>
        <v/>
      </c>
      <c r="M42" s="52">
        <f>IF(A42&gt;Inputs!$C$62,"",J42*Inputs!$C$7*(1-Inputs!$C$8)*(1-L42))</f>
        <v/>
      </c>
      <c r="N42" s="52">
        <f>IF(A42&gt;Inputs!$C$62,"",J42*UnitEconomics!$B$32*AI42 + (G42-J42)*Inputs!$C$71)</f>
        <v/>
      </c>
      <c r="O42" s="52">
        <f>M42-N42</f>
        <v/>
      </c>
      <c r="P42" s="52">
        <f>IF(A42&gt;Inputs!$C$62,"",Inputs!$C$40 + H42*Inputs!$C$41)</f>
        <v/>
      </c>
      <c r="Q42" s="52">
        <f>O42-P42</f>
        <v/>
      </c>
      <c r="R42" s="50">
        <f>IF(A42&gt;Inputs!$C$62,"",AD42*Inputs!$C$16*(Inputs!$C$9 + Inputs!$C$10*Inputs!$C$11 + Inputs!$C$12)*(1 + VLOOKUP(Inputs!$C$15,Lookups!$A$2:$B$20,2,TRUE)*(Scale!$B$9/IF(Scale!$B$8=0,1,Scale!$B$8)) + Inputs!$C$52))</f>
        <v/>
      </c>
      <c r="S42" s="50">
        <f>IF(A42=1,Scale!$B$13, W41)</f>
        <v/>
      </c>
      <c r="T42" s="50">
        <f>J42*Inputs!$C$16*(Inputs!$C$19 + Inputs!$C$20*Inputs!$C$21 + 1/Inputs!$C$18)</f>
        <v/>
      </c>
      <c r="U42" s="50">
        <f>MAX(0, (R42*(1+Inputs!$C$74)) - (S42 - T42))</f>
        <v/>
      </c>
      <c r="V42" s="50">
        <f>IF(A42&lt;=Inputs!$C$73,0,INDEX(U:U,ROW()-Inputs!$C$73))</f>
        <v/>
      </c>
      <c r="W42" s="50">
        <f>S42 - T42 + V42</f>
        <v/>
      </c>
      <c r="X42" s="52">
        <f>V42*Inputs!$C$17</f>
        <v/>
      </c>
      <c r="Y42" s="52">
        <f>IF(A42&gt;Inputs!$C$62,"",C42*AE42)</f>
        <v/>
      </c>
      <c r="Z42" s="52">
        <f>IF(A42=1,Inputs!$C$72,AA41)</f>
        <v/>
      </c>
      <c r="AA42" s="52">
        <f>Z42 + M42 - N42 - P42 - X42 - Y42</f>
        <v/>
      </c>
      <c r="AB42" s="53">
        <f>IF(AA42&lt;0,1,0)</f>
        <v/>
      </c>
      <c r="AC42" s="54">
        <f>IF(AD42=0,0,R42/(AD42*Inputs!$C$16))</f>
        <v/>
      </c>
      <c r="AD42" s="53">
        <f>IF(A42&gt;Inputs!$C$62,"",B42+C42)</f>
        <v/>
      </c>
      <c r="AE42" s="56">
        <f>IF(A42&gt;Inputs!$C$62,"", Inputs!$C$65*(1+Inputs!$C$89*POWER(MIN(1,IF(Inputs!$C$88=0,0,B42/Inputs!$C$88)),Inputs!$C$90)))</f>
        <v/>
      </c>
      <c r="AF42" s="52">
        <f>IF(A42&gt;Inputs!$C$62,"",IF(A42=1,Inputs!$C$86,MIN(Inputs!$C$86,Inputs!$C$87*M41)))</f>
        <v/>
      </c>
      <c r="AG42" s="51">
        <f>IF(A42&gt;Inputs!$C$62,"",MIN(0.5,MAX(0, Inputs!$C$67*L42 + Inputs!$C$68*(1-K42) + Inputs!$C$69*Inputs!$C$10)))</f>
        <v/>
      </c>
      <c r="AH42" s="51">
        <f>IF(A42&gt;Inputs!$C$62,"",INDEX(CapacityPlan!$G$7:$G$266,A42))</f>
        <v/>
      </c>
      <c r="AI42" s="54">
        <f>IF(A42&gt;Inputs!$C$62,"",INDEX(CapacityPlan!$J$7:$J$266,A42))</f>
        <v/>
      </c>
      <c r="AJ42" s="51">
        <f>IF(A42&gt;Inputs!$C$62,"",IF(I42=0,"",G42/I42))</f>
        <v/>
      </c>
    </row>
    <row r="43" ht="16" customHeight="1">
      <c r="A43" s="15" t="n">
        <v>21</v>
      </c>
      <c r="B43" s="50">
        <f>IF(A43&gt;Inputs!$C$62,"",IF(Inputs!$C$80=1,INDEX(Cohorts!$B$67:$B$326,A43),IF(A43=1,Inputs!$C$63,F42)))</f>
        <v/>
      </c>
      <c r="C43" s="50">
        <f>IF(A43&gt;Inputs!$C$62,"",IF(Inputs!$C$85=0,Inputs!$C$64,MIN(Inputs!$C$91,IF(AE43=0,0,AF43/AE43))))</f>
        <v/>
      </c>
      <c r="D43" s="51">
        <f>IF(A43&gt;Inputs!$C$62,"",IF(Inputs!$C$80=1,INDEX(Cohorts!$G$67:$G$326,A43),MAX(0, Inputs!$C$66 + Inputs!$C$67*L43 + Inputs!$C$68*(1-K43) + Inputs!$C$69*Inputs!$C$10)))</f>
        <v/>
      </c>
      <c r="E43" s="50">
        <f>IF(A43&gt;Inputs!$C$62,"",IF(Inputs!$C$80=1,INDEX(Cohorts!$H$67:$H$326,A43),D43*AD43))</f>
        <v/>
      </c>
      <c r="F43" s="50">
        <f>IF(A43&gt;Inputs!$C$62,"",IF(Inputs!$C$80=1,INDEX(Cohorts!$I$67:$I$326,A43),AD43-E43))</f>
        <v/>
      </c>
      <c r="G43" s="50">
        <f>IF(A43&gt;Inputs!$C$62,"",AD43)</f>
        <v/>
      </c>
      <c r="H43" s="50">
        <f>IF(A43&gt;Inputs!$C$62,"",INDEX(CapacityPlan!$E$7:$E$266,A43))</f>
        <v/>
      </c>
      <c r="I43" s="50">
        <f>IF(A43&gt;Inputs!$C$62,"",INDEX(CapacityPlan!$I$7:$I$266,A43))</f>
        <v/>
      </c>
      <c r="J43" s="50">
        <f>IF(A43&gt;Inputs!$C$62,"",IF(G43&gt;I43,I43,G43))</f>
        <v/>
      </c>
      <c r="K43" s="51">
        <f>IF(A43&gt;Inputs!$C$62,"",IF(G43=0,1,J43/G43))</f>
        <v/>
      </c>
      <c r="L43" s="51">
        <f>IF((Inputs!$C$36 + UnitEconomics!$B$12*Inputs!$C$37 + Inputs!$C$10*Inputs!$C$38 + Inputs!$C$70*(1-K43))&gt;1,1,(Inputs!$C$36 + UnitEconomics!$B$12*Inputs!$C$37 + Inputs!$C$10*Inputs!$C$38 + Inputs!$C$70*(1-K43)))</f>
        <v/>
      </c>
      <c r="M43" s="52">
        <f>IF(A43&gt;Inputs!$C$62,"",J43*Inputs!$C$7*(1-Inputs!$C$8)*(1-L43))</f>
        <v/>
      </c>
      <c r="N43" s="52">
        <f>IF(A43&gt;Inputs!$C$62,"",J43*UnitEconomics!$B$32*AI43 + (G43-J43)*Inputs!$C$71)</f>
        <v/>
      </c>
      <c r="O43" s="52">
        <f>M43-N43</f>
        <v/>
      </c>
      <c r="P43" s="52">
        <f>IF(A43&gt;Inputs!$C$62,"",Inputs!$C$40 + H43*Inputs!$C$41)</f>
        <v/>
      </c>
      <c r="Q43" s="52">
        <f>O43-P43</f>
        <v/>
      </c>
      <c r="R43" s="50">
        <f>IF(A43&gt;Inputs!$C$62,"",AD43*Inputs!$C$16*(Inputs!$C$9 + Inputs!$C$10*Inputs!$C$11 + Inputs!$C$12)*(1 + VLOOKUP(Inputs!$C$15,Lookups!$A$2:$B$20,2,TRUE)*(Scale!$B$9/IF(Scale!$B$8=0,1,Scale!$B$8)) + Inputs!$C$52))</f>
        <v/>
      </c>
      <c r="S43" s="50">
        <f>IF(A43=1,Scale!$B$13, W42)</f>
        <v/>
      </c>
      <c r="T43" s="50">
        <f>J43*Inputs!$C$16*(Inputs!$C$19 + Inputs!$C$20*Inputs!$C$21 + 1/Inputs!$C$18)</f>
        <v/>
      </c>
      <c r="U43" s="50">
        <f>MAX(0, (R43*(1+Inputs!$C$74)) - (S43 - T43))</f>
        <v/>
      </c>
      <c r="V43" s="50">
        <f>IF(A43&lt;=Inputs!$C$73,0,INDEX(U:U,ROW()-Inputs!$C$73))</f>
        <v/>
      </c>
      <c r="W43" s="50">
        <f>S43 - T43 + V43</f>
        <v/>
      </c>
      <c r="X43" s="52">
        <f>V43*Inputs!$C$17</f>
        <v/>
      </c>
      <c r="Y43" s="52">
        <f>IF(A43&gt;Inputs!$C$62,"",C43*AE43)</f>
        <v/>
      </c>
      <c r="Z43" s="52">
        <f>IF(A43=1,Inputs!$C$72,AA42)</f>
        <v/>
      </c>
      <c r="AA43" s="52">
        <f>Z43 + M43 - N43 - P43 - X43 - Y43</f>
        <v/>
      </c>
      <c r="AB43" s="53">
        <f>IF(AA43&lt;0,1,0)</f>
        <v/>
      </c>
      <c r="AC43" s="54">
        <f>IF(AD43=0,0,R43/(AD43*Inputs!$C$16))</f>
        <v/>
      </c>
      <c r="AD43" s="53">
        <f>IF(A43&gt;Inputs!$C$62,"",B43+C43)</f>
        <v/>
      </c>
      <c r="AE43" s="56">
        <f>IF(A43&gt;Inputs!$C$62,"", Inputs!$C$65*(1+Inputs!$C$89*POWER(MIN(1,IF(Inputs!$C$88=0,0,B43/Inputs!$C$88)),Inputs!$C$90)))</f>
        <v/>
      </c>
      <c r="AF43" s="52">
        <f>IF(A43&gt;Inputs!$C$62,"",IF(A43=1,Inputs!$C$86,MIN(Inputs!$C$86,Inputs!$C$87*M42)))</f>
        <v/>
      </c>
      <c r="AG43" s="51">
        <f>IF(A43&gt;Inputs!$C$62,"",MIN(0.5,MAX(0, Inputs!$C$67*L43 + Inputs!$C$68*(1-K43) + Inputs!$C$69*Inputs!$C$10)))</f>
        <v/>
      </c>
      <c r="AH43" s="51">
        <f>IF(A43&gt;Inputs!$C$62,"",INDEX(CapacityPlan!$G$7:$G$266,A43))</f>
        <v/>
      </c>
      <c r="AI43" s="54">
        <f>IF(A43&gt;Inputs!$C$62,"",INDEX(CapacityPlan!$J$7:$J$266,A43))</f>
        <v/>
      </c>
      <c r="AJ43" s="51">
        <f>IF(A43&gt;Inputs!$C$62,"",IF(I43=0,"",G43/I43))</f>
        <v/>
      </c>
    </row>
    <row r="44" ht="16" customHeight="1">
      <c r="A44" s="15" t="n">
        <v>22</v>
      </c>
      <c r="B44" s="50">
        <f>IF(A44&gt;Inputs!$C$62,"",IF(Inputs!$C$80=1,INDEX(Cohorts!$B$67:$B$326,A44),IF(A44=1,Inputs!$C$63,F43)))</f>
        <v/>
      </c>
      <c r="C44" s="50">
        <f>IF(A44&gt;Inputs!$C$62,"",IF(Inputs!$C$85=0,Inputs!$C$64,MIN(Inputs!$C$91,IF(AE44=0,0,AF44/AE44))))</f>
        <v/>
      </c>
      <c r="D44" s="51">
        <f>IF(A44&gt;Inputs!$C$62,"",IF(Inputs!$C$80=1,INDEX(Cohorts!$G$67:$G$326,A44),MAX(0, Inputs!$C$66 + Inputs!$C$67*L44 + Inputs!$C$68*(1-K44) + Inputs!$C$69*Inputs!$C$10)))</f>
        <v/>
      </c>
      <c r="E44" s="50">
        <f>IF(A44&gt;Inputs!$C$62,"",IF(Inputs!$C$80=1,INDEX(Cohorts!$H$67:$H$326,A44),D44*AD44))</f>
        <v/>
      </c>
      <c r="F44" s="50">
        <f>IF(A44&gt;Inputs!$C$62,"",IF(Inputs!$C$80=1,INDEX(Cohorts!$I$67:$I$326,A44),AD44-E44))</f>
        <v/>
      </c>
      <c r="G44" s="50">
        <f>IF(A44&gt;Inputs!$C$62,"",AD44)</f>
        <v/>
      </c>
      <c r="H44" s="50">
        <f>IF(A44&gt;Inputs!$C$62,"",INDEX(CapacityPlan!$E$7:$E$266,A44))</f>
        <v/>
      </c>
      <c r="I44" s="50">
        <f>IF(A44&gt;Inputs!$C$62,"",INDEX(CapacityPlan!$I$7:$I$266,A44))</f>
        <v/>
      </c>
      <c r="J44" s="50">
        <f>IF(A44&gt;Inputs!$C$62,"",IF(G44&gt;I44,I44,G44))</f>
        <v/>
      </c>
      <c r="K44" s="51">
        <f>IF(A44&gt;Inputs!$C$62,"",IF(G44=0,1,J44/G44))</f>
        <v/>
      </c>
      <c r="L44" s="51">
        <f>IF((Inputs!$C$36 + UnitEconomics!$B$12*Inputs!$C$37 + Inputs!$C$10*Inputs!$C$38 + Inputs!$C$70*(1-K44))&gt;1,1,(Inputs!$C$36 + UnitEconomics!$B$12*Inputs!$C$37 + Inputs!$C$10*Inputs!$C$38 + Inputs!$C$70*(1-K44)))</f>
        <v/>
      </c>
      <c r="M44" s="52">
        <f>IF(A44&gt;Inputs!$C$62,"",J44*Inputs!$C$7*(1-Inputs!$C$8)*(1-L44))</f>
        <v/>
      </c>
      <c r="N44" s="52">
        <f>IF(A44&gt;Inputs!$C$62,"",J44*UnitEconomics!$B$32*AI44 + (G44-J44)*Inputs!$C$71)</f>
        <v/>
      </c>
      <c r="O44" s="52">
        <f>M44-N44</f>
        <v/>
      </c>
      <c r="P44" s="52">
        <f>IF(A44&gt;Inputs!$C$62,"",Inputs!$C$40 + H44*Inputs!$C$41)</f>
        <v/>
      </c>
      <c r="Q44" s="52">
        <f>O44-P44</f>
        <v/>
      </c>
      <c r="R44" s="50">
        <f>IF(A44&gt;Inputs!$C$62,"",AD44*Inputs!$C$16*(Inputs!$C$9 + Inputs!$C$10*Inputs!$C$11 + Inputs!$C$12)*(1 + VLOOKUP(Inputs!$C$15,Lookups!$A$2:$B$20,2,TRUE)*(Scale!$B$9/IF(Scale!$B$8=0,1,Scale!$B$8)) + Inputs!$C$52))</f>
        <v/>
      </c>
      <c r="S44" s="50">
        <f>IF(A44=1,Scale!$B$13, W43)</f>
        <v/>
      </c>
      <c r="T44" s="50">
        <f>J44*Inputs!$C$16*(Inputs!$C$19 + Inputs!$C$20*Inputs!$C$21 + 1/Inputs!$C$18)</f>
        <v/>
      </c>
      <c r="U44" s="50">
        <f>MAX(0, (R44*(1+Inputs!$C$74)) - (S44 - T44))</f>
        <v/>
      </c>
      <c r="V44" s="50">
        <f>IF(A44&lt;=Inputs!$C$73,0,INDEX(U:U,ROW()-Inputs!$C$73))</f>
        <v/>
      </c>
      <c r="W44" s="50">
        <f>S44 - T44 + V44</f>
        <v/>
      </c>
      <c r="X44" s="52">
        <f>V44*Inputs!$C$17</f>
        <v/>
      </c>
      <c r="Y44" s="52">
        <f>IF(A44&gt;Inputs!$C$62,"",C44*AE44)</f>
        <v/>
      </c>
      <c r="Z44" s="52">
        <f>IF(A44=1,Inputs!$C$72,AA43)</f>
        <v/>
      </c>
      <c r="AA44" s="52">
        <f>Z44 + M44 - N44 - P44 - X44 - Y44</f>
        <v/>
      </c>
      <c r="AB44" s="53">
        <f>IF(AA44&lt;0,1,0)</f>
        <v/>
      </c>
      <c r="AC44" s="54">
        <f>IF(AD44=0,0,R44/(AD44*Inputs!$C$16))</f>
        <v/>
      </c>
      <c r="AD44" s="53">
        <f>IF(A44&gt;Inputs!$C$62,"",B44+C44)</f>
        <v/>
      </c>
      <c r="AE44" s="56">
        <f>IF(A44&gt;Inputs!$C$62,"", Inputs!$C$65*(1+Inputs!$C$89*POWER(MIN(1,IF(Inputs!$C$88=0,0,B44/Inputs!$C$88)),Inputs!$C$90)))</f>
        <v/>
      </c>
      <c r="AF44" s="52">
        <f>IF(A44&gt;Inputs!$C$62,"",IF(A44=1,Inputs!$C$86,MIN(Inputs!$C$86,Inputs!$C$87*M43)))</f>
        <v/>
      </c>
      <c r="AG44" s="51">
        <f>IF(A44&gt;Inputs!$C$62,"",MIN(0.5,MAX(0, Inputs!$C$67*L44 + Inputs!$C$68*(1-K44) + Inputs!$C$69*Inputs!$C$10)))</f>
        <v/>
      </c>
      <c r="AH44" s="51">
        <f>IF(A44&gt;Inputs!$C$62,"",INDEX(CapacityPlan!$G$7:$G$266,A44))</f>
        <v/>
      </c>
      <c r="AI44" s="54">
        <f>IF(A44&gt;Inputs!$C$62,"",INDEX(CapacityPlan!$J$7:$J$266,A44))</f>
        <v/>
      </c>
      <c r="AJ44" s="51">
        <f>IF(A44&gt;Inputs!$C$62,"",IF(I44=0,"",G44/I44))</f>
        <v/>
      </c>
    </row>
    <row r="45" ht="16" customHeight="1">
      <c r="A45" s="15" t="n">
        <v>23</v>
      </c>
      <c r="B45" s="50">
        <f>IF(A45&gt;Inputs!$C$62,"",IF(Inputs!$C$80=1,INDEX(Cohorts!$B$67:$B$326,A45),IF(A45=1,Inputs!$C$63,F44)))</f>
        <v/>
      </c>
      <c r="C45" s="50">
        <f>IF(A45&gt;Inputs!$C$62,"",IF(Inputs!$C$85=0,Inputs!$C$64,MIN(Inputs!$C$91,IF(AE45=0,0,AF45/AE45))))</f>
        <v/>
      </c>
      <c r="D45" s="51">
        <f>IF(A45&gt;Inputs!$C$62,"",IF(Inputs!$C$80=1,INDEX(Cohorts!$G$67:$G$326,A45),MAX(0, Inputs!$C$66 + Inputs!$C$67*L45 + Inputs!$C$68*(1-K45) + Inputs!$C$69*Inputs!$C$10)))</f>
        <v/>
      </c>
      <c r="E45" s="50">
        <f>IF(A45&gt;Inputs!$C$62,"",IF(Inputs!$C$80=1,INDEX(Cohorts!$H$67:$H$326,A45),D45*AD45))</f>
        <v/>
      </c>
      <c r="F45" s="50">
        <f>IF(A45&gt;Inputs!$C$62,"",IF(Inputs!$C$80=1,INDEX(Cohorts!$I$67:$I$326,A45),AD45-E45))</f>
        <v/>
      </c>
      <c r="G45" s="50">
        <f>IF(A45&gt;Inputs!$C$62,"",AD45)</f>
        <v/>
      </c>
      <c r="H45" s="50">
        <f>IF(A45&gt;Inputs!$C$62,"",INDEX(CapacityPlan!$E$7:$E$266,A45))</f>
        <v/>
      </c>
      <c r="I45" s="50">
        <f>IF(A45&gt;Inputs!$C$62,"",INDEX(CapacityPlan!$I$7:$I$266,A45))</f>
        <v/>
      </c>
      <c r="J45" s="50">
        <f>IF(A45&gt;Inputs!$C$62,"",IF(G45&gt;I45,I45,G45))</f>
        <v/>
      </c>
      <c r="K45" s="51">
        <f>IF(A45&gt;Inputs!$C$62,"",IF(G45=0,1,J45/G45))</f>
        <v/>
      </c>
      <c r="L45" s="51">
        <f>IF((Inputs!$C$36 + UnitEconomics!$B$12*Inputs!$C$37 + Inputs!$C$10*Inputs!$C$38 + Inputs!$C$70*(1-K45))&gt;1,1,(Inputs!$C$36 + UnitEconomics!$B$12*Inputs!$C$37 + Inputs!$C$10*Inputs!$C$38 + Inputs!$C$70*(1-K45)))</f>
        <v/>
      </c>
      <c r="M45" s="52">
        <f>IF(A45&gt;Inputs!$C$62,"",J45*Inputs!$C$7*(1-Inputs!$C$8)*(1-L45))</f>
        <v/>
      </c>
      <c r="N45" s="52">
        <f>IF(A45&gt;Inputs!$C$62,"",J45*UnitEconomics!$B$32*AI45 + (G45-J45)*Inputs!$C$71)</f>
        <v/>
      </c>
      <c r="O45" s="52">
        <f>M45-N45</f>
        <v/>
      </c>
      <c r="P45" s="52">
        <f>IF(A45&gt;Inputs!$C$62,"",Inputs!$C$40 + H45*Inputs!$C$41)</f>
        <v/>
      </c>
      <c r="Q45" s="52">
        <f>O45-P45</f>
        <v/>
      </c>
      <c r="R45" s="50">
        <f>IF(A45&gt;Inputs!$C$62,"",AD45*Inputs!$C$16*(Inputs!$C$9 + Inputs!$C$10*Inputs!$C$11 + Inputs!$C$12)*(1 + VLOOKUP(Inputs!$C$15,Lookups!$A$2:$B$20,2,TRUE)*(Scale!$B$9/IF(Scale!$B$8=0,1,Scale!$B$8)) + Inputs!$C$52))</f>
        <v/>
      </c>
      <c r="S45" s="50">
        <f>IF(A45=1,Scale!$B$13, W44)</f>
        <v/>
      </c>
      <c r="T45" s="50">
        <f>J45*Inputs!$C$16*(Inputs!$C$19 + Inputs!$C$20*Inputs!$C$21 + 1/Inputs!$C$18)</f>
        <v/>
      </c>
      <c r="U45" s="50">
        <f>MAX(0, (R45*(1+Inputs!$C$74)) - (S45 - T45))</f>
        <v/>
      </c>
      <c r="V45" s="50">
        <f>IF(A45&lt;=Inputs!$C$73,0,INDEX(U:U,ROW()-Inputs!$C$73))</f>
        <v/>
      </c>
      <c r="W45" s="50">
        <f>S45 - T45 + V45</f>
        <v/>
      </c>
      <c r="X45" s="52">
        <f>V45*Inputs!$C$17</f>
        <v/>
      </c>
      <c r="Y45" s="52">
        <f>IF(A45&gt;Inputs!$C$62,"",C45*AE45)</f>
        <v/>
      </c>
      <c r="Z45" s="52">
        <f>IF(A45=1,Inputs!$C$72,AA44)</f>
        <v/>
      </c>
      <c r="AA45" s="52">
        <f>Z45 + M45 - N45 - P45 - X45 - Y45</f>
        <v/>
      </c>
      <c r="AB45" s="53">
        <f>IF(AA45&lt;0,1,0)</f>
        <v/>
      </c>
      <c r="AC45" s="54">
        <f>IF(AD45=0,0,R45/(AD45*Inputs!$C$16))</f>
        <v/>
      </c>
      <c r="AD45" s="53">
        <f>IF(A45&gt;Inputs!$C$62,"",B45+C45)</f>
        <v/>
      </c>
      <c r="AE45" s="56">
        <f>IF(A45&gt;Inputs!$C$62,"", Inputs!$C$65*(1+Inputs!$C$89*POWER(MIN(1,IF(Inputs!$C$88=0,0,B45/Inputs!$C$88)),Inputs!$C$90)))</f>
        <v/>
      </c>
      <c r="AF45" s="52">
        <f>IF(A45&gt;Inputs!$C$62,"",IF(A45=1,Inputs!$C$86,MIN(Inputs!$C$86,Inputs!$C$87*M44)))</f>
        <v/>
      </c>
      <c r="AG45" s="51">
        <f>IF(A45&gt;Inputs!$C$62,"",MIN(0.5,MAX(0, Inputs!$C$67*L45 + Inputs!$C$68*(1-K45) + Inputs!$C$69*Inputs!$C$10)))</f>
        <v/>
      </c>
      <c r="AH45" s="51">
        <f>IF(A45&gt;Inputs!$C$62,"",INDEX(CapacityPlan!$G$7:$G$266,A45))</f>
        <v/>
      </c>
      <c r="AI45" s="54">
        <f>IF(A45&gt;Inputs!$C$62,"",INDEX(CapacityPlan!$J$7:$J$266,A45))</f>
        <v/>
      </c>
      <c r="AJ45" s="51">
        <f>IF(A45&gt;Inputs!$C$62,"",IF(I45=0,"",G45/I45))</f>
        <v/>
      </c>
    </row>
    <row r="46" ht="16" customHeight="1">
      <c r="A46" s="15" t="n">
        <v>24</v>
      </c>
      <c r="B46" s="50">
        <f>IF(A46&gt;Inputs!$C$62,"",IF(Inputs!$C$80=1,INDEX(Cohorts!$B$67:$B$326,A46),IF(A46=1,Inputs!$C$63,F45)))</f>
        <v/>
      </c>
      <c r="C46" s="50">
        <f>IF(A46&gt;Inputs!$C$62,"",IF(Inputs!$C$85=0,Inputs!$C$64,MIN(Inputs!$C$91,IF(AE46=0,0,AF46/AE46))))</f>
        <v/>
      </c>
      <c r="D46" s="51">
        <f>IF(A46&gt;Inputs!$C$62,"",IF(Inputs!$C$80=1,INDEX(Cohorts!$G$67:$G$326,A46),MAX(0, Inputs!$C$66 + Inputs!$C$67*L46 + Inputs!$C$68*(1-K46) + Inputs!$C$69*Inputs!$C$10)))</f>
        <v/>
      </c>
      <c r="E46" s="50">
        <f>IF(A46&gt;Inputs!$C$62,"",IF(Inputs!$C$80=1,INDEX(Cohorts!$H$67:$H$326,A46),D46*AD46))</f>
        <v/>
      </c>
      <c r="F46" s="50">
        <f>IF(A46&gt;Inputs!$C$62,"",IF(Inputs!$C$80=1,INDEX(Cohorts!$I$67:$I$326,A46),AD46-E46))</f>
        <v/>
      </c>
      <c r="G46" s="50">
        <f>IF(A46&gt;Inputs!$C$62,"",AD46)</f>
        <v/>
      </c>
      <c r="H46" s="50">
        <f>IF(A46&gt;Inputs!$C$62,"",INDEX(CapacityPlan!$E$7:$E$266,A46))</f>
        <v/>
      </c>
      <c r="I46" s="50">
        <f>IF(A46&gt;Inputs!$C$62,"",INDEX(CapacityPlan!$I$7:$I$266,A46))</f>
        <v/>
      </c>
      <c r="J46" s="50">
        <f>IF(A46&gt;Inputs!$C$62,"",IF(G46&gt;I46,I46,G46))</f>
        <v/>
      </c>
      <c r="K46" s="51">
        <f>IF(A46&gt;Inputs!$C$62,"",IF(G46=0,1,J46/G46))</f>
        <v/>
      </c>
      <c r="L46" s="51">
        <f>IF((Inputs!$C$36 + UnitEconomics!$B$12*Inputs!$C$37 + Inputs!$C$10*Inputs!$C$38 + Inputs!$C$70*(1-K46))&gt;1,1,(Inputs!$C$36 + UnitEconomics!$B$12*Inputs!$C$37 + Inputs!$C$10*Inputs!$C$38 + Inputs!$C$70*(1-K46)))</f>
        <v/>
      </c>
      <c r="M46" s="52">
        <f>IF(A46&gt;Inputs!$C$62,"",J46*Inputs!$C$7*(1-Inputs!$C$8)*(1-L46))</f>
        <v/>
      </c>
      <c r="N46" s="52">
        <f>IF(A46&gt;Inputs!$C$62,"",J46*UnitEconomics!$B$32*AI46 + (G46-J46)*Inputs!$C$71)</f>
        <v/>
      </c>
      <c r="O46" s="52">
        <f>M46-N46</f>
        <v/>
      </c>
      <c r="P46" s="52">
        <f>IF(A46&gt;Inputs!$C$62,"",Inputs!$C$40 + H46*Inputs!$C$41)</f>
        <v/>
      </c>
      <c r="Q46" s="52">
        <f>O46-P46</f>
        <v/>
      </c>
      <c r="R46" s="50">
        <f>IF(A46&gt;Inputs!$C$62,"",AD46*Inputs!$C$16*(Inputs!$C$9 + Inputs!$C$10*Inputs!$C$11 + Inputs!$C$12)*(1 + VLOOKUP(Inputs!$C$15,Lookups!$A$2:$B$20,2,TRUE)*(Scale!$B$9/IF(Scale!$B$8=0,1,Scale!$B$8)) + Inputs!$C$52))</f>
        <v/>
      </c>
      <c r="S46" s="50">
        <f>IF(A46=1,Scale!$B$13, W45)</f>
        <v/>
      </c>
      <c r="T46" s="50">
        <f>J46*Inputs!$C$16*(Inputs!$C$19 + Inputs!$C$20*Inputs!$C$21 + 1/Inputs!$C$18)</f>
        <v/>
      </c>
      <c r="U46" s="50">
        <f>MAX(0, (R46*(1+Inputs!$C$74)) - (S46 - T46))</f>
        <v/>
      </c>
      <c r="V46" s="50">
        <f>IF(A46&lt;=Inputs!$C$73,0,INDEX(U:U,ROW()-Inputs!$C$73))</f>
        <v/>
      </c>
      <c r="W46" s="50">
        <f>S46 - T46 + V46</f>
        <v/>
      </c>
      <c r="X46" s="52">
        <f>V46*Inputs!$C$17</f>
        <v/>
      </c>
      <c r="Y46" s="52">
        <f>IF(A46&gt;Inputs!$C$62,"",C46*AE46)</f>
        <v/>
      </c>
      <c r="Z46" s="52">
        <f>IF(A46=1,Inputs!$C$72,AA45)</f>
        <v/>
      </c>
      <c r="AA46" s="52">
        <f>Z46 + M46 - N46 - P46 - X46 - Y46</f>
        <v/>
      </c>
      <c r="AB46" s="53">
        <f>IF(AA46&lt;0,1,0)</f>
        <v/>
      </c>
      <c r="AC46" s="54">
        <f>IF(AD46=0,0,R46/(AD46*Inputs!$C$16))</f>
        <v/>
      </c>
      <c r="AD46" s="53">
        <f>IF(A46&gt;Inputs!$C$62,"",B46+C46)</f>
        <v/>
      </c>
      <c r="AE46" s="56">
        <f>IF(A46&gt;Inputs!$C$62,"", Inputs!$C$65*(1+Inputs!$C$89*POWER(MIN(1,IF(Inputs!$C$88=0,0,B46/Inputs!$C$88)),Inputs!$C$90)))</f>
        <v/>
      </c>
      <c r="AF46" s="52">
        <f>IF(A46&gt;Inputs!$C$62,"",IF(A46=1,Inputs!$C$86,MIN(Inputs!$C$86,Inputs!$C$87*M45)))</f>
        <v/>
      </c>
      <c r="AG46" s="51">
        <f>IF(A46&gt;Inputs!$C$62,"",MIN(0.5,MAX(0, Inputs!$C$67*L46 + Inputs!$C$68*(1-K46) + Inputs!$C$69*Inputs!$C$10)))</f>
        <v/>
      </c>
      <c r="AH46" s="51">
        <f>IF(A46&gt;Inputs!$C$62,"",INDEX(CapacityPlan!$G$7:$G$266,A46))</f>
        <v/>
      </c>
      <c r="AI46" s="54">
        <f>IF(A46&gt;Inputs!$C$62,"",INDEX(CapacityPlan!$J$7:$J$266,A46))</f>
        <v/>
      </c>
      <c r="AJ46" s="51">
        <f>IF(A46&gt;Inputs!$C$62,"",IF(I46=0,"",G46/I46))</f>
        <v/>
      </c>
    </row>
    <row r="47" ht="16" customHeight="1">
      <c r="A47" s="15" t="n">
        <v>25</v>
      </c>
      <c r="B47" s="50">
        <f>IF(A47&gt;Inputs!$C$62,"",IF(Inputs!$C$80=1,INDEX(Cohorts!$B$67:$B$326,A47),IF(A47=1,Inputs!$C$63,F46)))</f>
        <v/>
      </c>
      <c r="C47" s="50">
        <f>IF(A47&gt;Inputs!$C$62,"",IF(Inputs!$C$85=0,Inputs!$C$64,MIN(Inputs!$C$91,IF(AE47=0,0,AF47/AE47))))</f>
        <v/>
      </c>
      <c r="D47" s="51">
        <f>IF(A47&gt;Inputs!$C$62,"",IF(Inputs!$C$80=1,INDEX(Cohorts!$G$67:$G$326,A47),MAX(0, Inputs!$C$66 + Inputs!$C$67*L47 + Inputs!$C$68*(1-K47) + Inputs!$C$69*Inputs!$C$10)))</f>
        <v/>
      </c>
      <c r="E47" s="50">
        <f>IF(A47&gt;Inputs!$C$62,"",IF(Inputs!$C$80=1,INDEX(Cohorts!$H$67:$H$326,A47),D47*AD47))</f>
        <v/>
      </c>
      <c r="F47" s="50">
        <f>IF(A47&gt;Inputs!$C$62,"",IF(Inputs!$C$80=1,INDEX(Cohorts!$I$67:$I$326,A47),AD47-E47))</f>
        <v/>
      </c>
      <c r="G47" s="50">
        <f>IF(A47&gt;Inputs!$C$62,"",AD47)</f>
        <v/>
      </c>
      <c r="H47" s="50">
        <f>IF(A47&gt;Inputs!$C$62,"",INDEX(CapacityPlan!$E$7:$E$266,A47))</f>
        <v/>
      </c>
      <c r="I47" s="50">
        <f>IF(A47&gt;Inputs!$C$62,"",INDEX(CapacityPlan!$I$7:$I$266,A47))</f>
        <v/>
      </c>
      <c r="J47" s="50">
        <f>IF(A47&gt;Inputs!$C$62,"",IF(G47&gt;I47,I47,G47))</f>
        <v/>
      </c>
      <c r="K47" s="51">
        <f>IF(A47&gt;Inputs!$C$62,"",IF(G47=0,1,J47/G47))</f>
        <v/>
      </c>
      <c r="L47" s="51">
        <f>IF((Inputs!$C$36 + UnitEconomics!$B$12*Inputs!$C$37 + Inputs!$C$10*Inputs!$C$38 + Inputs!$C$70*(1-K47))&gt;1,1,(Inputs!$C$36 + UnitEconomics!$B$12*Inputs!$C$37 + Inputs!$C$10*Inputs!$C$38 + Inputs!$C$70*(1-K47)))</f>
        <v/>
      </c>
      <c r="M47" s="52">
        <f>IF(A47&gt;Inputs!$C$62,"",J47*Inputs!$C$7*(1-Inputs!$C$8)*(1-L47))</f>
        <v/>
      </c>
      <c r="N47" s="52">
        <f>IF(A47&gt;Inputs!$C$62,"",J47*UnitEconomics!$B$32*AI47 + (G47-J47)*Inputs!$C$71)</f>
        <v/>
      </c>
      <c r="O47" s="52">
        <f>M47-N47</f>
        <v/>
      </c>
      <c r="P47" s="52">
        <f>IF(A47&gt;Inputs!$C$62,"",Inputs!$C$40 + H47*Inputs!$C$41)</f>
        <v/>
      </c>
      <c r="Q47" s="52">
        <f>O47-P47</f>
        <v/>
      </c>
      <c r="R47" s="50">
        <f>IF(A47&gt;Inputs!$C$62,"",AD47*Inputs!$C$16*(Inputs!$C$9 + Inputs!$C$10*Inputs!$C$11 + Inputs!$C$12)*(1 + VLOOKUP(Inputs!$C$15,Lookups!$A$2:$B$20,2,TRUE)*(Scale!$B$9/IF(Scale!$B$8=0,1,Scale!$B$8)) + Inputs!$C$52))</f>
        <v/>
      </c>
      <c r="S47" s="50">
        <f>IF(A47=1,Scale!$B$13, W46)</f>
        <v/>
      </c>
      <c r="T47" s="50">
        <f>J47*Inputs!$C$16*(Inputs!$C$19 + Inputs!$C$20*Inputs!$C$21 + 1/Inputs!$C$18)</f>
        <v/>
      </c>
      <c r="U47" s="50">
        <f>MAX(0, (R47*(1+Inputs!$C$74)) - (S47 - T47))</f>
        <v/>
      </c>
      <c r="V47" s="50">
        <f>IF(A47&lt;=Inputs!$C$73,0,INDEX(U:U,ROW()-Inputs!$C$73))</f>
        <v/>
      </c>
      <c r="W47" s="50">
        <f>S47 - T47 + V47</f>
        <v/>
      </c>
      <c r="X47" s="52">
        <f>V47*Inputs!$C$17</f>
        <v/>
      </c>
      <c r="Y47" s="52">
        <f>IF(A47&gt;Inputs!$C$62,"",C47*AE47)</f>
        <v/>
      </c>
      <c r="Z47" s="52">
        <f>IF(A47=1,Inputs!$C$72,AA46)</f>
        <v/>
      </c>
      <c r="AA47" s="52">
        <f>Z47 + M47 - N47 - P47 - X47 - Y47</f>
        <v/>
      </c>
      <c r="AB47" s="53">
        <f>IF(AA47&lt;0,1,0)</f>
        <v/>
      </c>
      <c r="AC47" s="54">
        <f>IF(AD47=0,0,R47/(AD47*Inputs!$C$16))</f>
        <v/>
      </c>
      <c r="AD47" s="53">
        <f>IF(A47&gt;Inputs!$C$62,"",B47+C47)</f>
        <v/>
      </c>
      <c r="AE47" s="56">
        <f>IF(A47&gt;Inputs!$C$62,"", Inputs!$C$65*(1+Inputs!$C$89*POWER(MIN(1,IF(Inputs!$C$88=0,0,B47/Inputs!$C$88)),Inputs!$C$90)))</f>
        <v/>
      </c>
      <c r="AF47" s="52">
        <f>IF(A47&gt;Inputs!$C$62,"",IF(A47=1,Inputs!$C$86,MIN(Inputs!$C$86,Inputs!$C$87*M46)))</f>
        <v/>
      </c>
      <c r="AG47" s="51">
        <f>IF(A47&gt;Inputs!$C$62,"",MIN(0.5,MAX(0, Inputs!$C$67*L47 + Inputs!$C$68*(1-K47) + Inputs!$C$69*Inputs!$C$10)))</f>
        <v/>
      </c>
      <c r="AH47" s="51">
        <f>IF(A47&gt;Inputs!$C$62,"",INDEX(CapacityPlan!$G$7:$G$266,A47))</f>
        <v/>
      </c>
      <c r="AI47" s="54">
        <f>IF(A47&gt;Inputs!$C$62,"",INDEX(CapacityPlan!$J$7:$J$266,A47))</f>
        <v/>
      </c>
      <c r="AJ47" s="51">
        <f>IF(A47&gt;Inputs!$C$62,"",IF(I47=0,"",G47/I47))</f>
        <v/>
      </c>
    </row>
    <row r="48" ht="16" customHeight="1">
      <c r="A48" s="15" t="n">
        <v>26</v>
      </c>
      <c r="B48" s="50">
        <f>IF(A48&gt;Inputs!$C$62,"",IF(Inputs!$C$80=1,INDEX(Cohorts!$B$67:$B$326,A48),IF(A48=1,Inputs!$C$63,F47)))</f>
        <v/>
      </c>
      <c r="C48" s="50">
        <f>IF(A48&gt;Inputs!$C$62,"",IF(Inputs!$C$85=0,Inputs!$C$64,MIN(Inputs!$C$91,IF(AE48=0,0,AF48/AE48))))</f>
        <v/>
      </c>
      <c r="D48" s="51">
        <f>IF(A48&gt;Inputs!$C$62,"",IF(Inputs!$C$80=1,INDEX(Cohorts!$G$67:$G$326,A48),MAX(0, Inputs!$C$66 + Inputs!$C$67*L48 + Inputs!$C$68*(1-K48) + Inputs!$C$69*Inputs!$C$10)))</f>
        <v/>
      </c>
      <c r="E48" s="50">
        <f>IF(A48&gt;Inputs!$C$62,"",IF(Inputs!$C$80=1,INDEX(Cohorts!$H$67:$H$326,A48),D48*AD48))</f>
        <v/>
      </c>
      <c r="F48" s="50">
        <f>IF(A48&gt;Inputs!$C$62,"",IF(Inputs!$C$80=1,INDEX(Cohorts!$I$67:$I$326,A48),AD48-E48))</f>
        <v/>
      </c>
      <c r="G48" s="50">
        <f>IF(A48&gt;Inputs!$C$62,"",AD48)</f>
        <v/>
      </c>
      <c r="H48" s="50">
        <f>IF(A48&gt;Inputs!$C$62,"",INDEX(CapacityPlan!$E$7:$E$266,A48))</f>
        <v/>
      </c>
      <c r="I48" s="50">
        <f>IF(A48&gt;Inputs!$C$62,"",INDEX(CapacityPlan!$I$7:$I$266,A48))</f>
        <v/>
      </c>
      <c r="J48" s="50">
        <f>IF(A48&gt;Inputs!$C$62,"",IF(G48&gt;I48,I48,G48))</f>
        <v/>
      </c>
      <c r="K48" s="51">
        <f>IF(A48&gt;Inputs!$C$62,"",IF(G48=0,1,J48/G48))</f>
        <v/>
      </c>
      <c r="L48" s="51">
        <f>IF((Inputs!$C$36 + UnitEconomics!$B$12*Inputs!$C$37 + Inputs!$C$10*Inputs!$C$38 + Inputs!$C$70*(1-K48))&gt;1,1,(Inputs!$C$36 + UnitEconomics!$B$12*Inputs!$C$37 + Inputs!$C$10*Inputs!$C$38 + Inputs!$C$70*(1-K48)))</f>
        <v/>
      </c>
      <c r="M48" s="52">
        <f>IF(A48&gt;Inputs!$C$62,"",J48*Inputs!$C$7*(1-Inputs!$C$8)*(1-L48))</f>
        <v/>
      </c>
      <c r="N48" s="52">
        <f>IF(A48&gt;Inputs!$C$62,"",J48*UnitEconomics!$B$32*AI48 + (G48-J48)*Inputs!$C$71)</f>
        <v/>
      </c>
      <c r="O48" s="52">
        <f>M48-N48</f>
        <v/>
      </c>
      <c r="P48" s="52">
        <f>IF(A48&gt;Inputs!$C$62,"",Inputs!$C$40 + H48*Inputs!$C$41)</f>
        <v/>
      </c>
      <c r="Q48" s="52">
        <f>O48-P48</f>
        <v/>
      </c>
      <c r="R48" s="50">
        <f>IF(A48&gt;Inputs!$C$62,"",AD48*Inputs!$C$16*(Inputs!$C$9 + Inputs!$C$10*Inputs!$C$11 + Inputs!$C$12)*(1 + VLOOKUP(Inputs!$C$15,Lookups!$A$2:$B$20,2,TRUE)*(Scale!$B$9/IF(Scale!$B$8=0,1,Scale!$B$8)) + Inputs!$C$52))</f>
        <v/>
      </c>
      <c r="S48" s="50">
        <f>IF(A48=1,Scale!$B$13, W47)</f>
        <v/>
      </c>
      <c r="T48" s="50">
        <f>J48*Inputs!$C$16*(Inputs!$C$19 + Inputs!$C$20*Inputs!$C$21 + 1/Inputs!$C$18)</f>
        <v/>
      </c>
      <c r="U48" s="50">
        <f>MAX(0, (R48*(1+Inputs!$C$74)) - (S48 - T48))</f>
        <v/>
      </c>
      <c r="V48" s="50">
        <f>IF(A48&lt;=Inputs!$C$73,0,INDEX(U:U,ROW()-Inputs!$C$73))</f>
        <v/>
      </c>
      <c r="W48" s="50">
        <f>S48 - T48 + V48</f>
        <v/>
      </c>
      <c r="X48" s="52">
        <f>V48*Inputs!$C$17</f>
        <v/>
      </c>
      <c r="Y48" s="52">
        <f>IF(A48&gt;Inputs!$C$62,"",C48*AE48)</f>
        <v/>
      </c>
      <c r="Z48" s="52">
        <f>IF(A48=1,Inputs!$C$72,AA47)</f>
        <v/>
      </c>
      <c r="AA48" s="52">
        <f>Z48 + M48 - N48 - P48 - X48 - Y48</f>
        <v/>
      </c>
      <c r="AB48" s="53">
        <f>IF(AA48&lt;0,1,0)</f>
        <v/>
      </c>
      <c r="AC48" s="54">
        <f>IF(AD48=0,0,R48/(AD48*Inputs!$C$16))</f>
        <v/>
      </c>
      <c r="AD48" s="53">
        <f>IF(A48&gt;Inputs!$C$62,"",B48+C48)</f>
        <v/>
      </c>
      <c r="AE48" s="56">
        <f>IF(A48&gt;Inputs!$C$62,"", Inputs!$C$65*(1+Inputs!$C$89*POWER(MIN(1,IF(Inputs!$C$88=0,0,B48/Inputs!$C$88)),Inputs!$C$90)))</f>
        <v/>
      </c>
      <c r="AF48" s="52">
        <f>IF(A48&gt;Inputs!$C$62,"",IF(A48=1,Inputs!$C$86,MIN(Inputs!$C$86,Inputs!$C$87*M47)))</f>
        <v/>
      </c>
      <c r="AG48" s="51">
        <f>IF(A48&gt;Inputs!$C$62,"",MIN(0.5,MAX(0, Inputs!$C$67*L48 + Inputs!$C$68*(1-K48) + Inputs!$C$69*Inputs!$C$10)))</f>
        <v/>
      </c>
      <c r="AH48" s="51">
        <f>IF(A48&gt;Inputs!$C$62,"",INDEX(CapacityPlan!$G$7:$G$266,A48))</f>
        <v/>
      </c>
      <c r="AI48" s="54">
        <f>IF(A48&gt;Inputs!$C$62,"",INDEX(CapacityPlan!$J$7:$J$266,A48))</f>
        <v/>
      </c>
      <c r="AJ48" s="51">
        <f>IF(A48&gt;Inputs!$C$62,"",IF(I48=0,"",G48/I48))</f>
        <v/>
      </c>
    </row>
    <row r="49" ht="16" customHeight="1">
      <c r="A49" s="15" t="n">
        <v>27</v>
      </c>
      <c r="B49" s="50">
        <f>IF(A49&gt;Inputs!$C$62,"",IF(Inputs!$C$80=1,INDEX(Cohorts!$B$67:$B$326,A49),IF(A49=1,Inputs!$C$63,F48)))</f>
        <v/>
      </c>
      <c r="C49" s="50">
        <f>IF(A49&gt;Inputs!$C$62,"",IF(Inputs!$C$85=0,Inputs!$C$64,MIN(Inputs!$C$91,IF(AE49=0,0,AF49/AE49))))</f>
        <v/>
      </c>
      <c r="D49" s="51">
        <f>IF(A49&gt;Inputs!$C$62,"",IF(Inputs!$C$80=1,INDEX(Cohorts!$G$67:$G$326,A49),MAX(0, Inputs!$C$66 + Inputs!$C$67*L49 + Inputs!$C$68*(1-K49) + Inputs!$C$69*Inputs!$C$10)))</f>
        <v/>
      </c>
      <c r="E49" s="50">
        <f>IF(A49&gt;Inputs!$C$62,"",IF(Inputs!$C$80=1,INDEX(Cohorts!$H$67:$H$326,A49),D49*AD49))</f>
        <v/>
      </c>
      <c r="F49" s="50">
        <f>IF(A49&gt;Inputs!$C$62,"",IF(Inputs!$C$80=1,INDEX(Cohorts!$I$67:$I$326,A49),AD49-E49))</f>
        <v/>
      </c>
      <c r="G49" s="50">
        <f>IF(A49&gt;Inputs!$C$62,"",AD49)</f>
        <v/>
      </c>
      <c r="H49" s="50">
        <f>IF(A49&gt;Inputs!$C$62,"",INDEX(CapacityPlan!$E$7:$E$266,A49))</f>
        <v/>
      </c>
      <c r="I49" s="50">
        <f>IF(A49&gt;Inputs!$C$62,"",INDEX(CapacityPlan!$I$7:$I$266,A49))</f>
        <v/>
      </c>
      <c r="J49" s="50">
        <f>IF(A49&gt;Inputs!$C$62,"",IF(G49&gt;I49,I49,G49))</f>
        <v/>
      </c>
      <c r="K49" s="51">
        <f>IF(A49&gt;Inputs!$C$62,"",IF(G49=0,1,J49/G49))</f>
        <v/>
      </c>
      <c r="L49" s="51">
        <f>IF((Inputs!$C$36 + UnitEconomics!$B$12*Inputs!$C$37 + Inputs!$C$10*Inputs!$C$38 + Inputs!$C$70*(1-K49))&gt;1,1,(Inputs!$C$36 + UnitEconomics!$B$12*Inputs!$C$37 + Inputs!$C$10*Inputs!$C$38 + Inputs!$C$70*(1-K49)))</f>
        <v/>
      </c>
      <c r="M49" s="52">
        <f>IF(A49&gt;Inputs!$C$62,"",J49*Inputs!$C$7*(1-Inputs!$C$8)*(1-L49))</f>
        <v/>
      </c>
      <c r="N49" s="52">
        <f>IF(A49&gt;Inputs!$C$62,"",J49*UnitEconomics!$B$32*AI49 + (G49-J49)*Inputs!$C$71)</f>
        <v/>
      </c>
      <c r="O49" s="52">
        <f>M49-N49</f>
        <v/>
      </c>
      <c r="P49" s="52">
        <f>IF(A49&gt;Inputs!$C$62,"",Inputs!$C$40 + H49*Inputs!$C$41)</f>
        <v/>
      </c>
      <c r="Q49" s="52">
        <f>O49-P49</f>
        <v/>
      </c>
      <c r="R49" s="50">
        <f>IF(A49&gt;Inputs!$C$62,"",AD49*Inputs!$C$16*(Inputs!$C$9 + Inputs!$C$10*Inputs!$C$11 + Inputs!$C$12)*(1 + VLOOKUP(Inputs!$C$15,Lookups!$A$2:$B$20,2,TRUE)*(Scale!$B$9/IF(Scale!$B$8=0,1,Scale!$B$8)) + Inputs!$C$52))</f>
        <v/>
      </c>
      <c r="S49" s="50">
        <f>IF(A49=1,Scale!$B$13, W48)</f>
        <v/>
      </c>
      <c r="T49" s="50">
        <f>J49*Inputs!$C$16*(Inputs!$C$19 + Inputs!$C$20*Inputs!$C$21 + 1/Inputs!$C$18)</f>
        <v/>
      </c>
      <c r="U49" s="50">
        <f>MAX(0, (R49*(1+Inputs!$C$74)) - (S49 - T49))</f>
        <v/>
      </c>
      <c r="V49" s="50">
        <f>IF(A49&lt;=Inputs!$C$73,0,INDEX(U:U,ROW()-Inputs!$C$73))</f>
        <v/>
      </c>
      <c r="W49" s="50">
        <f>S49 - T49 + V49</f>
        <v/>
      </c>
      <c r="X49" s="52">
        <f>V49*Inputs!$C$17</f>
        <v/>
      </c>
      <c r="Y49" s="52">
        <f>IF(A49&gt;Inputs!$C$62,"",C49*AE49)</f>
        <v/>
      </c>
      <c r="Z49" s="52">
        <f>IF(A49=1,Inputs!$C$72,AA48)</f>
        <v/>
      </c>
      <c r="AA49" s="52">
        <f>Z49 + M49 - N49 - P49 - X49 - Y49</f>
        <v/>
      </c>
      <c r="AB49" s="53">
        <f>IF(AA49&lt;0,1,0)</f>
        <v/>
      </c>
      <c r="AC49" s="54">
        <f>IF(AD49=0,0,R49/(AD49*Inputs!$C$16))</f>
        <v/>
      </c>
      <c r="AD49" s="53">
        <f>IF(A49&gt;Inputs!$C$62,"",B49+C49)</f>
        <v/>
      </c>
      <c r="AE49" s="56">
        <f>IF(A49&gt;Inputs!$C$62,"", Inputs!$C$65*(1+Inputs!$C$89*POWER(MIN(1,IF(Inputs!$C$88=0,0,B49/Inputs!$C$88)),Inputs!$C$90)))</f>
        <v/>
      </c>
      <c r="AF49" s="52">
        <f>IF(A49&gt;Inputs!$C$62,"",IF(A49=1,Inputs!$C$86,MIN(Inputs!$C$86,Inputs!$C$87*M48)))</f>
        <v/>
      </c>
      <c r="AG49" s="51">
        <f>IF(A49&gt;Inputs!$C$62,"",MIN(0.5,MAX(0, Inputs!$C$67*L49 + Inputs!$C$68*(1-K49) + Inputs!$C$69*Inputs!$C$10)))</f>
        <v/>
      </c>
      <c r="AH49" s="51">
        <f>IF(A49&gt;Inputs!$C$62,"",INDEX(CapacityPlan!$G$7:$G$266,A49))</f>
        <v/>
      </c>
      <c r="AI49" s="54">
        <f>IF(A49&gt;Inputs!$C$62,"",INDEX(CapacityPlan!$J$7:$J$266,A49))</f>
        <v/>
      </c>
      <c r="AJ49" s="51">
        <f>IF(A49&gt;Inputs!$C$62,"",IF(I49=0,"",G49/I49))</f>
        <v/>
      </c>
    </row>
    <row r="50" ht="16" customHeight="1">
      <c r="A50" s="15" t="n">
        <v>28</v>
      </c>
      <c r="B50" s="50">
        <f>IF(A50&gt;Inputs!$C$62,"",IF(Inputs!$C$80=1,INDEX(Cohorts!$B$67:$B$326,A50),IF(A50=1,Inputs!$C$63,F49)))</f>
        <v/>
      </c>
      <c r="C50" s="50">
        <f>IF(A50&gt;Inputs!$C$62,"",IF(Inputs!$C$85=0,Inputs!$C$64,MIN(Inputs!$C$91,IF(AE50=0,0,AF50/AE50))))</f>
        <v/>
      </c>
      <c r="D50" s="51">
        <f>IF(A50&gt;Inputs!$C$62,"",IF(Inputs!$C$80=1,INDEX(Cohorts!$G$67:$G$326,A50),MAX(0, Inputs!$C$66 + Inputs!$C$67*L50 + Inputs!$C$68*(1-K50) + Inputs!$C$69*Inputs!$C$10)))</f>
        <v/>
      </c>
      <c r="E50" s="50">
        <f>IF(A50&gt;Inputs!$C$62,"",IF(Inputs!$C$80=1,INDEX(Cohorts!$H$67:$H$326,A50),D50*AD50))</f>
        <v/>
      </c>
      <c r="F50" s="50">
        <f>IF(A50&gt;Inputs!$C$62,"",IF(Inputs!$C$80=1,INDEX(Cohorts!$I$67:$I$326,A50),AD50-E50))</f>
        <v/>
      </c>
      <c r="G50" s="50">
        <f>IF(A50&gt;Inputs!$C$62,"",AD50)</f>
        <v/>
      </c>
      <c r="H50" s="50">
        <f>IF(A50&gt;Inputs!$C$62,"",INDEX(CapacityPlan!$E$7:$E$266,A50))</f>
        <v/>
      </c>
      <c r="I50" s="50">
        <f>IF(A50&gt;Inputs!$C$62,"",INDEX(CapacityPlan!$I$7:$I$266,A50))</f>
        <v/>
      </c>
      <c r="J50" s="50">
        <f>IF(A50&gt;Inputs!$C$62,"",IF(G50&gt;I50,I50,G50))</f>
        <v/>
      </c>
      <c r="K50" s="51">
        <f>IF(A50&gt;Inputs!$C$62,"",IF(G50=0,1,J50/G50))</f>
        <v/>
      </c>
      <c r="L50" s="51">
        <f>IF((Inputs!$C$36 + UnitEconomics!$B$12*Inputs!$C$37 + Inputs!$C$10*Inputs!$C$38 + Inputs!$C$70*(1-K50))&gt;1,1,(Inputs!$C$36 + UnitEconomics!$B$12*Inputs!$C$37 + Inputs!$C$10*Inputs!$C$38 + Inputs!$C$70*(1-K50)))</f>
        <v/>
      </c>
      <c r="M50" s="52">
        <f>IF(A50&gt;Inputs!$C$62,"",J50*Inputs!$C$7*(1-Inputs!$C$8)*(1-L50))</f>
        <v/>
      </c>
      <c r="N50" s="52">
        <f>IF(A50&gt;Inputs!$C$62,"",J50*UnitEconomics!$B$32*AI50 + (G50-J50)*Inputs!$C$71)</f>
        <v/>
      </c>
      <c r="O50" s="52">
        <f>M50-N50</f>
        <v/>
      </c>
      <c r="P50" s="52">
        <f>IF(A50&gt;Inputs!$C$62,"",Inputs!$C$40 + H50*Inputs!$C$41)</f>
        <v/>
      </c>
      <c r="Q50" s="52">
        <f>O50-P50</f>
        <v/>
      </c>
      <c r="R50" s="50">
        <f>IF(A50&gt;Inputs!$C$62,"",AD50*Inputs!$C$16*(Inputs!$C$9 + Inputs!$C$10*Inputs!$C$11 + Inputs!$C$12)*(1 + VLOOKUP(Inputs!$C$15,Lookups!$A$2:$B$20,2,TRUE)*(Scale!$B$9/IF(Scale!$B$8=0,1,Scale!$B$8)) + Inputs!$C$52))</f>
        <v/>
      </c>
      <c r="S50" s="50">
        <f>IF(A50=1,Scale!$B$13, W49)</f>
        <v/>
      </c>
      <c r="T50" s="50">
        <f>J50*Inputs!$C$16*(Inputs!$C$19 + Inputs!$C$20*Inputs!$C$21 + 1/Inputs!$C$18)</f>
        <v/>
      </c>
      <c r="U50" s="50">
        <f>MAX(0, (R50*(1+Inputs!$C$74)) - (S50 - T50))</f>
        <v/>
      </c>
      <c r="V50" s="50">
        <f>IF(A50&lt;=Inputs!$C$73,0,INDEX(U:U,ROW()-Inputs!$C$73))</f>
        <v/>
      </c>
      <c r="W50" s="50">
        <f>S50 - T50 + V50</f>
        <v/>
      </c>
      <c r="X50" s="52">
        <f>V50*Inputs!$C$17</f>
        <v/>
      </c>
      <c r="Y50" s="52">
        <f>IF(A50&gt;Inputs!$C$62,"",C50*AE50)</f>
        <v/>
      </c>
      <c r="Z50" s="52">
        <f>IF(A50=1,Inputs!$C$72,AA49)</f>
        <v/>
      </c>
      <c r="AA50" s="52">
        <f>Z50 + M50 - N50 - P50 - X50 - Y50</f>
        <v/>
      </c>
      <c r="AB50" s="53">
        <f>IF(AA50&lt;0,1,0)</f>
        <v/>
      </c>
      <c r="AC50" s="54">
        <f>IF(AD50=0,0,R50/(AD50*Inputs!$C$16))</f>
        <v/>
      </c>
      <c r="AD50" s="53">
        <f>IF(A50&gt;Inputs!$C$62,"",B50+C50)</f>
        <v/>
      </c>
      <c r="AE50" s="56">
        <f>IF(A50&gt;Inputs!$C$62,"", Inputs!$C$65*(1+Inputs!$C$89*POWER(MIN(1,IF(Inputs!$C$88=0,0,B50/Inputs!$C$88)),Inputs!$C$90)))</f>
        <v/>
      </c>
      <c r="AF50" s="52">
        <f>IF(A50&gt;Inputs!$C$62,"",IF(A50=1,Inputs!$C$86,MIN(Inputs!$C$86,Inputs!$C$87*M49)))</f>
        <v/>
      </c>
      <c r="AG50" s="51">
        <f>IF(A50&gt;Inputs!$C$62,"",MIN(0.5,MAX(0, Inputs!$C$67*L50 + Inputs!$C$68*(1-K50) + Inputs!$C$69*Inputs!$C$10)))</f>
        <v/>
      </c>
      <c r="AH50" s="51">
        <f>IF(A50&gt;Inputs!$C$62,"",INDEX(CapacityPlan!$G$7:$G$266,A50))</f>
        <v/>
      </c>
      <c r="AI50" s="54">
        <f>IF(A50&gt;Inputs!$C$62,"",INDEX(CapacityPlan!$J$7:$J$266,A50))</f>
        <v/>
      </c>
      <c r="AJ50" s="51">
        <f>IF(A50&gt;Inputs!$C$62,"",IF(I50=0,"",G50/I50))</f>
        <v/>
      </c>
    </row>
    <row r="51" ht="16" customHeight="1">
      <c r="A51" s="15" t="n">
        <v>29</v>
      </c>
      <c r="B51" s="50">
        <f>IF(A51&gt;Inputs!$C$62,"",IF(Inputs!$C$80=1,INDEX(Cohorts!$B$67:$B$326,A51),IF(A51=1,Inputs!$C$63,F50)))</f>
        <v/>
      </c>
      <c r="C51" s="50">
        <f>IF(A51&gt;Inputs!$C$62,"",IF(Inputs!$C$85=0,Inputs!$C$64,MIN(Inputs!$C$91,IF(AE51=0,0,AF51/AE51))))</f>
        <v/>
      </c>
      <c r="D51" s="51">
        <f>IF(A51&gt;Inputs!$C$62,"",IF(Inputs!$C$80=1,INDEX(Cohorts!$G$67:$G$326,A51),MAX(0, Inputs!$C$66 + Inputs!$C$67*L51 + Inputs!$C$68*(1-K51) + Inputs!$C$69*Inputs!$C$10)))</f>
        <v/>
      </c>
      <c r="E51" s="50">
        <f>IF(A51&gt;Inputs!$C$62,"",IF(Inputs!$C$80=1,INDEX(Cohorts!$H$67:$H$326,A51),D51*AD51))</f>
        <v/>
      </c>
      <c r="F51" s="50">
        <f>IF(A51&gt;Inputs!$C$62,"",IF(Inputs!$C$80=1,INDEX(Cohorts!$I$67:$I$326,A51),AD51-E51))</f>
        <v/>
      </c>
      <c r="G51" s="50">
        <f>IF(A51&gt;Inputs!$C$62,"",AD51)</f>
        <v/>
      </c>
      <c r="H51" s="50">
        <f>IF(A51&gt;Inputs!$C$62,"",INDEX(CapacityPlan!$E$7:$E$266,A51))</f>
        <v/>
      </c>
      <c r="I51" s="50">
        <f>IF(A51&gt;Inputs!$C$62,"",INDEX(CapacityPlan!$I$7:$I$266,A51))</f>
        <v/>
      </c>
      <c r="J51" s="50">
        <f>IF(A51&gt;Inputs!$C$62,"",IF(G51&gt;I51,I51,G51))</f>
        <v/>
      </c>
      <c r="K51" s="51">
        <f>IF(A51&gt;Inputs!$C$62,"",IF(G51=0,1,J51/G51))</f>
        <v/>
      </c>
      <c r="L51" s="51">
        <f>IF((Inputs!$C$36 + UnitEconomics!$B$12*Inputs!$C$37 + Inputs!$C$10*Inputs!$C$38 + Inputs!$C$70*(1-K51))&gt;1,1,(Inputs!$C$36 + UnitEconomics!$B$12*Inputs!$C$37 + Inputs!$C$10*Inputs!$C$38 + Inputs!$C$70*(1-K51)))</f>
        <v/>
      </c>
      <c r="M51" s="52">
        <f>IF(A51&gt;Inputs!$C$62,"",J51*Inputs!$C$7*(1-Inputs!$C$8)*(1-L51))</f>
        <v/>
      </c>
      <c r="N51" s="52">
        <f>IF(A51&gt;Inputs!$C$62,"",J51*UnitEconomics!$B$32*AI51 + (G51-J51)*Inputs!$C$71)</f>
        <v/>
      </c>
      <c r="O51" s="52">
        <f>M51-N51</f>
        <v/>
      </c>
      <c r="P51" s="52">
        <f>IF(A51&gt;Inputs!$C$62,"",Inputs!$C$40 + H51*Inputs!$C$41)</f>
        <v/>
      </c>
      <c r="Q51" s="52">
        <f>O51-P51</f>
        <v/>
      </c>
      <c r="R51" s="50">
        <f>IF(A51&gt;Inputs!$C$62,"",AD51*Inputs!$C$16*(Inputs!$C$9 + Inputs!$C$10*Inputs!$C$11 + Inputs!$C$12)*(1 + VLOOKUP(Inputs!$C$15,Lookups!$A$2:$B$20,2,TRUE)*(Scale!$B$9/IF(Scale!$B$8=0,1,Scale!$B$8)) + Inputs!$C$52))</f>
        <v/>
      </c>
      <c r="S51" s="50">
        <f>IF(A51=1,Scale!$B$13, W50)</f>
        <v/>
      </c>
      <c r="T51" s="50">
        <f>J51*Inputs!$C$16*(Inputs!$C$19 + Inputs!$C$20*Inputs!$C$21 + 1/Inputs!$C$18)</f>
        <v/>
      </c>
      <c r="U51" s="50">
        <f>MAX(0, (R51*(1+Inputs!$C$74)) - (S51 - T51))</f>
        <v/>
      </c>
      <c r="V51" s="50">
        <f>IF(A51&lt;=Inputs!$C$73,0,INDEX(U:U,ROW()-Inputs!$C$73))</f>
        <v/>
      </c>
      <c r="W51" s="50">
        <f>S51 - T51 + V51</f>
        <v/>
      </c>
      <c r="X51" s="52">
        <f>V51*Inputs!$C$17</f>
        <v/>
      </c>
      <c r="Y51" s="52">
        <f>IF(A51&gt;Inputs!$C$62,"",C51*AE51)</f>
        <v/>
      </c>
      <c r="Z51" s="52">
        <f>IF(A51=1,Inputs!$C$72,AA50)</f>
        <v/>
      </c>
      <c r="AA51" s="52">
        <f>Z51 + M51 - N51 - P51 - X51 - Y51</f>
        <v/>
      </c>
      <c r="AB51" s="53">
        <f>IF(AA51&lt;0,1,0)</f>
        <v/>
      </c>
      <c r="AC51" s="54">
        <f>IF(AD51=0,0,R51/(AD51*Inputs!$C$16))</f>
        <v/>
      </c>
      <c r="AD51" s="53">
        <f>IF(A51&gt;Inputs!$C$62,"",B51+C51)</f>
        <v/>
      </c>
      <c r="AE51" s="56">
        <f>IF(A51&gt;Inputs!$C$62,"", Inputs!$C$65*(1+Inputs!$C$89*POWER(MIN(1,IF(Inputs!$C$88=0,0,B51/Inputs!$C$88)),Inputs!$C$90)))</f>
        <v/>
      </c>
      <c r="AF51" s="52">
        <f>IF(A51&gt;Inputs!$C$62,"",IF(A51=1,Inputs!$C$86,MIN(Inputs!$C$86,Inputs!$C$87*M50)))</f>
        <v/>
      </c>
      <c r="AG51" s="51">
        <f>IF(A51&gt;Inputs!$C$62,"",MIN(0.5,MAX(0, Inputs!$C$67*L51 + Inputs!$C$68*(1-K51) + Inputs!$C$69*Inputs!$C$10)))</f>
        <v/>
      </c>
      <c r="AH51" s="51">
        <f>IF(A51&gt;Inputs!$C$62,"",INDEX(CapacityPlan!$G$7:$G$266,A51))</f>
        <v/>
      </c>
      <c r="AI51" s="54">
        <f>IF(A51&gt;Inputs!$C$62,"",INDEX(CapacityPlan!$J$7:$J$266,A51))</f>
        <v/>
      </c>
      <c r="AJ51" s="51">
        <f>IF(A51&gt;Inputs!$C$62,"",IF(I51=0,"",G51/I51))</f>
        <v/>
      </c>
    </row>
    <row r="52" ht="16" customHeight="1">
      <c r="A52" s="15" t="n">
        <v>30</v>
      </c>
      <c r="B52" s="50">
        <f>IF(A52&gt;Inputs!$C$62,"",IF(Inputs!$C$80=1,INDEX(Cohorts!$B$67:$B$326,A52),IF(A52=1,Inputs!$C$63,F51)))</f>
        <v/>
      </c>
      <c r="C52" s="50">
        <f>IF(A52&gt;Inputs!$C$62,"",IF(Inputs!$C$85=0,Inputs!$C$64,MIN(Inputs!$C$91,IF(AE52=0,0,AF52/AE52))))</f>
        <v/>
      </c>
      <c r="D52" s="51">
        <f>IF(A52&gt;Inputs!$C$62,"",IF(Inputs!$C$80=1,INDEX(Cohorts!$G$67:$G$326,A52),MAX(0, Inputs!$C$66 + Inputs!$C$67*L52 + Inputs!$C$68*(1-K52) + Inputs!$C$69*Inputs!$C$10)))</f>
        <v/>
      </c>
      <c r="E52" s="50">
        <f>IF(A52&gt;Inputs!$C$62,"",IF(Inputs!$C$80=1,INDEX(Cohorts!$H$67:$H$326,A52),D52*AD52))</f>
        <v/>
      </c>
      <c r="F52" s="50">
        <f>IF(A52&gt;Inputs!$C$62,"",IF(Inputs!$C$80=1,INDEX(Cohorts!$I$67:$I$326,A52),AD52-E52))</f>
        <v/>
      </c>
      <c r="G52" s="50">
        <f>IF(A52&gt;Inputs!$C$62,"",AD52)</f>
        <v/>
      </c>
      <c r="H52" s="50">
        <f>IF(A52&gt;Inputs!$C$62,"",INDEX(CapacityPlan!$E$7:$E$266,A52))</f>
        <v/>
      </c>
      <c r="I52" s="50">
        <f>IF(A52&gt;Inputs!$C$62,"",INDEX(CapacityPlan!$I$7:$I$266,A52))</f>
        <v/>
      </c>
      <c r="J52" s="50">
        <f>IF(A52&gt;Inputs!$C$62,"",IF(G52&gt;I52,I52,G52))</f>
        <v/>
      </c>
      <c r="K52" s="51">
        <f>IF(A52&gt;Inputs!$C$62,"",IF(G52=0,1,J52/G52))</f>
        <v/>
      </c>
      <c r="L52" s="51">
        <f>IF((Inputs!$C$36 + UnitEconomics!$B$12*Inputs!$C$37 + Inputs!$C$10*Inputs!$C$38 + Inputs!$C$70*(1-K52))&gt;1,1,(Inputs!$C$36 + UnitEconomics!$B$12*Inputs!$C$37 + Inputs!$C$10*Inputs!$C$38 + Inputs!$C$70*(1-K52)))</f>
        <v/>
      </c>
      <c r="M52" s="52">
        <f>IF(A52&gt;Inputs!$C$62,"",J52*Inputs!$C$7*(1-Inputs!$C$8)*(1-L52))</f>
        <v/>
      </c>
      <c r="N52" s="52">
        <f>IF(A52&gt;Inputs!$C$62,"",J52*UnitEconomics!$B$32*AI52 + (G52-J52)*Inputs!$C$71)</f>
        <v/>
      </c>
      <c r="O52" s="52">
        <f>M52-N52</f>
        <v/>
      </c>
      <c r="P52" s="52">
        <f>IF(A52&gt;Inputs!$C$62,"",Inputs!$C$40 + H52*Inputs!$C$41)</f>
        <v/>
      </c>
      <c r="Q52" s="52">
        <f>O52-P52</f>
        <v/>
      </c>
      <c r="R52" s="50">
        <f>IF(A52&gt;Inputs!$C$62,"",AD52*Inputs!$C$16*(Inputs!$C$9 + Inputs!$C$10*Inputs!$C$11 + Inputs!$C$12)*(1 + VLOOKUP(Inputs!$C$15,Lookups!$A$2:$B$20,2,TRUE)*(Scale!$B$9/IF(Scale!$B$8=0,1,Scale!$B$8)) + Inputs!$C$52))</f>
        <v/>
      </c>
      <c r="S52" s="50">
        <f>IF(A52=1,Scale!$B$13, W51)</f>
        <v/>
      </c>
      <c r="T52" s="50">
        <f>J52*Inputs!$C$16*(Inputs!$C$19 + Inputs!$C$20*Inputs!$C$21 + 1/Inputs!$C$18)</f>
        <v/>
      </c>
      <c r="U52" s="50">
        <f>MAX(0, (R52*(1+Inputs!$C$74)) - (S52 - T52))</f>
        <v/>
      </c>
      <c r="V52" s="50">
        <f>IF(A52&lt;=Inputs!$C$73,0,INDEX(U:U,ROW()-Inputs!$C$73))</f>
        <v/>
      </c>
      <c r="W52" s="50">
        <f>S52 - T52 + V52</f>
        <v/>
      </c>
      <c r="X52" s="52">
        <f>V52*Inputs!$C$17</f>
        <v/>
      </c>
      <c r="Y52" s="52">
        <f>IF(A52&gt;Inputs!$C$62,"",C52*AE52)</f>
        <v/>
      </c>
      <c r="Z52" s="52">
        <f>IF(A52=1,Inputs!$C$72,AA51)</f>
        <v/>
      </c>
      <c r="AA52" s="52">
        <f>Z52 + M52 - N52 - P52 - X52 - Y52</f>
        <v/>
      </c>
      <c r="AB52" s="53">
        <f>IF(AA52&lt;0,1,0)</f>
        <v/>
      </c>
      <c r="AC52" s="54">
        <f>IF(AD52=0,0,R52/(AD52*Inputs!$C$16))</f>
        <v/>
      </c>
      <c r="AD52" s="53">
        <f>IF(A52&gt;Inputs!$C$62,"",B52+C52)</f>
        <v/>
      </c>
      <c r="AE52" s="56">
        <f>IF(A52&gt;Inputs!$C$62,"", Inputs!$C$65*(1+Inputs!$C$89*POWER(MIN(1,IF(Inputs!$C$88=0,0,B52/Inputs!$C$88)),Inputs!$C$90)))</f>
        <v/>
      </c>
      <c r="AF52" s="52">
        <f>IF(A52&gt;Inputs!$C$62,"",IF(A52=1,Inputs!$C$86,MIN(Inputs!$C$86,Inputs!$C$87*M51)))</f>
        <v/>
      </c>
      <c r="AG52" s="51">
        <f>IF(A52&gt;Inputs!$C$62,"",MIN(0.5,MAX(0, Inputs!$C$67*L52 + Inputs!$C$68*(1-K52) + Inputs!$C$69*Inputs!$C$10)))</f>
        <v/>
      </c>
      <c r="AH52" s="51">
        <f>IF(A52&gt;Inputs!$C$62,"",INDEX(CapacityPlan!$G$7:$G$266,A52))</f>
        <v/>
      </c>
      <c r="AI52" s="54">
        <f>IF(A52&gt;Inputs!$C$62,"",INDEX(CapacityPlan!$J$7:$J$266,A52))</f>
        <v/>
      </c>
      <c r="AJ52" s="51">
        <f>IF(A52&gt;Inputs!$C$62,"",IF(I52=0,"",G52/I52))</f>
        <v/>
      </c>
    </row>
    <row r="53" ht="16" customHeight="1">
      <c r="A53" s="15" t="n">
        <v>31</v>
      </c>
      <c r="B53" s="50">
        <f>IF(A53&gt;Inputs!$C$62,"",IF(Inputs!$C$80=1,INDEX(Cohorts!$B$67:$B$326,A53),IF(A53=1,Inputs!$C$63,F52)))</f>
        <v/>
      </c>
      <c r="C53" s="50">
        <f>IF(A53&gt;Inputs!$C$62,"",IF(Inputs!$C$85=0,Inputs!$C$64,MIN(Inputs!$C$91,IF(AE53=0,0,AF53/AE53))))</f>
        <v/>
      </c>
      <c r="D53" s="51">
        <f>IF(A53&gt;Inputs!$C$62,"",IF(Inputs!$C$80=1,INDEX(Cohorts!$G$67:$G$326,A53),MAX(0, Inputs!$C$66 + Inputs!$C$67*L53 + Inputs!$C$68*(1-K53) + Inputs!$C$69*Inputs!$C$10)))</f>
        <v/>
      </c>
      <c r="E53" s="50">
        <f>IF(A53&gt;Inputs!$C$62,"",IF(Inputs!$C$80=1,INDEX(Cohorts!$H$67:$H$326,A53),D53*AD53))</f>
        <v/>
      </c>
      <c r="F53" s="50">
        <f>IF(A53&gt;Inputs!$C$62,"",IF(Inputs!$C$80=1,INDEX(Cohorts!$I$67:$I$326,A53),AD53-E53))</f>
        <v/>
      </c>
      <c r="G53" s="50">
        <f>IF(A53&gt;Inputs!$C$62,"",AD53)</f>
        <v/>
      </c>
      <c r="H53" s="50">
        <f>IF(A53&gt;Inputs!$C$62,"",INDEX(CapacityPlan!$E$7:$E$266,A53))</f>
        <v/>
      </c>
      <c r="I53" s="50">
        <f>IF(A53&gt;Inputs!$C$62,"",INDEX(CapacityPlan!$I$7:$I$266,A53))</f>
        <v/>
      </c>
      <c r="J53" s="50">
        <f>IF(A53&gt;Inputs!$C$62,"",IF(G53&gt;I53,I53,G53))</f>
        <v/>
      </c>
      <c r="K53" s="51">
        <f>IF(A53&gt;Inputs!$C$62,"",IF(G53=0,1,J53/G53))</f>
        <v/>
      </c>
      <c r="L53" s="51">
        <f>IF((Inputs!$C$36 + UnitEconomics!$B$12*Inputs!$C$37 + Inputs!$C$10*Inputs!$C$38 + Inputs!$C$70*(1-K53))&gt;1,1,(Inputs!$C$36 + UnitEconomics!$B$12*Inputs!$C$37 + Inputs!$C$10*Inputs!$C$38 + Inputs!$C$70*(1-K53)))</f>
        <v/>
      </c>
      <c r="M53" s="52">
        <f>IF(A53&gt;Inputs!$C$62,"",J53*Inputs!$C$7*(1-Inputs!$C$8)*(1-L53))</f>
        <v/>
      </c>
      <c r="N53" s="52">
        <f>IF(A53&gt;Inputs!$C$62,"",J53*UnitEconomics!$B$32*AI53 + (G53-J53)*Inputs!$C$71)</f>
        <v/>
      </c>
      <c r="O53" s="52">
        <f>M53-N53</f>
        <v/>
      </c>
      <c r="P53" s="52">
        <f>IF(A53&gt;Inputs!$C$62,"",Inputs!$C$40 + H53*Inputs!$C$41)</f>
        <v/>
      </c>
      <c r="Q53" s="52">
        <f>O53-P53</f>
        <v/>
      </c>
      <c r="R53" s="50">
        <f>IF(A53&gt;Inputs!$C$62,"",AD53*Inputs!$C$16*(Inputs!$C$9 + Inputs!$C$10*Inputs!$C$11 + Inputs!$C$12)*(1 + VLOOKUP(Inputs!$C$15,Lookups!$A$2:$B$20,2,TRUE)*(Scale!$B$9/IF(Scale!$B$8=0,1,Scale!$B$8)) + Inputs!$C$52))</f>
        <v/>
      </c>
      <c r="S53" s="50">
        <f>IF(A53=1,Scale!$B$13, W52)</f>
        <v/>
      </c>
      <c r="T53" s="50">
        <f>J53*Inputs!$C$16*(Inputs!$C$19 + Inputs!$C$20*Inputs!$C$21 + 1/Inputs!$C$18)</f>
        <v/>
      </c>
      <c r="U53" s="50">
        <f>MAX(0, (R53*(1+Inputs!$C$74)) - (S53 - T53))</f>
        <v/>
      </c>
      <c r="V53" s="50">
        <f>IF(A53&lt;=Inputs!$C$73,0,INDEX(U:U,ROW()-Inputs!$C$73))</f>
        <v/>
      </c>
      <c r="W53" s="50">
        <f>S53 - T53 + V53</f>
        <v/>
      </c>
      <c r="X53" s="52">
        <f>V53*Inputs!$C$17</f>
        <v/>
      </c>
      <c r="Y53" s="52">
        <f>IF(A53&gt;Inputs!$C$62,"",C53*AE53)</f>
        <v/>
      </c>
      <c r="Z53" s="52">
        <f>IF(A53=1,Inputs!$C$72,AA52)</f>
        <v/>
      </c>
      <c r="AA53" s="52">
        <f>Z53 + M53 - N53 - P53 - X53 - Y53</f>
        <v/>
      </c>
      <c r="AB53" s="53">
        <f>IF(AA53&lt;0,1,0)</f>
        <v/>
      </c>
      <c r="AC53" s="54">
        <f>IF(AD53=0,0,R53/(AD53*Inputs!$C$16))</f>
        <v/>
      </c>
      <c r="AD53" s="53">
        <f>IF(A53&gt;Inputs!$C$62,"",B53+C53)</f>
        <v/>
      </c>
      <c r="AE53" s="56">
        <f>IF(A53&gt;Inputs!$C$62,"", Inputs!$C$65*(1+Inputs!$C$89*POWER(MIN(1,IF(Inputs!$C$88=0,0,B53/Inputs!$C$88)),Inputs!$C$90)))</f>
        <v/>
      </c>
      <c r="AF53" s="52">
        <f>IF(A53&gt;Inputs!$C$62,"",IF(A53=1,Inputs!$C$86,MIN(Inputs!$C$86,Inputs!$C$87*M52)))</f>
        <v/>
      </c>
      <c r="AG53" s="51">
        <f>IF(A53&gt;Inputs!$C$62,"",MIN(0.5,MAX(0, Inputs!$C$67*L53 + Inputs!$C$68*(1-K53) + Inputs!$C$69*Inputs!$C$10)))</f>
        <v/>
      </c>
      <c r="AH53" s="51">
        <f>IF(A53&gt;Inputs!$C$62,"",INDEX(CapacityPlan!$G$7:$G$266,A53))</f>
        <v/>
      </c>
      <c r="AI53" s="54">
        <f>IF(A53&gt;Inputs!$C$62,"",INDEX(CapacityPlan!$J$7:$J$266,A53))</f>
        <v/>
      </c>
      <c r="AJ53" s="51">
        <f>IF(A53&gt;Inputs!$C$62,"",IF(I53=0,"",G53/I53))</f>
        <v/>
      </c>
    </row>
    <row r="54" ht="16" customHeight="1">
      <c r="A54" s="15" t="n">
        <v>32</v>
      </c>
      <c r="B54" s="50">
        <f>IF(A54&gt;Inputs!$C$62,"",IF(Inputs!$C$80=1,INDEX(Cohorts!$B$67:$B$326,A54),IF(A54=1,Inputs!$C$63,F53)))</f>
        <v/>
      </c>
      <c r="C54" s="50">
        <f>IF(A54&gt;Inputs!$C$62,"",IF(Inputs!$C$85=0,Inputs!$C$64,MIN(Inputs!$C$91,IF(AE54=0,0,AF54/AE54))))</f>
        <v/>
      </c>
      <c r="D54" s="51">
        <f>IF(A54&gt;Inputs!$C$62,"",IF(Inputs!$C$80=1,INDEX(Cohorts!$G$67:$G$326,A54),MAX(0, Inputs!$C$66 + Inputs!$C$67*L54 + Inputs!$C$68*(1-K54) + Inputs!$C$69*Inputs!$C$10)))</f>
        <v/>
      </c>
      <c r="E54" s="50">
        <f>IF(A54&gt;Inputs!$C$62,"",IF(Inputs!$C$80=1,INDEX(Cohorts!$H$67:$H$326,A54),D54*AD54))</f>
        <v/>
      </c>
      <c r="F54" s="50">
        <f>IF(A54&gt;Inputs!$C$62,"",IF(Inputs!$C$80=1,INDEX(Cohorts!$I$67:$I$326,A54),AD54-E54))</f>
        <v/>
      </c>
      <c r="G54" s="50">
        <f>IF(A54&gt;Inputs!$C$62,"",AD54)</f>
        <v/>
      </c>
      <c r="H54" s="50">
        <f>IF(A54&gt;Inputs!$C$62,"",INDEX(CapacityPlan!$E$7:$E$266,A54))</f>
        <v/>
      </c>
      <c r="I54" s="50">
        <f>IF(A54&gt;Inputs!$C$62,"",INDEX(CapacityPlan!$I$7:$I$266,A54))</f>
        <v/>
      </c>
      <c r="J54" s="50">
        <f>IF(A54&gt;Inputs!$C$62,"",IF(G54&gt;I54,I54,G54))</f>
        <v/>
      </c>
      <c r="K54" s="51">
        <f>IF(A54&gt;Inputs!$C$62,"",IF(G54=0,1,J54/G54))</f>
        <v/>
      </c>
      <c r="L54" s="51">
        <f>IF((Inputs!$C$36 + UnitEconomics!$B$12*Inputs!$C$37 + Inputs!$C$10*Inputs!$C$38 + Inputs!$C$70*(1-K54))&gt;1,1,(Inputs!$C$36 + UnitEconomics!$B$12*Inputs!$C$37 + Inputs!$C$10*Inputs!$C$38 + Inputs!$C$70*(1-K54)))</f>
        <v/>
      </c>
      <c r="M54" s="52">
        <f>IF(A54&gt;Inputs!$C$62,"",J54*Inputs!$C$7*(1-Inputs!$C$8)*(1-L54))</f>
        <v/>
      </c>
      <c r="N54" s="52">
        <f>IF(A54&gt;Inputs!$C$62,"",J54*UnitEconomics!$B$32*AI54 + (G54-J54)*Inputs!$C$71)</f>
        <v/>
      </c>
      <c r="O54" s="52">
        <f>M54-N54</f>
        <v/>
      </c>
      <c r="P54" s="52">
        <f>IF(A54&gt;Inputs!$C$62,"",Inputs!$C$40 + H54*Inputs!$C$41)</f>
        <v/>
      </c>
      <c r="Q54" s="52">
        <f>O54-P54</f>
        <v/>
      </c>
      <c r="R54" s="50">
        <f>IF(A54&gt;Inputs!$C$62,"",AD54*Inputs!$C$16*(Inputs!$C$9 + Inputs!$C$10*Inputs!$C$11 + Inputs!$C$12)*(1 + VLOOKUP(Inputs!$C$15,Lookups!$A$2:$B$20,2,TRUE)*(Scale!$B$9/IF(Scale!$B$8=0,1,Scale!$B$8)) + Inputs!$C$52))</f>
        <v/>
      </c>
      <c r="S54" s="50">
        <f>IF(A54=1,Scale!$B$13, W53)</f>
        <v/>
      </c>
      <c r="T54" s="50">
        <f>J54*Inputs!$C$16*(Inputs!$C$19 + Inputs!$C$20*Inputs!$C$21 + 1/Inputs!$C$18)</f>
        <v/>
      </c>
      <c r="U54" s="50">
        <f>MAX(0, (R54*(1+Inputs!$C$74)) - (S54 - T54))</f>
        <v/>
      </c>
      <c r="V54" s="50">
        <f>IF(A54&lt;=Inputs!$C$73,0,INDEX(U:U,ROW()-Inputs!$C$73))</f>
        <v/>
      </c>
      <c r="W54" s="50">
        <f>S54 - T54 + V54</f>
        <v/>
      </c>
      <c r="X54" s="52">
        <f>V54*Inputs!$C$17</f>
        <v/>
      </c>
      <c r="Y54" s="52">
        <f>IF(A54&gt;Inputs!$C$62,"",C54*AE54)</f>
        <v/>
      </c>
      <c r="Z54" s="52">
        <f>IF(A54=1,Inputs!$C$72,AA53)</f>
        <v/>
      </c>
      <c r="AA54" s="52">
        <f>Z54 + M54 - N54 - P54 - X54 - Y54</f>
        <v/>
      </c>
      <c r="AB54" s="53">
        <f>IF(AA54&lt;0,1,0)</f>
        <v/>
      </c>
      <c r="AC54" s="54">
        <f>IF(AD54=0,0,R54/(AD54*Inputs!$C$16))</f>
        <v/>
      </c>
      <c r="AD54" s="53">
        <f>IF(A54&gt;Inputs!$C$62,"",B54+C54)</f>
        <v/>
      </c>
      <c r="AE54" s="56">
        <f>IF(A54&gt;Inputs!$C$62,"", Inputs!$C$65*(1+Inputs!$C$89*POWER(MIN(1,IF(Inputs!$C$88=0,0,B54/Inputs!$C$88)),Inputs!$C$90)))</f>
        <v/>
      </c>
      <c r="AF54" s="52">
        <f>IF(A54&gt;Inputs!$C$62,"",IF(A54=1,Inputs!$C$86,MIN(Inputs!$C$86,Inputs!$C$87*M53)))</f>
        <v/>
      </c>
      <c r="AG54" s="51">
        <f>IF(A54&gt;Inputs!$C$62,"",MIN(0.5,MAX(0, Inputs!$C$67*L54 + Inputs!$C$68*(1-K54) + Inputs!$C$69*Inputs!$C$10)))</f>
        <v/>
      </c>
      <c r="AH54" s="51">
        <f>IF(A54&gt;Inputs!$C$62,"",INDEX(CapacityPlan!$G$7:$G$266,A54))</f>
        <v/>
      </c>
      <c r="AI54" s="54">
        <f>IF(A54&gt;Inputs!$C$62,"",INDEX(CapacityPlan!$J$7:$J$266,A54))</f>
        <v/>
      </c>
      <c r="AJ54" s="51">
        <f>IF(A54&gt;Inputs!$C$62,"",IF(I54=0,"",G54/I54))</f>
        <v/>
      </c>
    </row>
    <row r="55" ht="16" customHeight="1">
      <c r="A55" s="15" t="n">
        <v>33</v>
      </c>
      <c r="B55" s="50">
        <f>IF(A55&gt;Inputs!$C$62,"",IF(Inputs!$C$80=1,INDEX(Cohorts!$B$67:$B$326,A55),IF(A55=1,Inputs!$C$63,F54)))</f>
        <v/>
      </c>
      <c r="C55" s="50">
        <f>IF(A55&gt;Inputs!$C$62,"",IF(Inputs!$C$85=0,Inputs!$C$64,MIN(Inputs!$C$91,IF(AE55=0,0,AF55/AE55))))</f>
        <v/>
      </c>
      <c r="D55" s="51">
        <f>IF(A55&gt;Inputs!$C$62,"",IF(Inputs!$C$80=1,INDEX(Cohorts!$G$67:$G$326,A55),MAX(0, Inputs!$C$66 + Inputs!$C$67*L55 + Inputs!$C$68*(1-K55) + Inputs!$C$69*Inputs!$C$10)))</f>
        <v/>
      </c>
      <c r="E55" s="50">
        <f>IF(A55&gt;Inputs!$C$62,"",IF(Inputs!$C$80=1,INDEX(Cohorts!$H$67:$H$326,A55),D55*AD55))</f>
        <v/>
      </c>
      <c r="F55" s="50">
        <f>IF(A55&gt;Inputs!$C$62,"",IF(Inputs!$C$80=1,INDEX(Cohorts!$I$67:$I$326,A55),AD55-E55))</f>
        <v/>
      </c>
      <c r="G55" s="50">
        <f>IF(A55&gt;Inputs!$C$62,"",AD55)</f>
        <v/>
      </c>
      <c r="H55" s="50">
        <f>IF(A55&gt;Inputs!$C$62,"",INDEX(CapacityPlan!$E$7:$E$266,A55))</f>
        <v/>
      </c>
      <c r="I55" s="50">
        <f>IF(A55&gt;Inputs!$C$62,"",INDEX(CapacityPlan!$I$7:$I$266,A55))</f>
        <v/>
      </c>
      <c r="J55" s="50">
        <f>IF(A55&gt;Inputs!$C$62,"",IF(G55&gt;I55,I55,G55))</f>
        <v/>
      </c>
      <c r="K55" s="51">
        <f>IF(A55&gt;Inputs!$C$62,"",IF(G55=0,1,J55/G55))</f>
        <v/>
      </c>
      <c r="L55" s="51">
        <f>IF((Inputs!$C$36 + UnitEconomics!$B$12*Inputs!$C$37 + Inputs!$C$10*Inputs!$C$38 + Inputs!$C$70*(1-K55))&gt;1,1,(Inputs!$C$36 + UnitEconomics!$B$12*Inputs!$C$37 + Inputs!$C$10*Inputs!$C$38 + Inputs!$C$70*(1-K55)))</f>
        <v/>
      </c>
      <c r="M55" s="52">
        <f>IF(A55&gt;Inputs!$C$62,"",J55*Inputs!$C$7*(1-Inputs!$C$8)*(1-L55))</f>
        <v/>
      </c>
      <c r="N55" s="52">
        <f>IF(A55&gt;Inputs!$C$62,"",J55*UnitEconomics!$B$32*AI55 + (G55-J55)*Inputs!$C$71)</f>
        <v/>
      </c>
      <c r="O55" s="52">
        <f>M55-N55</f>
        <v/>
      </c>
      <c r="P55" s="52">
        <f>IF(A55&gt;Inputs!$C$62,"",Inputs!$C$40 + H55*Inputs!$C$41)</f>
        <v/>
      </c>
      <c r="Q55" s="52">
        <f>O55-P55</f>
        <v/>
      </c>
      <c r="R55" s="50">
        <f>IF(A55&gt;Inputs!$C$62,"",AD55*Inputs!$C$16*(Inputs!$C$9 + Inputs!$C$10*Inputs!$C$11 + Inputs!$C$12)*(1 + VLOOKUP(Inputs!$C$15,Lookups!$A$2:$B$20,2,TRUE)*(Scale!$B$9/IF(Scale!$B$8=0,1,Scale!$B$8)) + Inputs!$C$52))</f>
        <v/>
      </c>
      <c r="S55" s="50">
        <f>IF(A55=1,Scale!$B$13, W54)</f>
        <v/>
      </c>
      <c r="T55" s="50">
        <f>J55*Inputs!$C$16*(Inputs!$C$19 + Inputs!$C$20*Inputs!$C$21 + 1/Inputs!$C$18)</f>
        <v/>
      </c>
      <c r="U55" s="50">
        <f>MAX(0, (R55*(1+Inputs!$C$74)) - (S55 - T55))</f>
        <v/>
      </c>
      <c r="V55" s="50">
        <f>IF(A55&lt;=Inputs!$C$73,0,INDEX(U:U,ROW()-Inputs!$C$73))</f>
        <v/>
      </c>
      <c r="W55" s="50">
        <f>S55 - T55 + V55</f>
        <v/>
      </c>
      <c r="X55" s="52">
        <f>V55*Inputs!$C$17</f>
        <v/>
      </c>
      <c r="Y55" s="52">
        <f>IF(A55&gt;Inputs!$C$62,"",C55*AE55)</f>
        <v/>
      </c>
      <c r="Z55" s="52">
        <f>IF(A55=1,Inputs!$C$72,AA54)</f>
        <v/>
      </c>
      <c r="AA55" s="52">
        <f>Z55 + M55 - N55 - P55 - X55 - Y55</f>
        <v/>
      </c>
      <c r="AB55" s="53">
        <f>IF(AA55&lt;0,1,0)</f>
        <v/>
      </c>
      <c r="AC55" s="54">
        <f>IF(AD55=0,0,R55/(AD55*Inputs!$C$16))</f>
        <v/>
      </c>
      <c r="AD55" s="53">
        <f>IF(A55&gt;Inputs!$C$62,"",B55+C55)</f>
        <v/>
      </c>
      <c r="AE55" s="56">
        <f>IF(A55&gt;Inputs!$C$62,"", Inputs!$C$65*(1+Inputs!$C$89*POWER(MIN(1,IF(Inputs!$C$88=0,0,B55/Inputs!$C$88)),Inputs!$C$90)))</f>
        <v/>
      </c>
      <c r="AF55" s="52">
        <f>IF(A55&gt;Inputs!$C$62,"",IF(A55=1,Inputs!$C$86,MIN(Inputs!$C$86,Inputs!$C$87*M54)))</f>
        <v/>
      </c>
      <c r="AG55" s="51">
        <f>IF(A55&gt;Inputs!$C$62,"",MIN(0.5,MAX(0, Inputs!$C$67*L55 + Inputs!$C$68*(1-K55) + Inputs!$C$69*Inputs!$C$10)))</f>
        <v/>
      </c>
      <c r="AH55" s="51">
        <f>IF(A55&gt;Inputs!$C$62,"",INDEX(CapacityPlan!$G$7:$G$266,A55))</f>
        <v/>
      </c>
      <c r="AI55" s="54">
        <f>IF(A55&gt;Inputs!$C$62,"",INDEX(CapacityPlan!$J$7:$J$266,A55))</f>
        <v/>
      </c>
      <c r="AJ55" s="51">
        <f>IF(A55&gt;Inputs!$C$62,"",IF(I55=0,"",G55/I55))</f>
        <v/>
      </c>
    </row>
    <row r="56" ht="16" customHeight="1">
      <c r="A56" s="15" t="n">
        <v>34</v>
      </c>
      <c r="B56" s="50">
        <f>IF(A56&gt;Inputs!$C$62,"",IF(Inputs!$C$80=1,INDEX(Cohorts!$B$67:$B$326,A56),IF(A56=1,Inputs!$C$63,F55)))</f>
        <v/>
      </c>
      <c r="C56" s="50">
        <f>IF(A56&gt;Inputs!$C$62,"",IF(Inputs!$C$85=0,Inputs!$C$64,MIN(Inputs!$C$91,IF(AE56=0,0,AF56/AE56))))</f>
        <v/>
      </c>
      <c r="D56" s="51">
        <f>IF(A56&gt;Inputs!$C$62,"",IF(Inputs!$C$80=1,INDEX(Cohorts!$G$67:$G$326,A56),MAX(0, Inputs!$C$66 + Inputs!$C$67*L56 + Inputs!$C$68*(1-K56) + Inputs!$C$69*Inputs!$C$10)))</f>
        <v/>
      </c>
      <c r="E56" s="50">
        <f>IF(A56&gt;Inputs!$C$62,"",IF(Inputs!$C$80=1,INDEX(Cohorts!$H$67:$H$326,A56),D56*AD56))</f>
        <v/>
      </c>
      <c r="F56" s="50">
        <f>IF(A56&gt;Inputs!$C$62,"",IF(Inputs!$C$80=1,INDEX(Cohorts!$I$67:$I$326,A56),AD56-E56))</f>
        <v/>
      </c>
      <c r="G56" s="50">
        <f>IF(A56&gt;Inputs!$C$62,"",AD56)</f>
        <v/>
      </c>
      <c r="H56" s="50">
        <f>IF(A56&gt;Inputs!$C$62,"",INDEX(CapacityPlan!$E$7:$E$266,A56))</f>
        <v/>
      </c>
      <c r="I56" s="50">
        <f>IF(A56&gt;Inputs!$C$62,"",INDEX(CapacityPlan!$I$7:$I$266,A56))</f>
        <v/>
      </c>
      <c r="J56" s="50">
        <f>IF(A56&gt;Inputs!$C$62,"",IF(G56&gt;I56,I56,G56))</f>
        <v/>
      </c>
      <c r="K56" s="51">
        <f>IF(A56&gt;Inputs!$C$62,"",IF(G56=0,1,J56/G56))</f>
        <v/>
      </c>
      <c r="L56" s="51">
        <f>IF((Inputs!$C$36 + UnitEconomics!$B$12*Inputs!$C$37 + Inputs!$C$10*Inputs!$C$38 + Inputs!$C$70*(1-K56))&gt;1,1,(Inputs!$C$36 + UnitEconomics!$B$12*Inputs!$C$37 + Inputs!$C$10*Inputs!$C$38 + Inputs!$C$70*(1-K56)))</f>
        <v/>
      </c>
      <c r="M56" s="52">
        <f>IF(A56&gt;Inputs!$C$62,"",J56*Inputs!$C$7*(1-Inputs!$C$8)*(1-L56))</f>
        <v/>
      </c>
      <c r="N56" s="52">
        <f>IF(A56&gt;Inputs!$C$62,"",J56*UnitEconomics!$B$32*AI56 + (G56-J56)*Inputs!$C$71)</f>
        <v/>
      </c>
      <c r="O56" s="52">
        <f>M56-N56</f>
        <v/>
      </c>
      <c r="P56" s="52">
        <f>IF(A56&gt;Inputs!$C$62,"",Inputs!$C$40 + H56*Inputs!$C$41)</f>
        <v/>
      </c>
      <c r="Q56" s="52">
        <f>O56-P56</f>
        <v/>
      </c>
      <c r="R56" s="50">
        <f>IF(A56&gt;Inputs!$C$62,"",AD56*Inputs!$C$16*(Inputs!$C$9 + Inputs!$C$10*Inputs!$C$11 + Inputs!$C$12)*(1 + VLOOKUP(Inputs!$C$15,Lookups!$A$2:$B$20,2,TRUE)*(Scale!$B$9/IF(Scale!$B$8=0,1,Scale!$B$8)) + Inputs!$C$52))</f>
        <v/>
      </c>
      <c r="S56" s="50">
        <f>IF(A56=1,Scale!$B$13, W55)</f>
        <v/>
      </c>
      <c r="T56" s="50">
        <f>J56*Inputs!$C$16*(Inputs!$C$19 + Inputs!$C$20*Inputs!$C$21 + 1/Inputs!$C$18)</f>
        <v/>
      </c>
      <c r="U56" s="50">
        <f>MAX(0, (R56*(1+Inputs!$C$74)) - (S56 - T56))</f>
        <v/>
      </c>
      <c r="V56" s="50">
        <f>IF(A56&lt;=Inputs!$C$73,0,INDEX(U:U,ROW()-Inputs!$C$73))</f>
        <v/>
      </c>
      <c r="W56" s="50">
        <f>S56 - T56 + V56</f>
        <v/>
      </c>
      <c r="X56" s="52">
        <f>V56*Inputs!$C$17</f>
        <v/>
      </c>
      <c r="Y56" s="52">
        <f>IF(A56&gt;Inputs!$C$62,"",C56*AE56)</f>
        <v/>
      </c>
      <c r="Z56" s="52">
        <f>IF(A56=1,Inputs!$C$72,AA55)</f>
        <v/>
      </c>
      <c r="AA56" s="52">
        <f>Z56 + M56 - N56 - P56 - X56 - Y56</f>
        <v/>
      </c>
      <c r="AB56" s="53">
        <f>IF(AA56&lt;0,1,0)</f>
        <v/>
      </c>
      <c r="AC56" s="54">
        <f>IF(AD56=0,0,R56/(AD56*Inputs!$C$16))</f>
        <v/>
      </c>
      <c r="AD56" s="53">
        <f>IF(A56&gt;Inputs!$C$62,"",B56+C56)</f>
        <v/>
      </c>
      <c r="AE56" s="56">
        <f>IF(A56&gt;Inputs!$C$62,"", Inputs!$C$65*(1+Inputs!$C$89*POWER(MIN(1,IF(Inputs!$C$88=0,0,B56/Inputs!$C$88)),Inputs!$C$90)))</f>
        <v/>
      </c>
      <c r="AF56" s="52">
        <f>IF(A56&gt;Inputs!$C$62,"",IF(A56=1,Inputs!$C$86,MIN(Inputs!$C$86,Inputs!$C$87*M55)))</f>
        <v/>
      </c>
      <c r="AG56" s="51">
        <f>IF(A56&gt;Inputs!$C$62,"",MIN(0.5,MAX(0, Inputs!$C$67*L56 + Inputs!$C$68*(1-K56) + Inputs!$C$69*Inputs!$C$10)))</f>
        <v/>
      </c>
      <c r="AH56" s="51">
        <f>IF(A56&gt;Inputs!$C$62,"",INDEX(CapacityPlan!$G$7:$G$266,A56))</f>
        <v/>
      </c>
      <c r="AI56" s="54">
        <f>IF(A56&gt;Inputs!$C$62,"",INDEX(CapacityPlan!$J$7:$J$266,A56))</f>
        <v/>
      </c>
      <c r="AJ56" s="51">
        <f>IF(A56&gt;Inputs!$C$62,"",IF(I56=0,"",G56/I56))</f>
        <v/>
      </c>
    </row>
    <row r="57" ht="16" customHeight="1">
      <c r="A57" s="15" t="n">
        <v>35</v>
      </c>
      <c r="B57" s="50">
        <f>IF(A57&gt;Inputs!$C$62,"",IF(Inputs!$C$80=1,INDEX(Cohorts!$B$67:$B$326,A57),IF(A57=1,Inputs!$C$63,F56)))</f>
        <v/>
      </c>
      <c r="C57" s="50">
        <f>IF(A57&gt;Inputs!$C$62,"",IF(Inputs!$C$85=0,Inputs!$C$64,MIN(Inputs!$C$91,IF(AE57=0,0,AF57/AE57))))</f>
        <v/>
      </c>
      <c r="D57" s="51">
        <f>IF(A57&gt;Inputs!$C$62,"",IF(Inputs!$C$80=1,INDEX(Cohorts!$G$67:$G$326,A57),MAX(0, Inputs!$C$66 + Inputs!$C$67*L57 + Inputs!$C$68*(1-K57) + Inputs!$C$69*Inputs!$C$10)))</f>
        <v/>
      </c>
      <c r="E57" s="50">
        <f>IF(A57&gt;Inputs!$C$62,"",IF(Inputs!$C$80=1,INDEX(Cohorts!$H$67:$H$326,A57),D57*AD57))</f>
        <v/>
      </c>
      <c r="F57" s="50">
        <f>IF(A57&gt;Inputs!$C$62,"",IF(Inputs!$C$80=1,INDEX(Cohorts!$I$67:$I$326,A57),AD57-E57))</f>
        <v/>
      </c>
      <c r="G57" s="50">
        <f>IF(A57&gt;Inputs!$C$62,"",AD57)</f>
        <v/>
      </c>
      <c r="H57" s="50">
        <f>IF(A57&gt;Inputs!$C$62,"",INDEX(CapacityPlan!$E$7:$E$266,A57))</f>
        <v/>
      </c>
      <c r="I57" s="50">
        <f>IF(A57&gt;Inputs!$C$62,"",INDEX(CapacityPlan!$I$7:$I$266,A57))</f>
        <v/>
      </c>
      <c r="J57" s="50">
        <f>IF(A57&gt;Inputs!$C$62,"",IF(G57&gt;I57,I57,G57))</f>
        <v/>
      </c>
      <c r="K57" s="51">
        <f>IF(A57&gt;Inputs!$C$62,"",IF(G57=0,1,J57/G57))</f>
        <v/>
      </c>
      <c r="L57" s="51">
        <f>IF((Inputs!$C$36 + UnitEconomics!$B$12*Inputs!$C$37 + Inputs!$C$10*Inputs!$C$38 + Inputs!$C$70*(1-K57))&gt;1,1,(Inputs!$C$36 + UnitEconomics!$B$12*Inputs!$C$37 + Inputs!$C$10*Inputs!$C$38 + Inputs!$C$70*(1-K57)))</f>
        <v/>
      </c>
      <c r="M57" s="52">
        <f>IF(A57&gt;Inputs!$C$62,"",J57*Inputs!$C$7*(1-Inputs!$C$8)*(1-L57))</f>
        <v/>
      </c>
      <c r="N57" s="52">
        <f>IF(A57&gt;Inputs!$C$62,"",J57*UnitEconomics!$B$32*AI57 + (G57-J57)*Inputs!$C$71)</f>
        <v/>
      </c>
      <c r="O57" s="52">
        <f>M57-N57</f>
        <v/>
      </c>
      <c r="P57" s="52">
        <f>IF(A57&gt;Inputs!$C$62,"",Inputs!$C$40 + H57*Inputs!$C$41)</f>
        <v/>
      </c>
      <c r="Q57" s="52">
        <f>O57-P57</f>
        <v/>
      </c>
      <c r="R57" s="50">
        <f>IF(A57&gt;Inputs!$C$62,"",AD57*Inputs!$C$16*(Inputs!$C$9 + Inputs!$C$10*Inputs!$C$11 + Inputs!$C$12)*(1 + VLOOKUP(Inputs!$C$15,Lookups!$A$2:$B$20,2,TRUE)*(Scale!$B$9/IF(Scale!$B$8=0,1,Scale!$B$8)) + Inputs!$C$52))</f>
        <v/>
      </c>
      <c r="S57" s="50">
        <f>IF(A57=1,Scale!$B$13, W56)</f>
        <v/>
      </c>
      <c r="T57" s="50">
        <f>J57*Inputs!$C$16*(Inputs!$C$19 + Inputs!$C$20*Inputs!$C$21 + 1/Inputs!$C$18)</f>
        <v/>
      </c>
      <c r="U57" s="50">
        <f>MAX(0, (R57*(1+Inputs!$C$74)) - (S57 - T57))</f>
        <v/>
      </c>
      <c r="V57" s="50">
        <f>IF(A57&lt;=Inputs!$C$73,0,INDEX(U:U,ROW()-Inputs!$C$73))</f>
        <v/>
      </c>
      <c r="W57" s="50">
        <f>S57 - T57 + V57</f>
        <v/>
      </c>
      <c r="X57" s="52">
        <f>V57*Inputs!$C$17</f>
        <v/>
      </c>
      <c r="Y57" s="52">
        <f>IF(A57&gt;Inputs!$C$62,"",C57*AE57)</f>
        <v/>
      </c>
      <c r="Z57" s="52">
        <f>IF(A57=1,Inputs!$C$72,AA56)</f>
        <v/>
      </c>
      <c r="AA57" s="52">
        <f>Z57 + M57 - N57 - P57 - X57 - Y57</f>
        <v/>
      </c>
      <c r="AB57" s="53">
        <f>IF(AA57&lt;0,1,0)</f>
        <v/>
      </c>
      <c r="AC57" s="54">
        <f>IF(AD57=0,0,R57/(AD57*Inputs!$C$16))</f>
        <v/>
      </c>
      <c r="AD57" s="53">
        <f>IF(A57&gt;Inputs!$C$62,"",B57+C57)</f>
        <v/>
      </c>
      <c r="AE57" s="56">
        <f>IF(A57&gt;Inputs!$C$62,"", Inputs!$C$65*(1+Inputs!$C$89*POWER(MIN(1,IF(Inputs!$C$88=0,0,B57/Inputs!$C$88)),Inputs!$C$90)))</f>
        <v/>
      </c>
      <c r="AF57" s="52">
        <f>IF(A57&gt;Inputs!$C$62,"",IF(A57=1,Inputs!$C$86,MIN(Inputs!$C$86,Inputs!$C$87*M56)))</f>
        <v/>
      </c>
      <c r="AG57" s="51">
        <f>IF(A57&gt;Inputs!$C$62,"",MIN(0.5,MAX(0, Inputs!$C$67*L57 + Inputs!$C$68*(1-K57) + Inputs!$C$69*Inputs!$C$10)))</f>
        <v/>
      </c>
      <c r="AH57" s="51">
        <f>IF(A57&gt;Inputs!$C$62,"",INDEX(CapacityPlan!$G$7:$G$266,A57))</f>
        <v/>
      </c>
      <c r="AI57" s="54">
        <f>IF(A57&gt;Inputs!$C$62,"",INDEX(CapacityPlan!$J$7:$J$266,A57))</f>
        <v/>
      </c>
      <c r="AJ57" s="51">
        <f>IF(A57&gt;Inputs!$C$62,"",IF(I57=0,"",G57/I57))</f>
        <v/>
      </c>
    </row>
    <row r="58" ht="16" customHeight="1">
      <c r="A58" s="15" t="n">
        <v>36</v>
      </c>
      <c r="B58" s="50">
        <f>IF(A58&gt;Inputs!$C$62,"",IF(Inputs!$C$80=1,INDEX(Cohorts!$B$67:$B$326,A58),IF(A58=1,Inputs!$C$63,F57)))</f>
        <v/>
      </c>
      <c r="C58" s="50">
        <f>IF(A58&gt;Inputs!$C$62,"",IF(Inputs!$C$85=0,Inputs!$C$64,MIN(Inputs!$C$91,IF(AE58=0,0,AF58/AE58))))</f>
        <v/>
      </c>
      <c r="D58" s="51">
        <f>IF(A58&gt;Inputs!$C$62,"",IF(Inputs!$C$80=1,INDEX(Cohorts!$G$67:$G$326,A58),MAX(0, Inputs!$C$66 + Inputs!$C$67*L58 + Inputs!$C$68*(1-K58) + Inputs!$C$69*Inputs!$C$10)))</f>
        <v/>
      </c>
      <c r="E58" s="50">
        <f>IF(A58&gt;Inputs!$C$62,"",IF(Inputs!$C$80=1,INDEX(Cohorts!$H$67:$H$326,A58),D58*AD58))</f>
        <v/>
      </c>
      <c r="F58" s="50">
        <f>IF(A58&gt;Inputs!$C$62,"",IF(Inputs!$C$80=1,INDEX(Cohorts!$I$67:$I$326,A58),AD58-E58))</f>
        <v/>
      </c>
      <c r="G58" s="50">
        <f>IF(A58&gt;Inputs!$C$62,"",AD58)</f>
        <v/>
      </c>
      <c r="H58" s="50">
        <f>IF(A58&gt;Inputs!$C$62,"",INDEX(CapacityPlan!$E$7:$E$266,A58))</f>
        <v/>
      </c>
      <c r="I58" s="50">
        <f>IF(A58&gt;Inputs!$C$62,"",INDEX(CapacityPlan!$I$7:$I$266,A58))</f>
        <v/>
      </c>
      <c r="J58" s="50">
        <f>IF(A58&gt;Inputs!$C$62,"",IF(G58&gt;I58,I58,G58))</f>
        <v/>
      </c>
      <c r="K58" s="51">
        <f>IF(A58&gt;Inputs!$C$62,"",IF(G58=0,1,J58/G58))</f>
        <v/>
      </c>
      <c r="L58" s="51">
        <f>IF((Inputs!$C$36 + UnitEconomics!$B$12*Inputs!$C$37 + Inputs!$C$10*Inputs!$C$38 + Inputs!$C$70*(1-K58))&gt;1,1,(Inputs!$C$36 + UnitEconomics!$B$12*Inputs!$C$37 + Inputs!$C$10*Inputs!$C$38 + Inputs!$C$70*(1-K58)))</f>
        <v/>
      </c>
      <c r="M58" s="52">
        <f>IF(A58&gt;Inputs!$C$62,"",J58*Inputs!$C$7*(1-Inputs!$C$8)*(1-L58))</f>
        <v/>
      </c>
      <c r="N58" s="52">
        <f>IF(A58&gt;Inputs!$C$62,"",J58*UnitEconomics!$B$32*AI58 + (G58-J58)*Inputs!$C$71)</f>
        <v/>
      </c>
      <c r="O58" s="52">
        <f>M58-N58</f>
        <v/>
      </c>
      <c r="P58" s="52">
        <f>IF(A58&gt;Inputs!$C$62,"",Inputs!$C$40 + H58*Inputs!$C$41)</f>
        <v/>
      </c>
      <c r="Q58" s="52">
        <f>O58-P58</f>
        <v/>
      </c>
      <c r="R58" s="50">
        <f>IF(A58&gt;Inputs!$C$62,"",AD58*Inputs!$C$16*(Inputs!$C$9 + Inputs!$C$10*Inputs!$C$11 + Inputs!$C$12)*(1 + VLOOKUP(Inputs!$C$15,Lookups!$A$2:$B$20,2,TRUE)*(Scale!$B$9/IF(Scale!$B$8=0,1,Scale!$B$8)) + Inputs!$C$52))</f>
        <v/>
      </c>
      <c r="S58" s="50">
        <f>IF(A58=1,Scale!$B$13, W57)</f>
        <v/>
      </c>
      <c r="T58" s="50">
        <f>J58*Inputs!$C$16*(Inputs!$C$19 + Inputs!$C$20*Inputs!$C$21 + 1/Inputs!$C$18)</f>
        <v/>
      </c>
      <c r="U58" s="50">
        <f>MAX(0, (R58*(1+Inputs!$C$74)) - (S58 - T58))</f>
        <v/>
      </c>
      <c r="V58" s="50">
        <f>IF(A58&lt;=Inputs!$C$73,0,INDEX(U:U,ROW()-Inputs!$C$73))</f>
        <v/>
      </c>
      <c r="W58" s="50">
        <f>S58 - T58 + V58</f>
        <v/>
      </c>
      <c r="X58" s="52">
        <f>V58*Inputs!$C$17</f>
        <v/>
      </c>
      <c r="Y58" s="52">
        <f>IF(A58&gt;Inputs!$C$62,"",C58*AE58)</f>
        <v/>
      </c>
      <c r="Z58" s="52">
        <f>IF(A58=1,Inputs!$C$72,AA57)</f>
        <v/>
      </c>
      <c r="AA58" s="52">
        <f>Z58 + M58 - N58 - P58 - X58 - Y58</f>
        <v/>
      </c>
      <c r="AB58" s="53">
        <f>IF(AA58&lt;0,1,0)</f>
        <v/>
      </c>
      <c r="AC58" s="54">
        <f>IF(AD58=0,0,R58/(AD58*Inputs!$C$16))</f>
        <v/>
      </c>
      <c r="AD58" s="53">
        <f>IF(A58&gt;Inputs!$C$62,"",B58+C58)</f>
        <v/>
      </c>
      <c r="AE58" s="56">
        <f>IF(A58&gt;Inputs!$C$62,"", Inputs!$C$65*(1+Inputs!$C$89*POWER(MIN(1,IF(Inputs!$C$88=0,0,B58/Inputs!$C$88)),Inputs!$C$90)))</f>
        <v/>
      </c>
      <c r="AF58" s="52">
        <f>IF(A58&gt;Inputs!$C$62,"",IF(A58=1,Inputs!$C$86,MIN(Inputs!$C$86,Inputs!$C$87*M57)))</f>
        <v/>
      </c>
      <c r="AG58" s="51">
        <f>IF(A58&gt;Inputs!$C$62,"",MIN(0.5,MAX(0, Inputs!$C$67*L58 + Inputs!$C$68*(1-K58) + Inputs!$C$69*Inputs!$C$10)))</f>
        <v/>
      </c>
      <c r="AH58" s="51">
        <f>IF(A58&gt;Inputs!$C$62,"",INDEX(CapacityPlan!$G$7:$G$266,A58))</f>
        <v/>
      </c>
      <c r="AI58" s="54">
        <f>IF(A58&gt;Inputs!$C$62,"",INDEX(CapacityPlan!$J$7:$J$266,A58))</f>
        <v/>
      </c>
      <c r="AJ58" s="51">
        <f>IF(A58&gt;Inputs!$C$62,"",IF(I58=0,"",G58/I58))</f>
        <v/>
      </c>
    </row>
    <row r="59" ht="16" customHeight="1">
      <c r="A59" s="15" t="n">
        <v>37</v>
      </c>
      <c r="B59" s="50">
        <f>IF(A59&gt;Inputs!$C$62,"",IF(Inputs!$C$80=1,INDEX(Cohorts!$B$67:$B$326,A59),IF(A59=1,Inputs!$C$63,F58)))</f>
        <v/>
      </c>
      <c r="C59" s="50">
        <f>IF(A59&gt;Inputs!$C$62,"",IF(Inputs!$C$85=0,Inputs!$C$64,MIN(Inputs!$C$91,IF(AE59=0,0,AF59/AE59))))</f>
        <v/>
      </c>
      <c r="D59" s="51">
        <f>IF(A59&gt;Inputs!$C$62,"",IF(Inputs!$C$80=1,INDEX(Cohorts!$G$67:$G$326,A59),MAX(0, Inputs!$C$66 + Inputs!$C$67*L59 + Inputs!$C$68*(1-K59) + Inputs!$C$69*Inputs!$C$10)))</f>
        <v/>
      </c>
      <c r="E59" s="50">
        <f>IF(A59&gt;Inputs!$C$62,"",IF(Inputs!$C$80=1,INDEX(Cohorts!$H$67:$H$326,A59),D59*AD59))</f>
        <v/>
      </c>
      <c r="F59" s="50">
        <f>IF(A59&gt;Inputs!$C$62,"",IF(Inputs!$C$80=1,INDEX(Cohorts!$I$67:$I$326,A59),AD59-E59))</f>
        <v/>
      </c>
      <c r="G59" s="50">
        <f>IF(A59&gt;Inputs!$C$62,"",AD59)</f>
        <v/>
      </c>
      <c r="H59" s="50">
        <f>IF(A59&gt;Inputs!$C$62,"",INDEX(CapacityPlan!$E$7:$E$266,A59))</f>
        <v/>
      </c>
      <c r="I59" s="50">
        <f>IF(A59&gt;Inputs!$C$62,"",INDEX(CapacityPlan!$I$7:$I$266,A59))</f>
        <v/>
      </c>
      <c r="J59" s="50">
        <f>IF(A59&gt;Inputs!$C$62,"",IF(G59&gt;I59,I59,G59))</f>
        <v/>
      </c>
      <c r="K59" s="51">
        <f>IF(A59&gt;Inputs!$C$62,"",IF(G59=0,1,J59/G59))</f>
        <v/>
      </c>
      <c r="L59" s="51">
        <f>IF((Inputs!$C$36 + UnitEconomics!$B$12*Inputs!$C$37 + Inputs!$C$10*Inputs!$C$38 + Inputs!$C$70*(1-K59))&gt;1,1,(Inputs!$C$36 + UnitEconomics!$B$12*Inputs!$C$37 + Inputs!$C$10*Inputs!$C$38 + Inputs!$C$70*(1-K59)))</f>
        <v/>
      </c>
      <c r="M59" s="52">
        <f>IF(A59&gt;Inputs!$C$62,"",J59*Inputs!$C$7*(1-Inputs!$C$8)*(1-L59))</f>
        <v/>
      </c>
      <c r="N59" s="52">
        <f>IF(A59&gt;Inputs!$C$62,"",J59*UnitEconomics!$B$32*AI59 + (G59-J59)*Inputs!$C$71)</f>
        <v/>
      </c>
      <c r="O59" s="52">
        <f>M59-N59</f>
        <v/>
      </c>
      <c r="P59" s="52">
        <f>IF(A59&gt;Inputs!$C$62,"",Inputs!$C$40 + H59*Inputs!$C$41)</f>
        <v/>
      </c>
      <c r="Q59" s="52">
        <f>O59-P59</f>
        <v/>
      </c>
      <c r="R59" s="50">
        <f>IF(A59&gt;Inputs!$C$62,"",AD59*Inputs!$C$16*(Inputs!$C$9 + Inputs!$C$10*Inputs!$C$11 + Inputs!$C$12)*(1 + VLOOKUP(Inputs!$C$15,Lookups!$A$2:$B$20,2,TRUE)*(Scale!$B$9/IF(Scale!$B$8=0,1,Scale!$B$8)) + Inputs!$C$52))</f>
        <v/>
      </c>
      <c r="S59" s="50">
        <f>IF(A59=1,Scale!$B$13, W58)</f>
        <v/>
      </c>
      <c r="T59" s="50">
        <f>J59*Inputs!$C$16*(Inputs!$C$19 + Inputs!$C$20*Inputs!$C$21 + 1/Inputs!$C$18)</f>
        <v/>
      </c>
      <c r="U59" s="50">
        <f>MAX(0, (R59*(1+Inputs!$C$74)) - (S59 - T59))</f>
        <v/>
      </c>
      <c r="V59" s="50">
        <f>IF(A59&lt;=Inputs!$C$73,0,INDEX(U:U,ROW()-Inputs!$C$73))</f>
        <v/>
      </c>
      <c r="W59" s="50">
        <f>S59 - T59 + V59</f>
        <v/>
      </c>
      <c r="X59" s="52">
        <f>V59*Inputs!$C$17</f>
        <v/>
      </c>
      <c r="Y59" s="52">
        <f>IF(A59&gt;Inputs!$C$62,"",C59*AE59)</f>
        <v/>
      </c>
      <c r="Z59" s="52">
        <f>IF(A59=1,Inputs!$C$72,AA58)</f>
        <v/>
      </c>
      <c r="AA59" s="52">
        <f>Z59 + M59 - N59 - P59 - X59 - Y59</f>
        <v/>
      </c>
      <c r="AB59" s="53">
        <f>IF(AA59&lt;0,1,0)</f>
        <v/>
      </c>
      <c r="AC59" s="54">
        <f>IF(AD59=0,0,R59/(AD59*Inputs!$C$16))</f>
        <v/>
      </c>
      <c r="AD59" s="53">
        <f>IF(A59&gt;Inputs!$C$62,"",B59+C59)</f>
        <v/>
      </c>
      <c r="AE59" s="56">
        <f>IF(A59&gt;Inputs!$C$62,"", Inputs!$C$65*(1+Inputs!$C$89*POWER(MIN(1,IF(Inputs!$C$88=0,0,B59/Inputs!$C$88)),Inputs!$C$90)))</f>
        <v/>
      </c>
      <c r="AF59" s="52">
        <f>IF(A59&gt;Inputs!$C$62,"",IF(A59=1,Inputs!$C$86,MIN(Inputs!$C$86,Inputs!$C$87*M58)))</f>
        <v/>
      </c>
      <c r="AG59" s="51">
        <f>IF(A59&gt;Inputs!$C$62,"",MIN(0.5,MAX(0, Inputs!$C$67*L59 + Inputs!$C$68*(1-K59) + Inputs!$C$69*Inputs!$C$10)))</f>
        <v/>
      </c>
      <c r="AH59" s="51">
        <f>IF(A59&gt;Inputs!$C$62,"",INDEX(CapacityPlan!$G$7:$G$266,A59))</f>
        <v/>
      </c>
      <c r="AI59" s="54">
        <f>IF(A59&gt;Inputs!$C$62,"",INDEX(CapacityPlan!$J$7:$J$266,A59))</f>
        <v/>
      </c>
      <c r="AJ59" s="51">
        <f>IF(A59&gt;Inputs!$C$62,"",IF(I59=0,"",G59/I59))</f>
        <v/>
      </c>
    </row>
    <row r="60" ht="16" customHeight="1">
      <c r="A60" s="15" t="n">
        <v>38</v>
      </c>
      <c r="B60" s="50">
        <f>IF(A60&gt;Inputs!$C$62,"",IF(Inputs!$C$80=1,INDEX(Cohorts!$B$67:$B$326,A60),IF(A60=1,Inputs!$C$63,F59)))</f>
        <v/>
      </c>
      <c r="C60" s="50">
        <f>IF(A60&gt;Inputs!$C$62,"",IF(Inputs!$C$85=0,Inputs!$C$64,MIN(Inputs!$C$91,IF(AE60=0,0,AF60/AE60))))</f>
        <v/>
      </c>
      <c r="D60" s="51">
        <f>IF(A60&gt;Inputs!$C$62,"",IF(Inputs!$C$80=1,INDEX(Cohorts!$G$67:$G$326,A60),MAX(0, Inputs!$C$66 + Inputs!$C$67*L60 + Inputs!$C$68*(1-K60) + Inputs!$C$69*Inputs!$C$10)))</f>
        <v/>
      </c>
      <c r="E60" s="50">
        <f>IF(A60&gt;Inputs!$C$62,"",IF(Inputs!$C$80=1,INDEX(Cohorts!$H$67:$H$326,A60),D60*AD60))</f>
        <v/>
      </c>
      <c r="F60" s="50">
        <f>IF(A60&gt;Inputs!$C$62,"",IF(Inputs!$C$80=1,INDEX(Cohorts!$I$67:$I$326,A60),AD60-E60))</f>
        <v/>
      </c>
      <c r="G60" s="50">
        <f>IF(A60&gt;Inputs!$C$62,"",AD60)</f>
        <v/>
      </c>
      <c r="H60" s="50">
        <f>IF(A60&gt;Inputs!$C$62,"",INDEX(CapacityPlan!$E$7:$E$266,A60))</f>
        <v/>
      </c>
      <c r="I60" s="50">
        <f>IF(A60&gt;Inputs!$C$62,"",INDEX(CapacityPlan!$I$7:$I$266,A60))</f>
        <v/>
      </c>
      <c r="J60" s="50">
        <f>IF(A60&gt;Inputs!$C$62,"",IF(G60&gt;I60,I60,G60))</f>
        <v/>
      </c>
      <c r="K60" s="51">
        <f>IF(A60&gt;Inputs!$C$62,"",IF(G60=0,1,J60/G60))</f>
        <v/>
      </c>
      <c r="L60" s="51">
        <f>IF((Inputs!$C$36 + UnitEconomics!$B$12*Inputs!$C$37 + Inputs!$C$10*Inputs!$C$38 + Inputs!$C$70*(1-K60))&gt;1,1,(Inputs!$C$36 + UnitEconomics!$B$12*Inputs!$C$37 + Inputs!$C$10*Inputs!$C$38 + Inputs!$C$70*(1-K60)))</f>
        <v/>
      </c>
      <c r="M60" s="52">
        <f>IF(A60&gt;Inputs!$C$62,"",J60*Inputs!$C$7*(1-Inputs!$C$8)*(1-L60))</f>
        <v/>
      </c>
      <c r="N60" s="52">
        <f>IF(A60&gt;Inputs!$C$62,"",J60*UnitEconomics!$B$32*AI60 + (G60-J60)*Inputs!$C$71)</f>
        <v/>
      </c>
      <c r="O60" s="52">
        <f>M60-N60</f>
        <v/>
      </c>
      <c r="P60" s="52">
        <f>IF(A60&gt;Inputs!$C$62,"",Inputs!$C$40 + H60*Inputs!$C$41)</f>
        <v/>
      </c>
      <c r="Q60" s="52">
        <f>O60-P60</f>
        <v/>
      </c>
      <c r="R60" s="50">
        <f>IF(A60&gt;Inputs!$C$62,"",AD60*Inputs!$C$16*(Inputs!$C$9 + Inputs!$C$10*Inputs!$C$11 + Inputs!$C$12)*(1 + VLOOKUP(Inputs!$C$15,Lookups!$A$2:$B$20,2,TRUE)*(Scale!$B$9/IF(Scale!$B$8=0,1,Scale!$B$8)) + Inputs!$C$52))</f>
        <v/>
      </c>
      <c r="S60" s="50">
        <f>IF(A60=1,Scale!$B$13, W59)</f>
        <v/>
      </c>
      <c r="T60" s="50">
        <f>J60*Inputs!$C$16*(Inputs!$C$19 + Inputs!$C$20*Inputs!$C$21 + 1/Inputs!$C$18)</f>
        <v/>
      </c>
      <c r="U60" s="50">
        <f>MAX(0, (R60*(1+Inputs!$C$74)) - (S60 - T60))</f>
        <v/>
      </c>
      <c r="V60" s="50">
        <f>IF(A60&lt;=Inputs!$C$73,0,INDEX(U:U,ROW()-Inputs!$C$73))</f>
        <v/>
      </c>
      <c r="W60" s="50">
        <f>S60 - T60 + V60</f>
        <v/>
      </c>
      <c r="X60" s="52">
        <f>V60*Inputs!$C$17</f>
        <v/>
      </c>
      <c r="Y60" s="52">
        <f>IF(A60&gt;Inputs!$C$62,"",C60*AE60)</f>
        <v/>
      </c>
      <c r="Z60" s="52">
        <f>IF(A60=1,Inputs!$C$72,AA59)</f>
        <v/>
      </c>
      <c r="AA60" s="52">
        <f>Z60 + M60 - N60 - P60 - X60 - Y60</f>
        <v/>
      </c>
      <c r="AB60" s="53">
        <f>IF(AA60&lt;0,1,0)</f>
        <v/>
      </c>
      <c r="AC60" s="54">
        <f>IF(AD60=0,0,R60/(AD60*Inputs!$C$16))</f>
        <v/>
      </c>
      <c r="AD60" s="53">
        <f>IF(A60&gt;Inputs!$C$62,"",B60+C60)</f>
        <v/>
      </c>
      <c r="AE60" s="56">
        <f>IF(A60&gt;Inputs!$C$62,"", Inputs!$C$65*(1+Inputs!$C$89*POWER(MIN(1,IF(Inputs!$C$88=0,0,B60/Inputs!$C$88)),Inputs!$C$90)))</f>
        <v/>
      </c>
      <c r="AF60" s="52">
        <f>IF(A60&gt;Inputs!$C$62,"",IF(A60=1,Inputs!$C$86,MIN(Inputs!$C$86,Inputs!$C$87*M59)))</f>
        <v/>
      </c>
      <c r="AG60" s="51">
        <f>IF(A60&gt;Inputs!$C$62,"",MIN(0.5,MAX(0, Inputs!$C$67*L60 + Inputs!$C$68*(1-K60) + Inputs!$C$69*Inputs!$C$10)))</f>
        <v/>
      </c>
      <c r="AH60" s="51">
        <f>IF(A60&gt;Inputs!$C$62,"",INDEX(CapacityPlan!$G$7:$G$266,A60))</f>
        <v/>
      </c>
      <c r="AI60" s="54">
        <f>IF(A60&gt;Inputs!$C$62,"",INDEX(CapacityPlan!$J$7:$J$266,A60))</f>
        <v/>
      </c>
      <c r="AJ60" s="51">
        <f>IF(A60&gt;Inputs!$C$62,"",IF(I60=0,"",G60/I60))</f>
        <v/>
      </c>
    </row>
    <row r="61" ht="16" customHeight="1">
      <c r="A61" s="15" t="n">
        <v>39</v>
      </c>
      <c r="B61" s="50">
        <f>IF(A61&gt;Inputs!$C$62,"",IF(Inputs!$C$80=1,INDEX(Cohorts!$B$67:$B$326,A61),IF(A61=1,Inputs!$C$63,F60)))</f>
        <v/>
      </c>
      <c r="C61" s="50">
        <f>IF(A61&gt;Inputs!$C$62,"",IF(Inputs!$C$85=0,Inputs!$C$64,MIN(Inputs!$C$91,IF(AE61=0,0,AF61/AE61))))</f>
        <v/>
      </c>
      <c r="D61" s="51">
        <f>IF(A61&gt;Inputs!$C$62,"",IF(Inputs!$C$80=1,INDEX(Cohorts!$G$67:$G$326,A61),MAX(0, Inputs!$C$66 + Inputs!$C$67*L61 + Inputs!$C$68*(1-K61) + Inputs!$C$69*Inputs!$C$10)))</f>
        <v/>
      </c>
      <c r="E61" s="50">
        <f>IF(A61&gt;Inputs!$C$62,"",IF(Inputs!$C$80=1,INDEX(Cohorts!$H$67:$H$326,A61),D61*AD61))</f>
        <v/>
      </c>
      <c r="F61" s="50">
        <f>IF(A61&gt;Inputs!$C$62,"",IF(Inputs!$C$80=1,INDEX(Cohorts!$I$67:$I$326,A61),AD61-E61))</f>
        <v/>
      </c>
      <c r="G61" s="50">
        <f>IF(A61&gt;Inputs!$C$62,"",AD61)</f>
        <v/>
      </c>
      <c r="H61" s="50">
        <f>IF(A61&gt;Inputs!$C$62,"",INDEX(CapacityPlan!$E$7:$E$266,A61))</f>
        <v/>
      </c>
      <c r="I61" s="50">
        <f>IF(A61&gt;Inputs!$C$62,"",INDEX(CapacityPlan!$I$7:$I$266,A61))</f>
        <v/>
      </c>
      <c r="J61" s="50">
        <f>IF(A61&gt;Inputs!$C$62,"",IF(G61&gt;I61,I61,G61))</f>
        <v/>
      </c>
      <c r="K61" s="51">
        <f>IF(A61&gt;Inputs!$C$62,"",IF(G61=0,1,J61/G61))</f>
        <v/>
      </c>
      <c r="L61" s="51">
        <f>IF((Inputs!$C$36 + UnitEconomics!$B$12*Inputs!$C$37 + Inputs!$C$10*Inputs!$C$38 + Inputs!$C$70*(1-K61))&gt;1,1,(Inputs!$C$36 + UnitEconomics!$B$12*Inputs!$C$37 + Inputs!$C$10*Inputs!$C$38 + Inputs!$C$70*(1-K61)))</f>
        <v/>
      </c>
      <c r="M61" s="52">
        <f>IF(A61&gt;Inputs!$C$62,"",J61*Inputs!$C$7*(1-Inputs!$C$8)*(1-L61))</f>
        <v/>
      </c>
      <c r="N61" s="52">
        <f>IF(A61&gt;Inputs!$C$62,"",J61*UnitEconomics!$B$32*AI61 + (G61-J61)*Inputs!$C$71)</f>
        <v/>
      </c>
      <c r="O61" s="52">
        <f>M61-N61</f>
        <v/>
      </c>
      <c r="P61" s="52">
        <f>IF(A61&gt;Inputs!$C$62,"",Inputs!$C$40 + H61*Inputs!$C$41)</f>
        <v/>
      </c>
      <c r="Q61" s="52">
        <f>O61-P61</f>
        <v/>
      </c>
      <c r="R61" s="50">
        <f>IF(A61&gt;Inputs!$C$62,"",AD61*Inputs!$C$16*(Inputs!$C$9 + Inputs!$C$10*Inputs!$C$11 + Inputs!$C$12)*(1 + VLOOKUP(Inputs!$C$15,Lookups!$A$2:$B$20,2,TRUE)*(Scale!$B$9/IF(Scale!$B$8=0,1,Scale!$B$8)) + Inputs!$C$52))</f>
        <v/>
      </c>
      <c r="S61" s="50">
        <f>IF(A61=1,Scale!$B$13, W60)</f>
        <v/>
      </c>
      <c r="T61" s="50">
        <f>J61*Inputs!$C$16*(Inputs!$C$19 + Inputs!$C$20*Inputs!$C$21 + 1/Inputs!$C$18)</f>
        <v/>
      </c>
      <c r="U61" s="50">
        <f>MAX(0, (R61*(1+Inputs!$C$74)) - (S61 - T61))</f>
        <v/>
      </c>
      <c r="V61" s="50">
        <f>IF(A61&lt;=Inputs!$C$73,0,INDEX(U:U,ROW()-Inputs!$C$73))</f>
        <v/>
      </c>
      <c r="W61" s="50">
        <f>S61 - T61 + V61</f>
        <v/>
      </c>
      <c r="X61" s="52">
        <f>V61*Inputs!$C$17</f>
        <v/>
      </c>
      <c r="Y61" s="52">
        <f>IF(A61&gt;Inputs!$C$62,"",C61*AE61)</f>
        <v/>
      </c>
      <c r="Z61" s="52">
        <f>IF(A61=1,Inputs!$C$72,AA60)</f>
        <v/>
      </c>
      <c r="AA61" s="52">
        <f>Z61 + M61 - N61 - P61 - X61 - Y61</f>
        <v/>
      </c>
      <c r="AB61" s="53">
        <f>IF(AA61&lt;0,1,0)</f>
        <v/>
      </c>
      <c r="AC61" s="54">
        <f>IF(AD61=0,0,R61/(AD61*Inputs!$C$16))</f>
        <v/>
      </c>
      <c r="AD61" s="53">
        <f>IF(A61&gt;Inputs!$C$62,"",B61+C61)</f>
        <v/>
      </c>
      <c r="AE61" s="56">
        <f>IF(A61&gt;Inputs!$C$62,"", Inputs!$C$65*(1+Inputs!$C$89*POWER(MIN(1,IF(Inputs!$C$88=0,0,B61/Inputs!$C$88)),Inputs!$C$90)))</f>
        <v/>
      </c>
      <c r="AF61" s="52">
        <f>IF(A61&gt;Inputs!$C$62,"",IF(A61=1,Inputs!$C$86,MIN(Inputs!$C$86,Inputs!$C$87*M60)))</f>
        <v/>
      </c>
      <c r="AG61" s="51">
        <f>IF(A61&gt;Inputs!$C$62,"",MIN(0.5,MAX(0, Inputs!$C$67*L61 + Inputs!$C$68*(1-K61) + Inputs!$C$69*Inputs!$C$10)))</f>
        <v/>
      </c>
      <c r="AH61" s="51">
        <f>IF(A61&gt;Inputs!$C$62,"",INDEX(CapacityPlan!$G$7:$G$266,A61))</f>
        <v/>
      </c>
      <c r="AI61" s="54">
        <f>IF(A61&gt;Inputs!$C$62,"",INDEX(CapacityPlan!$J$7:$J$266,A61))</f>
        <v/>
      </c>
      <c r="AJ61" s="51">
        <f>IF(A61&gt;Inputs!$C$62,"",IF(I61=0,"",G61/I61))</f>
        <v/>
      </c>
    </row>
    <row r="62" ht="16" customHeight="1">
      <c r="A62" s="15" t="n">
        <v>40</v>
      </c>
      <c r="B62" s="50">
        <f>IF(A62&gt;Inputs!$C$62,"",IF(Inputs!$C$80=1,INDEX(Cohorts!$B$67:$B$326,A62),IF(A62=1,Inputs!$C$63,F61)))</f>
        <v/>
      </c>
      <c r="C62" s="50">
        <f>IF(A62&gt;Inputs!$C$62,"",IF(Inputs!$C$85=0,Inputs!$C$64,MIN(Inputs!$C$91,IF(AE62=0,0,AF62/AE62))))</f>
        <v/>
      </c>
      <c r="D62" s="51">
        <f>IF(A62&gt;Inputs!$C$62,"",IF(Inputs!$C$80=1,INDEX(Cohorts!$G$67:$G$326,A62),MAX(0, Inputs!$C$66 + Inputs!$C$67*L62 + Inputs!$C$68*(1-K62) + Inputs!$C$69*Inputs!$C$10)))</f>
        <v/>
      </c>
      <c r="E62" s="50">
        <f>IF(A62&gt;Inputs!$C$62,"",IF(Inputs!$C$80=1,INDEX(Cohorts!$H$67:$H$326,A62),D62*AD62))</f>
        <v/>
      </c>
      <c r="F62" s="50">
        <f>IF(A62&gt;Inputs!$C$62,"",IF(Inputs!$C$80=1,INDEX(Cohorts!$I$67:$I$326,A62),AD62-E62))</f>
        <v/>
      </c>
      <c r="G62" s="50">
        <f>IF(A62&gt;Inputs!$C$62,"",AD62)</f>
        <v/>
      </c>
      <c r="H62" s="50">
        <f>IF(A62&gt;Inputs!$C$62,"",INDEX(CapacityPlan!$E$7:$E$266,A62))</f>
        <v/>
      </c>
      <c r="I62" s="50">
        <f>IF(A62&gt;Inputs!$C$62,"",INDEX(CapacityPlan!$I$7:$I$266,A62))</f>
        <v/>
      </c>
      <c r="J62" s="50">
        <f>IF(A62&gt;Inputs!$C$62,"",IF(G62&gt;I62,I62,G62))</f>
        <v/>
      </c>
      <c r="K62" s="51">
        <f>IF(A62&gt;Inputs!$C$62,"",IF(G62=0,1,J62/G62))</f>
        <v/>
      </c>
      <c r="L62" s="51">
        <f>IF((Inputs!$C$36 + UnitEconomics!$B$12*Inputs!$C$37 + Inputs!$C$10*Inputs!$C$38 + Inputs!$C$70*(1-K62))&gt;1,1,(Inputs!$C$36 + UnitEconomics!$B$12*Inputs!$C$37 + Inputs!$C$10*Inputs!$C$38 + Inputs!$C$70*(1-K62)))</f>
        <v/>
      </c>
      <c r="M62" s="52">
        <f>IF(A62&gt;Inputs!$C$62,"",J62*Inputs!$C$7*(1-Inputs!$C$8)*(1-L62))</f>
        <v/>
      </c>
      <c r="N62" s="52">
        <f>IF(A62&gt;Inputs!$C$62,"",J62*UnitEconomics!$B$32*AI62 + (G62-J62)*Inputs!$C$71)</f>
        <v/>
      </c>
      <c r="O62" s="52">
        <f>M62-N62</f>
        <v/>
      </c>
      <c r="P62" s="52">
        <f>IF(A62&gt;Inputs!$C$62,"",Inputs!$C$40 + H62*Inputs!$C$41)</f>
        <v/>
      </c>
      <c r="Q62" s="52">
        <f>O62-P62</f>
        <v/>
      </c>
      <c r="R62" s="50">
        <f>IF(A62&gt;Inputs!$C$62,"",AD62*Inputs!$C$16*(Inputs!$C$9 + Inputs!$C$10*Inputs!$C$11 + Inputs!$C$12)*(1 + VLOOKUP(Inputs!$C$15,Lookups!$A$2:$B$20,2,TRUE)*(Scale!$B$9/IF(Scale!$B$8=0,1,Scale!$B$8)) + Inputs!$C$52))</f>
        <v/>
      </c>
      <c r="S62" s="50">
        <f>IF(A62=1,Scale!$B$13, W61)</f>
        <v/>
      </c>
      <c r="T62" s="50">
        <f>J62*Inputs!$C$16*(Inputs!$C$19 + Inputs!$C$20*Inputs!$C$21 + 1/Inputs!$C$18)</f>
        <v/>
      </c>
      <c r="U62" s="50">
        <f>MAX(0, (R62*(1+Inputs!$C$74)) - (S62 - T62))</f>
        <v/>
      </c>
      <c r="V62" s="50">
        <f>IF(A62&lt;=Inputs!$C$73,0,INDEX(U:U,ROW()-Inputs!$C$73))</f>
        <v/>
      </c>
      <c r="W62" s="50">
        <f>S62 - T62 + V62</f>
        <v/>
      </c>
      <c r="X62" s="52">
        <f>V62*Inputs!$C$17</f>
        <v/>
      </c>
      <c r="Y62" s="52">
        <f>IF(A62&gt;Inputs!$C$62,"",C62*AE62)</f>
        <v/>
      </c>
      <c r="Z62" s="52">
        <f>IF(A62=1,Inputs!$C$72,AA61)</f>
        <v/>
      </c>
      <c r="AA62" s="52">
        <f>Z62 + M62 - N62 - P62 - X62 - Y62</f>
        <v/>
      </c>
      <c r="AB62" s="53">
        <f>IF(AA62&lt;0,1,0)</f>
        <v/>
      </c>
      <c r="AC62" s="54">
        <f>IF(AD62=0,0,R62/(AD62*Inputs!$C$16))</f>
        <v/>
      </c>
      <c r="AD62" s="53">
        <f>IF(A62&gt;Inputs!$C$62,"",B62+C62)</f>
        <v/>
      </c>
      <c r="AE62" s="56">
        <f>IF(A62&gt;Inputs!$C$62,"", Inputs!$C$65*(1+Inputs!$C$89*POWER(MIN(1,IF(Inputs!$C$88=0,0,B62/Inputs!$C$88)),Inputs!$C$90)))</f>
        <v/>
      </c>
      <c r="AF62" s="52">
        <f>IF(A62&gt;Inputs!$C$62,"",IF(A62=1,Inputs!$C$86,MIN(Inputs!$C$86,Inputs!$C$87*M61)))</f>
        <v/>
      </c>
      <c r="AG62" s="51">
        <f>IF(A62&gt;Inputs!$C$62,"",MIN(0.5,MAX(0, Inputs!$C$67*L62 + Inputs!$C$68*(1-K62) + Inputs!$C$69*Inputs!$C$10)))</f>
        <v/>
      </c>
      <c r="AH62" s="51">
        <f>IF(A62&gt;Inputs!$C$62,"",INDEX(CapacityPlan!$G$7:$G$266,A62))</f>
        <v/>
      </c>
      <c r="AI62" s="54">
        <f>IF(A62&gt;Inputs!$C$62,"",INDEX(CapacityPlan!$J$7:$J$266,A62))</f>
        <v/>
      </c>
      <c r="AJ62" s="51">
        <f>IF(A62&gt;Inputs!$C$62,"",IF(I62=0,"",G62/I62))</f>
        <v/>
      </c>
    </row>
    <row r="63" ht="16" customHeight="1">
      <c r="A63" s="15" t="n">
        <v>41</v>
      </c>
      <c r="B63" s="50">
        <f>IF(A63&gt;Inputs!$C$62,"",IF(Inputs!$C$80=1,INDEX(Cohorts!$B$67:$B$326,A63),IF(A63=1,Inputs!$C$63,F62)))</f>
        <v/>
      </c>
      <c r="C63" s="50">
        <f>IF(A63&gt;Inputs!$C$62,"",IF(Inputs!$C$85=0,Inputs!$C$64,MIN(Inputs!$C$91,IF(AE63=0,0,AF63/AE63))))</f>
        <v/>
      </c>
      <c r="D63" s="51">
        <f>IF(A63&gt;Inputs!$C$62,"",IF(Inputs!$C$80=1,INDEX(Cohorts!$G$67:$G$326,A63),MAX(0, Inputs!$C$66 + Inputs!$C$67*L63 + Inputs!$C$68*(1-K63) + Inputs!$C$69*Inputs!$C$10)))</f>
        <v/>
      </c>
      <c r="E63" s="50">
        <f>IF(A63&gt;Inputs!$C$62,"",IF(Inputs!$C$80=1,INDEX(Cohorts!$H$67:$H$326,A63),D63*AD63))</f>
        <v/>
      </c>
      <c r="F63" s="50">
        <f>IF(A63&gt;Inputs!$C$62,"",IF(Inputs!$C$80=1,INDEX(Cohorts!$I$67:$I$326,A63),AD63-E63))</f>
        <v/>
      </c>
      <c r="G63" s="50">
        <f>IF(A63&gt;Inputs!$C$62,"",AD63)</f>
        <v/>
      </c>
      <c r="H63" s="50">
        <f>IF(A63&gt;Inputs!$C$62,"",INDEX(CapacityPlan!$E$7:$E$266,A63))</f>
        <v/>
      </c>
      <c r="I63" s="50">
        <f>IF(A63&gt;Inputs!$C$62,"",INDEX(CapacityPlan!$I$7:$I$266,A63))</f>
        <v/>
      </c>
      <c r="J63" s="50">
        <f>IF(A63&gt;Inputs!$C$62,"",IF(G63&gt;I63,I63,G63))</f>
        <v/>
      </c>
      <c r="K63" s="51">
        <f>IF(A63&gt;Inputs!$C$62,"",IF(G63=0,1,J63/G63))</f>
        <v/>
      </c>
      <c r="L63" s="51">
        <f>IF((Inputs!$C$36 + UnitEconomics!$B$12*Inputs!$C$37 + Inputs!$C$10*Inputs!$C$38 + Inputs!$C$70*(1-K63))&gt;1,1,(Inputs!$C$36 + UnitEconomics!$B$12*Inputs!$C$37 + Inputs!$C$10*Inputs!$C$38 + Inputs!$C$70*(1-K63)))</f>
        <v/>
      </c>
      <c r="M63" s="52">
        <f>IF(A63&gt;Inputs!$C$62,"",J63*Inputs!$C$7*(1-Inputs!$C$8)*(1-L63))</f>
        <v/>
      </c>
      <c r="N63" s="52">
        <f>IF(A63&gt;Inputs!$C$62,"",J63*UnitEconomics!$B$32*AI63 + (G63-J63)*Inputs!$C$71)</f>
        <v/>
      </c>
      <c r="O63" s="52">
        <f>M63-N63</f>
        <v/>
      </c>
      <c r="P63" s="52">
        <f>IF(A63&gt;Inputs!$C$62,"",Inputs!$C$40 + H63*Inputs!$C$41)</f>
        <v/>
      </c>
      <c r="Q63" s="52">
        <f>O63-P63</f>
        <v/>
      </c>
      <c r="R63" s="50">
        <f>IF(A63&gt;Inputs!$C$62,"",AD63*Inputs!$C$16*(Inputs!$C$9 + Inputs!$C$10*Inputs!$C$11 + Inputs!$C$12)*(1 + VLOOKUP(Inputs!$C$15,Lookups!$A$2:$B$20,2,TRUE)*(Scale!$B$9/IF(Scale!$B$8=0,1,Scale!$B$8)) + Inputs!$C$52))</f>
        <v/>
      </c>
      <c r="S63" s="50">
        <f>IF(A63=1,Scale!$B$13, W62)</f>
        <v/>
      </c>
      <c r="T63" s="50">
        <f>J63*Inputs!$C$16*(Inputs!$C$19 + Inputs!$C$20*Inputs!$C$21 + 1/Inputs!$C$18)</f>
        <v/>
      </c>
      <c r="U63" s="50">
        <f>MAX(0, (R63*(1+Inputs!$C$74)) - (S63 - T63))</f>
        <v/>
      </c>
      <c r="V63" s="50">
        <f>IF(A63&lt;=Inputs!$C$73,0,INDEX(U:U,ROW()-Inputs!$C$73))</f>
        <v/>
      </c>
      <c r="W63" s="50">
        <f>S63 - T63 + V63</f>
        <v/>
      </c>
      <c r="X63" s="52">
        <f>V63*Inputs!$C$17</f>
        <v/>
      </c>
      <c r="Y63" s="52">
        <f>IF(A63&gt;Inputs!$C$62,"",C63*AE63)</f>
        <v/>
      </c>
      <c r="Z63" s="52">
        <f>IF(A63=1,Inputs!$C$72,AA62)</f>
        <v/>
      </c>
      <c r="AA63" s="52">
        <f>Z63 + M63 - N63 - P63 - X63 - Y63</f>
        <v/>
      </c>
      <c r="AB63" s="53">
        <f>IF(AA63&lt;0,1,0)</f>
        <v/>
      </c>
      <c r="AC63" s="54">
        <f>IF(AD63=0,0,R63/(AD63*Inputs!$C$16))</f>
        <v/>
      </c>
      <c r="AD63" s="53">
        <f>IF(A63&gt;Inputs!$C$62,"",B63+C63)</f>
        <v/>
      </c>
      <c r="AE63" s="56">
        <f>IF(A63&gt;Inputs!$C$62,"", Inputs!$C$65*(1+Inputs!$C$89*POWER(MIN(1,IF(Inputs!$C$88=0,0,B63/Inputs!$C$88)),Inputs!$C$90)))</f>
        <v/>
      </c>
      <c r="AF63" s="52">
        <f>IF(A63&gt;Inputs!$C$62,"",IF(A63=1,Inputs!$C$86,MIN(Inputs!$C$86,Inputs!$C$87*M62)))</f>
        <v/>
      </c>
      <c r="AG63" s="51">
        <f>IF(A63&gt;Inputs!$C$62,"",MIN(0.5,MAX(0, Inputs!$C$67*L63 + Inputs!$C$68*(1-K63) + Inputs!$C$69*Inputs!$C$10)))</f>
        <v/>
      </c>
      <c r="AH63" s="51">
        <f>IF(A63&gt;Inputs!$C$62,"",INDEX(CapacityPlan!$G$7:$G$266,A63))</f>
        <v/>
      </c>
      <c r="AI63" s="54">
        <f>IF(A63&gt;Inputs!$C$62,"",INDEX(CapacityPlan!$J$7:$J$266,A63))</f>
        <v/>
      </c>
      <c r="AJ63" s="51">
        <f>IF(A63&gt;Inputs!$C$62,"",IF(I63=0,"",G63/I63))</f>
        <v/>
      </c>
    </row>
    <row r="64" ht="16" customHeight="1">
      <c r="A64" s="15" t="n">
        <v>42</v>
      </c>
      <c r="B64" s="50">
        <f>IF(A64&gt;Inputs!$C$62,"",IF(Inputs!$C$80=1,INDEX(Cohorts!$B$67:$B$326,A64),IF(A64=1,Inputs!$C$63,F63)))</f>
        <v/>
      </c>
      <c r="C64" s="50">
        <f>IF(A64&gt;Inputs!$C$62,"",IF(Inputs!$C$85=0,Inputs!$C$64,MIN(Inputs!$C$91,IF(AE64=0,0,AF64/AE64))))</f>
        <v/>
      </c>
      <c r="D64" s="51">
        <f>IF(A64&gt;Inputs!$C$62,"",IF(Inputs!$C$80=1,INDEX(Cohorts!$G$67:$G$326,A64),MAX(0, Inputs!$C$66 + Inputs!$C$67*L64 + Inputs!$C$68*(1-K64) + Inputs!$C$69*Inputs!$C$10)))</f>
        <v/>
      </c>
      <c r="E64" s="50">
        <f>IF(A64&gt;Inputs!$C$62,"",IF(Inputs!$C$80=1,INDEX(Cohorts!$H$67:$H$326,A64),D64*AD64))</f>
        <v/>
      </c>
      <c r="F64" s="50">
        <f>IF(A64&gt;Inputs!$C$62,"",IF(Inputs!$C$80=1,INDEX(Cohorts!$I$67:$I$326,A64),AD64-E64))</f>
        <v/>
      </c>
      <c r="G64" s="50">
        <f>IF(A64&gt;Inputs!$C$62,"",AD64)</f>
        <v/>
      </c>
      <c r="H64" s="50">
        <f>IF(A64&gt;Inputs!$C$62,"",INDEX(CapacityPlan!$E$7:$E$266,A64))</f>
        <v/>
      </c>
      <c r="I64" s="50">
        <f>IF(A64&gt;Inputs!$C$62,"",INDEX(CapacityPlan!$I$7:$I$266,A64))</f>
        <v/>
      </c>
      <c r="J64" s="50">
        <f>IF(A64&gt;Inputs!$C$62,"",IF(G64&gt;I64,I64,G64))</f>
        <v/>
      </c>
      <c r="K64" s="51">
        <f>IF(A64&gt;Inputs!$C$62,"",IF(G64=0,1,J64/G64))</f>
        <v/>
      </c>
      <c r="L64" s="51">
        <f>IF((Inputs!$C$36 + UnitEconomics!$B$12*Inputs!$C$37 + Inputs!$C$10*Inputs!$C$38 + Inputs!$C$70*(1-K64))&gt;1,1,(Inputs!$C$36 + UnitEconomics!$B$12*Inputs!$C$37 + Inputs!$C$10*Inputs!$C$38 + Inputs!$C$70*(1-K64)))</f>
        <v/>
      </c>
      <c r="M64" s="52">
        <f>IF(A64&gt;Inputs!$C$62,"",J64*Inputs!$C$7*(1-Inputs!$C$8)*(1-L64))</f>
        <v/>
      </c>
      <c r="N64" s="52">
        <f>IF(A64&gt;Inputs!$C$62,"",J64*UnitEconomics!$B$32*AI64 + (G64-J64)*Inputs!$C$71)</f>
        <v/>
      </c>
      <c r="O64" s="52">
        <f>M64-N64</f>
        <v/>
      </c>
      <c r="P64" s="52">
        <f>IF(A64&gt;Inputs!$C$62,"",Inputs!$C$40 + H64*Inputs!$C$41)</f>
        <v/>
      </c>
      <c r="Q64" s="52">
        <f>O64-P64</f>
        <v/>
      </c>
      <c r="R64" s="50">
        <f>IF(A64&gt;Inputs!$C$62,"",AD64*Inputs!$C$16*(Inputs!$C$9 + Inputs!$C$10*Inputs!$C$11 + Inputs!$C$12)*(1 + VLOOKUP(Inputs!$C$15,Lookups!$A$2:$B$20,2,TRUE)*(Scale!$B$9/IF(Scale!$B$8=0,1,Scale!$B$8)) + Inputs!$C$52))</f>
        <v/>
      </c>
      <c r="S64" s="50">
        <f>IF(A64=1,Scale!$B$13, W63)</f>
        <v/>
      </c>
      <c r="T64" s="50">
        <f>J64*Inputs!$C$16*(Inputs!$C$19 + Inputs!$C$20*Inputs!$C$21 + 1/Inputs!$C$18)</f>
        <v/>
      </c>
      <c r="U64" s="50">
        <f>MAX(0, (R64*(1+Inputs!$C$74)) - (S64 - T64))</f>
        <v/>
      </c>
      <c r="V64" s="50">
        <f>IF(A64&lt;=Inputs!$C$73,0,INDEX(U:U,ROW()-Inputs!$C$73))</f>
        <v/>
      </c>
      <c r="W64" s="50">
        <f>S64 - T64 + V64</f>
        <v/>
      </c>
      <c r="X64" s="52">
        <f>V64*Inputs!$C$17</f>
        <v/>
      </c>
      <c r="Y64" s="52">
        <f>IF(A64&gt;Inputs!$C$62,"",C64*AE64)</f>
        <v/>
      </c>
      <c r="Z64" s="52">
        <f>IF(A64=1,Inputs!$C$72,AA63)</f>
        <v/>
      </c>
      <c r="AA64" s="52">
        <f>Z64 + M64 - N64 - P64 - X64 - Y64</f>
        <v/>
      </c>
      <c r="AB64" s="53">
        <f>IF(AA64&lt;0,1,0)</f>
        <v/>
      </c>
      <c r="AC64" s="54">
        <f>IF(AD64=0,0,R64/(AD64*Inputs!$C$16))</f>
        <v/>
      </c>
      <c r="AD64" s="53">
        <f>IF(A64&gt;Inputs!$C$62,"",B64+C64)</f>
        <v/>
      </c>
      <c r="AE64" s="56">
        <f>IF(A64&gt;Inputs!$C$62,"", Inputs!$C$65*(1+Inputs!$C$89*POWER(MIN(1,IF(Inputs!$C$88=0,0,B64/Inputs!$C$88)),Inputs!$C$90)))</f>
        <v/>
      </c>
      <c r="AF64" s="52">
        <f>IF(A64&gt;Inputs!$C$62,"",IF(A64=1,Inputs!$C$86,MIN(Inputs!$C$86,Inputs!$C$87*M63)))</f>
        <v/>
      </c>
      <c r="AG64" s="51">
        <f>IF(A64&gt;Inputs!$C$62,"",MIN(0.5,MAX(0, Inputs!$C$67*L64 + Inputs!$C$68*(1-K64) + Inputs!$C$69*Inputs!$C$10)))</f>
        <v/>
      </c>
      <c r="AH64" s="51">
        <f>IF(A64&gt;Inputs!$C$62,"",INDEX(CapacityPlan!$G$7:$G$266,A64))</f>
        <v/>
      </c>
      <c r="AI64" s="54">
        <f>IF(A64&gt;Inputs!$C$62,"",INDEX(CapacityPlan!$J$7:$J$266,A64))</f>
        <v/>
      </c>
      <c r="AJ64" s="51">
        <f>IF(A64&gt;Inputs!$C$62,"",IF(I64=0,"",G64/I64))</f>
        <v/>
      </c>
    </row>
    <row r="65" ht="16" customHeight="1">
      <c r="A65" s="15" t="n">
        <v>43</v>
      </c>
      <c r="B65" s="50">
        <f>IF(A65&gt;Inputs!$C$62,"",IF(Inputs!$C$80=1,INDEX(Cohorts!$B$67:$B$326,A65),IF(A65=1,Inputs!$C$63,F64)))</f>
        <v/>
      </c>
      <c r="C65" s="50">
        <f>IF(A65&gt;Inputs!$C$62,"",IF(Inputs!$C$85=0,Inputs!$C$64,MIN(Inputs!$C$91,IF(AE65=0,0,AF65/AE65))))</f>
        <v/>
      </c>
      <c r="D65" s="51">
        <f>IF(A65&gt;Inputs!$C$62,"",IF(Inputs!$C$80=1,INDEX(Cohorts!$G$67:$G$326,A65),MAX(0, Inputs!$C$66 + Inputs!$C$67*L65 + Inputs!$C$68*(1-K65) + Inputs!$C$69*Inputs!$C$10)))</f>
        <v/>
      </c>
      <c r="E65" s="50">
        <f>IF(A65&gt;Inputs!$C$62,"",IF(Inputs!$C$80=1,INDEX(Cohorts!$H$67:$H$326,A65),D65*AD65))</f>
        <v/>
      </c>
      <c r="F65" s="50">
        <f>IF(A65&gt;Inputs!$C$62,"",IF(Inputs!$C$80=1,INDEX(Cohorts!$I$67:$I$326,A65),AD65-E65))</f>
        <v/>
      </c>
      <c r="G65" s="50">
        <f>IF(A65&gt;Inputs!$C$62,"",AD65)</f>
        <v/>
      </c>
      <c r="H65" s="50">
        <f>IF(A65&gt;Inputs!$C$62,"",INDEX(CapacityPlan!$E$7:$E$266,A65))</f>
        <v/>
      </c>
      <c r="I65" s="50">
        <f>IF(A65&gt;Inputs!$C$62,"",INDEX(CapacityPlan!$I$7:$I$266,A65))</f>
        <v/>
      </c>
      <c r="J65" s="50">
        <f>IF(A65&gt;Inputs!$C$62,"",IF(G65&gt;I65,I65,G65))</f>
        <v/>
      </c>
      <c r="K65" s="51">
        <f>IF(A65&gt;Inputs!$C$62,"",IF(G65=0,1,J65/G65))</f>
        <v/>
      </c>
      <c r="L65" s="51">
        <f>IF((Inputs!$C$36 + UnitEconomics!$B$12*Inputs!$C$37 + Inputs!$C$10*Inputs!$C$38 + Inputs!$C$70*(1-K65))&gt;1,1,(Inputs!$C$36 + UnitEconomics!$B$12*Inputs!$C$37 + Inputs!$C$10*Inputs!$C$38 + Inputs!$C$70*(1-K65)))</f>
        <v/>
      </c>
      <c r="M65" s="52">
        <f>IF(A65&gt;Inputs!$C$62,"",J65*Inputs!$C$7*(1-Inputs!$C$8)*(1-L65))</f>
        <v/>
      </c>
      <c r="N65" s="52">
        <f>IF(A65&gt;Inputs!$C$62,"",J65*UnitEconomics!$B$32*AI65 + (G65-J65)*Inputs!$C$71)</f>
        <v/>
      </c>
      <c r="O65" s="52">
        <f>M65-N65</f>
        <v/>
      </c>
      <c r="P65" s="52">
        <f>IF(A65&gt;Inputs!$C$62,"",Inputs!$C$40 + H65*Inputs!$C$41)</f>
        <v/>
      </c>
      <c r="Q65" s="52">
        <f>O65-P65</f>
        <v/>
      </c>
      <c r="R65" s="50">
        <f>IF(A65&gt;Inputs!$C$62,"",AD65*Inputs!$C$16*(Inputs!$C$9 + Inputs!$C$10*Inputs!$C$11 + Inputs!$C$12)*(1 + VLOOKUP(Inputs!$C$15,Lookups!$A$2:$B$20,2,TRUE)*(Scale!$B$9/IF(Scale!$B$8=0,1,Scale!$B$8)) + Inputs!$C$52))</f>
        <v/>
      </c>
      <c r="S65" s="50">
        <f>IF(A65=1,Scale!$B$13, W64)</f>
        <v/>
      </c>
      <c r="T65" s="50">
        <f>J65*Inputs!$C$16*(Inputs!$C$19 + Inputs!$C$20*Inputs!$C$21 + 1/Inputs!$C$18)</f>
        <v/>
      </c>
      <c r="U65" s="50">
        <f>MAX(0, (R65*(1+Inputs!$C$74)) - (S65 - T65))</f>
        <v/>
      </c>
      <c r="V65" s="50">
        <f>IF(A65&lt;=Inputs!$C$73,0,INDEX(U:U,ROW()-Inputs!$C$73))</f>
        <v/>
      </c>
      <c r="W65" s="50">
        <f>S65 - T65 + V65</f>
        <v/>
      </c>
      <c r="X65" s="52">
        <f>V65*Inputs!$C$17</f>
        <v/>
      </c>
      <c r="Y65" s="52">
        <f>IF(A65&gt;Inputs!$C$62,"",C65*AE65)</f>
        <v/>
      </c>
      <c r="Z65" s="52">
        <f>IF(A65=1,Inputs!$C$72,AA64)</f>
        <v/>
      </c>
      <c r="AA65" s="52">
        <f>Z65 + M65 - N65 - P65 - X65 - Y65</f>
        <v/>
      </c>
      <c r="AB65" s="53">
        <f>IF(AA65&lt;0,1,0)</f>
        <v/>
      </c>
      <c r="AC65" s="54">
        <f>IF(AD65=0,0,R65/(AD65*Inputs!$C$16))</f>
        <v/>
      </c>
      <c r="AD65" s="53">
        <f>IF(A65&gt;Inputs!$C$62,"",B65+C65)</f>
        <v/>
      </c>
      <c r="AE65" s="56">
        <f>IF(A65&gt;Inputs!$C$62,"", Inputs!$C$65*(1+Inputs!$C$89*POWER(MIN(1,IF(Inputs!$C$88=0,0,B65/Inputs!$C$88)),Inputs!$C$90)))</f>
        <v/>
      </c>
      <c r="AF65" s="52">
        <f>IF(A65&gt;Inputs!$C$62,"",IF(A65=1,Inputs!$C$86,MIN(Inputs!$C$86,Inputs!$C$87*M64)))</f>
        <v/>
      </c>
      <c r="AG65" s="51">
        <f>IF(A65&gt;Inputs!$C$62,"",MIN(0.5,MAX(0, Inputs!$C$67*L65 + Inputs!$C$68*(1-K65) + Inputs!$C$69*Inputs!$C$10)))</f>
        <v/>
      </c>
      <c r="AH65" s="51">
        <f>IF(A65&gt;Inputs!$C$62,"",INDEX(CapacityPlan!$G$7:$G$266,A65))</f>
        <v/>
      </c>
      <c r="AI65" s="54">
        <f>IF(A65&gt;Inputs!$C$62,"",INDEX(CapacityPlan!$J$7:$J$266,A65))</f>
        <v/>
      </c>
      <c r="AJ65" s="51">
        <f>IF(A65&gt;Inputs!$C$62,"",IF(I65=0,"",G65/I65))</f>
        <v/>
      </c>
    </row>
    <row r="66" ht="16" customHeight="1">
      <c r="A66" s="15" t="n">
        <v>44</v>
      </c>
      <c r="B66" s="50">
        <f>IF(A66&gt;Inputs!$C$62,"",IF(Inputs!$C$80=1,INDEX(Cohorts!$B$67:$B$326,A66),IF(A66=1,Inputs!$C$63,F65)))</f>
        <v/>
      </c>
      <c r="C66" s="50">
        <f>IF(A66&gt;Inputs!$C$62,"",IF(Inputs!$C$85=0,Inputs!$C$64,MIN(Inputs!$C$91,IF(AE66=0,0,AF66/AE66))))</f>
        <v/>
      </c>
      <c r="D66" s="51">
        <f>IF(A66&gt;Inputs!$C$62,"",IF(Inputs!$C$80=1,INDEX(Cohorts!$G$67:$G$326,A66),MAX(0, Inputs!$C$66 + Inputs!$C$67*L66 + Inputs!$C$68*(1-K66) + Inputs!$C$69*Inputs!$C$10)))</f>
        <v/>
      </c>
      <c r="E66" s="50">
        <f>IF(A66&gt;Inputs!$C$62,"",IF(Inputs!$C$80=1,INDEX(Cohorts!$H$67:$H$326,A66),D66*AD66))</f>
        <v/>
      </c>
      <c r="F66" s="50">
        <f>IF(A66&gt;Inputs!$C$62,"",IF(Inputs!$C$80=1,INDEX(Cohorts!$I$67:$I$326,A66),AD66-E66))</f>
        <v/>
      </c>
      <c r="G66" s="50">
        <f>IF(A66&gt;Inputs!$C$62,"",AD66)</f>
        <v/>
      </c>
      <c r="H66" s="50">
        <f>IF(A66&gt;Inputs!$C$62,"",INDEX(CapacityPlan!$E$7:$E$266,A66))</f>
        <v/>
      </c>
      <c r="I66" s="50">
        <f>IF(A66&gt;Inputs!$C$62,"",INDEX(CapacityPlan!$I$7:$I$266,A66))</f>
        <v/>
      </c>
      <c r="J66" s="50">
        <f>IF(A66&gt;Inputs!$C$62,"",IF(G66&gt;I66,I66,G66))</f>
        <v/>
      </c>
      <c r="K66" s="51">
        <f>IF(A66&gt;Inputs!$C$62,"",IF(G66=0,1,J66/G66))</f>
        <v/>
      </c>
      <c r="L66" s="51">
        <f>IF((Inputs!$C$36 + UnitEconomics!$B$12*Inputs!$C$37 + Inputs!$C$10*Inputs!$C$38 + Inputs!$C$70*(1-K66))&gt;1,1,(Inputs!$C$36 + UnitEconomics!$B$12*Inputs!$C$37 + Inputs!$C$10*Inputs!$C$38 + Inputs!$C$70*(1-K66)))</f>
        <v/>
      </c>
      <c r="M66" s="52">
        <f>IF(A66&gt;Inputs!$C$62,"",J66*Inputs!$C$7*(1-Inputs!$C$8)*(1-L66))</f>
        <v/>
      </c>
      <c r="N66" s="52">
        <f>IF(A66&gt;Inputs!$C$62,"",J66*UnitEconomics!$B$32*AI66 + (G66-J66)*Inputs!$C$71)</f>
        <v/>
      </c>
      <c r="O66" s="52">
        <f>M66-N66</f>
        <v/>
      </c>
      <c r="P66" s="52">
        <f>IF(A66&gt;Inputs!$C$62,"",Inputs!$C$40 + H66*Inputs!$C$41)</f>
        <v/>
      </c>
      <c r="Q66" s="52">
        <f>O66-P66</f>
        <v/>
      </c>
      <c r="R66" s="50">
        <f>IF(A66&gt;Inputs!$C$62,"",AD66*Inputs!$C$16*(Inputs!$C$9 + Inputs!$C$10*Inputs!$C$11 + Inputs!$C$12)*(1 + VLOOKUP(Inputs!$C$15,Lookups!$A$2:$B$20,2,TRUE)*(Scale!$B$9/IF(Scale!$B$8=0,1,Scale!$B$8)) + Inputs!$C$52))</f>
        <v/>
      </c>
      <c r="S66" s="50">
        <f>IF(A66=1,Scale!$B$13, W65)</f>
        <v/>
      </c>
      <c r="T66" s="50">
        <f>J66*Inputs!$C$16*(Inputs!$C$19 + Inputs!$C$20*Inputs!$C$21 + 1/Inputs!$C$18)</f>
        <v/>
      </c>
      <c r="U66" s="50">
        <f>MAX(0, (R66*(1+Inputs!$C$74)) - (S66 - T66))</f>
        <v/>
      </c>
      <c r="V66" s="50">
        <f>IF(A66&lt;=Inputs!$C$73,0,INDEX(U:U,ROW()-Inputs!$C$73))</f>
        <v/>
      </c>
      <c r="W66" s="50">
        <f>S66 - T66 + V66</f>
        <v/>
      </c>
      <c r="X66" s="52">
        <f>V66*Inputs!$C$17</f>
        <v/>
      </c>
      <c r="Y66" s="52">
        <f>IF(A66&gt;Inputs!$C$62,"",C66*AE66)</f>
        <v/>
      </c>
      <c r="Z66" s="52">
        <f>IF(A66=1,Inputs!$C$72,AA65)</f>
        <v/>
      </c>
      <c r="AA66" s="52">
        <f>Z66 + M66 - N66 - P66 - X66 - Y66</f>
        <v/>
      </c>
      <c r="AB66" s="53">
        <f>IF(AA66&lt;0,1,0)</f>
        <v/>
      </c>
      <c r="AC66" s="54">
        <f>IF(AD66=0,0,R66/(AD66*Inputs!$C$16))</f>
        <v/>
      </c>
      <c r="AD66" s="53">
        <f>IF(A66&gt;Inputs!$C$62,"",B66+C66)</f>
        <v/>
      </c>
      <c r="AE66" s="56">
        <f>IF(A66&gt;Inputs!$C$62,"", Inputs!$C$65*(1+Inputs!$C$89*POWER(MIN(1,IF(Inputs!$C$88=0,0,B66/Inputs!$C$88)),Inputs!$C$90)))</f>
        <v/>
      </c>
      <c r="AF66" s="52">
        <f>IF(A66&gt;Inputs!$C$62,"",IF(A66=1,Inputs!$C$86,MIN(Inputs!$C$86,Inputs!$C$87*M65)))</f>
        <v/>
      </c>
      <c r="AG66" s="51">
        <f>IF(A66&gt;Inputs!$C$62,"",MIN(0.5,MAX(0, Inputs!$C$67*L66 + Inputs!$C$68*(1-K66) + Inputs!$C$69*Inputs!$C$10)))</f>
        <v/>
      </c>
      <c r="AH66" s="51">
        <f>IF(A66&gt;Inputs!$C$62,"",INDEX(CapacityPlan!$G$7:$G$266,A66))</f>
        <v/>
      </c>
      <c r="AI66" s="54">
        <f>IF(A66&gt;Inputs!$C$62,"",INDEX(CapacityPlan!$J$7:$J$266,A66))</f>
        <v/>
      </c>
      <c r="AJ66" s="51">
        <f>IF(A66&gt;Inputs!$C$62,"",IF(I66=0,"",G66/I66))</f>
        <v/>
      </c>
    </row>
    <row r="67" ht="16" customHeight="1">
      <c r="A67" s="15" t="n">
        <v>45</v>
      </c>
      <c r="B67" s="50">
        <f>IF(A67&gt;Inputs!$C$62,"",IF(Inputs!$C$80=1,INDEX(Cohorts!$B$67:$B$326,A67),IF(A67=1,Inputs!$C$63,F66)))</f>
        <v/>
      </c>
      <c r="C67" s="50">
        <f>IF(A67&gt;Inputs!$C$62,"",IF(Inputs!$C$85=0,Inputs!$C$64,MIN(Inputs!$C$91,IF(AE67=0,0,AF67/AE67))))</f>
        <v/>
      </c>
      <c r="D67" s="51">
        <f>IF(A67&gt;Inputs!$C$62,"",IF(Inputs!$C$80=1,INDEX(Cohorts!$G$67:$G$326,A67),MAX(0, Inputs!$C$66 + Inputs!$C$67*L67 + Inputs!$C$68*(1-K67) + Inputs!$C$69*Inputs!$C$10)))</f>
        <v/>
      </c>
      <c r="E67" s="50">
        <f>IF(A67&gt;Inputs!$C$62,"",IF(Inputs!$C$80=1,INDEX(Cohorts!$H$67:$H$326,A67),D67*AD67))</f>
        <v/>
      </c>
      <c r="F67" s="50">
        <f>IF(A67&gt;Inputs!$C$62,"",IF(Inputs!$C$80=1,INDEX(Cohorts!$I$67:$I$326,A67),AD67-E67))</f>
        <v/>
      </c>
      <c r="G67" s="50">
        <f>IF(A67&gt;Inputs!$C$62,"",AD67)</f>
        <v/>
      </c>
      <c r="H67" s="50">
        <f>IF(A67&gt;Inputs!$C$62,"",INDEX(CapacityPlan!$E$7:$E$266,A67))</f>
        <v/>
      </c>
      <c r="I67" s="50">
        <f>IF(A67&gt;Inputs!$C$62,"",INDEX(CapacityPlan!$I$7:$I$266,A67))</f>
        <v/>
      </c>
      <c r="J67" s="50">
        <f>IF(A67&gt;Inputs!$C$62,"",IF(G67&gt;I67,I67,G67))</f>
        <v/>
      </c>
      <c r="K67" s="51">
        <f>IF(A67&gt;Inputs!$C$62,"",IF(G67=0,1,J67/G67))</f>
        <v/>
      </c>
      <c r="L67" s="51">
        <f>IF((Inputs!$C$36 + UnitEconomics!$B$12*Inputs!$C$37 + Inputs!$C$10*Inputs!$C$38 + Inputs!$C$70*(1-K67))&gt;1,1,(Inputs!$C$36 + UnitEconomics!$B$12*Inputs!$C$37 + Inputs!$C$10*Inputs!$C$38 + Inputs!$C$70*(1-K67)))</f>
        <v/>
      </c>
      <c r="M67" s="52">
        <f>IF(A67&gt;Inputs!$C$62,"",J67*Inputs!$C$7*(1-Inputs!$C$8)*(1-L67))</f>
        <v/>
      </c>
      <c r="N67" s="52">
        <f>IF(A67&gt;Inputs!$C$62,"",J67*UnitEconomics!$B$32*AI67 + (G67-J67)*Inputs!$C$71)</f>
        <v/>
      </c>
      <c r="O67" s="52">
        <f>M67-N67</f>
        <v/>
      </c>
      <c r="P67" s="52">
        <f>IF(A67&gt;Inputs!$C$62,"",Inputs!$C$40 + H67*Inputs!$C$41)</f>
        <v/>
      </c>
      <c r="Q67" s="52">
        <f>O67-P67</f>
        <v/>
      </c>
      <c r="R67" s="50">
        <f>IF(A67&gt;Inputs!$C$62,"",AD67*Inputs!$C$16*(Inputs!$C$9 + Inputs!$C$10*Inputs!$C$11 + Inputs!$C$12)*(1 + VLOOKUP(Inputs!$C$15,Lookups!$A$2:$B$20,2,TRUE)*(Scale!$B$9/IF(Scale!$B$8=0,1,Scale!$B$8)) + Inputs!$C$52))</f>
        <v/>
      </c>
      <c r="S67" s="50">
        <f>IF(A67=1,Scale!$B$13, W66)</f>
        <v/>
      </c>
      <c r="T67" s="50">
        <f>J67*Inputs!$C$16*(Inputs!$C$19 + Inputs!$C$20*Inputs!$C$21 + 1/Inputs!$C$18)</f>
        <v/>
      </c>
      <c r="U67" s="50">
        <f>MAX(0, (R67*(1+Inputs!$C$74)) - (S67 - T67))</f>
        <v/>
      </c>
      <c r="V67" s="50">
        <f>IF(A67&lt;=Inputs!$C$73,0,INDEX(U:U,ROW()-Inputs!$C$73))</f>
        <v/>
      </c>
      <c r="W67" s="50">
        <f>S67 - T67 + V67</f>
        <v/>
      </c>
      <c r="X67" s="52">
        <f>V67*Inputs!$C$17</f>
        <v/>
      </c>
      <c r="Y67" s="52">
        <f>IF(A67&gt;Inputs!$C$62,"",C67*AE67)</f>
        <v/>
      </c>
      <c r="Z67" s="52">
        <f>IF(A67=1,Inputs!$C$72,AA66)</f>
        <v/>
      </c>
      <c r="AA67" s="52">
        <f>Z67 + M67 - N67 - P67 - X67 - Y67</f>
        <v/>
      </c>
      <c r="AB67" s="53">
        <f>IF(AA67&lt;0,1,0)</f>
        <v/>
      </c>
      <c r="AC67" s="54">
        <f>IF(AD67=0,0,R67/(AD67*Inputs!$C$16))</f>
        <v/>
      </c>
      <c r="AD67" s="53">
        <f>IF(A67&gt;Inputs!$C$62,"",B67+C67)</f>
        <v/>
      </c>
      <c r="AE67" s="56">
        <f>IF(A67&gt;Inputs!$C$62,"", Inputs!$C$65*(1+Inputs!$C$89*POWER(MIN(1,IF(Inputs!$C$88=0,0,B67/Inputs!$C$88)),Inputs!$C$90)))</f>
        <v/>
      </c>
      <c r="AF67" s="52">
        <f>IF(A67&gt;Inputs!$C$62,"",IF(A67=1,Inputs!$C$86,MIN(Inputs!$C$86,Inputs!$C$87*M66)))</f>
        <v/>
      </c>
      <c r="AG67" s="51">
        <f>IF(A67&gt;Inputs!$C$62,"",MIN(0.5,MAX(0, Inputs!$C$67*L67 + Inputs!$C$68*(1-K67) + Inputs!$C$69*Inputs!$C$10)))</f>
        <v/>
      </c>
      <c r="AH67" s="51">
        <f>IF(A67&gt;Inputs!$C$62,"",INDEX(CapacityPlan!$G$7:$G$266,A67))</f>
        <v/>
      </c>
      <c r="AI67" s="54">
        <f>IF(A67&gt;Inputs!$C$62,"",INDEX(CapacityPlan!$J$7:$J$266,A67))</f>
        <v/>
      </c>
      <c r="AJ67" s="51">
        <f>IF(A67&gt;Inputs!$C$62,"",IF(I67=0,"",G67/I67))</f>
        <v/>
      </c>
    </row>
    <row r="68" ht="16" customHeight="1">
      <c r="A68" s="15" t="n">
        <v>46</v>
      </c>
      <c r="B68" s="50">
        <f>IF(A68&gt;Inputs!$C$62,"",IF(Inputs!$C$80=1,INDEX(Cohorts!$B$67:$B$326,A68),IF(A68=1,Inputs!$C$63,F67)))</f>
        <v/>
      </c>
      <c r="C68" s="50">
        <f>IF(A68&gt;Inputs!$C$62,"",IF(Inputs!$C$85=0,Inputs!$C$64,MIN(Inputs!$C$91,IF(AE68=0,0,AF68/AE68))))</f>
        <v/>
      </c>
      <c r="D68" s="51">
        <f>IF(A68&gt;Inputs!$C$62,"",IF(Inputs!$C$80=1,INDEX(Cohorts!$G$67:$G$326,A68),MAX(0, Inputs!$C$66 + Inputs!$C$67*L68 + Inputs!$C$68*(1-K68) + Inputs!$C$69*Inputs!$C$10)))</f>
        <v/>
      </c>
      <c r="E68" s="50">
        <f>IF(A68&gt;Inputs!$C$62,"",IF(Inputs!$C$80=1,INDEX(Cohorts!$H$67:$H$326,A68),D68*AD68))</f>
        <v/>
      </c>
      <c r="F68" s="50">
        <f>IF(A68&gt;Inputs!$C$62,"",IF(Inputs!$C$80=1,INDEX(Cohorts!$I$67:$I$326,A68),AD68-E68))</f>
        <v/>
      </c>
      <c r="G68" s="50">
        <f>IF(A68&gt;Inputs!$C$62,"",AD68)</f>
        <v/>
      </c>
      <c r="H68" s="50">
        <f>IF(A68&gt;Inputs!$C$62,"",INDEX(CapacityPlan!$E$7:$E$266,A68))</f>
        <v/>
      </c>
      <c r="I68" s="50">
        <f>IF(A68&gt;Inputs!$C$62,"",INDEX(CapacityPlan!$I$7:$I$266,A68))</f>
        <v/>
      </c>
      <c r="J68" s="50">
        <f>IF(A68&gt;Inputs!$C$62,"",IF(G68&gt;I68,I68,G68))</f>
        <v/>
      </c>
      <c r="K68" s="51">
        <f>IF(A68&gt;Inputs!$C$62,"",IF(G68=0,1,J68/G68))</f>
        <v/>
      </c>
      <c r="L68" s="51">
        <f>IF((Inputs!$C$36 + UnitEconomics!$B$12*Inputs!$C$37 + Inputs!$C$10*Inputs!$C$38 + Inputs!$C$70*(1-K68))&gt;1,1,(Inputs!$C$36 + UnitEconomics!$B$12*Inputs!$C$37 + Inputs!$C$10*Inputs!$C$38 + Inputs!$C$70*(1-K68)))</f>
        <v/>
      </c>
      <c r="M68" s="52">
        <f>IF(A68&gt;Inputs!$C$62,"",J68*Inputs!$C$7*(1-Inputs!$C$8)*(1-L68))</f>
        <v/>
      </c>
      <c r="N68" s="52">
        <f>IF(A68&gt;Inputs!$C$62,"",J68*UnitEconomics!$B$32*AI68 + (G68-J68)*Inputs!$C$71)</f>
        <v/>
      </c>
      <c r="O68" s="52">
        <f>M68-N68</f>
        <v/>
      </c>
      <c r="P68" s="52">
        <f>IF(A68&gt;Inputs!$C$62,"",Inputs!$C$40 + H68*Inputs!$C$41)</f>
        <v/>
      </c>
      <c r="Q68" s="52">
        <f>O68-P68</f>
        <v/>
      </c>
      <c r="R68" s="50">
        <f>IF(A68&gt;Inputs!$C$62,"",AD68*Inputs!$C$16*(Inputs!$C$9 + Inputs!$C$10*Inputs!$C$11 + Inputs!$C$12)*(1 + VLOOKUP(Inputs!$C$15,Lookups!$A$2:$B$20,2,TRUE)*(Scale!$B$9/IF(Scale!$B$8=0,1,Scale!$B$8)) + Inputs!$C$52))</f>
        <v/>
      </c>
      <c r="S68" s="50">
        <f>IF(A68=1,Scale!$B$13, W67)</f>
        <v/>
      </c>
      <c r="T68" s="50">
        <f>J68*Inputs!$C$16*(Inputs!$C$19 + Inputs!$C$20*Inputs!$C$21 + 1/Inputs!$C$18)</f>
        <v/>
      </c>
      <c r="U68" s="50">
        <f>MAX(0, (R68*(1+Inputs!$C$74)) - (S68 - T68))</f>
        <v/>
      </c>
      <c r="V68" s="50">
        <f>IF(A68&lt;=Inputs!$C$73,0,INDEX(U:U,ROW()-Inputs!$C$73))</f>
        <v/>
      </c>
      <c r="W68" s="50">
        <f>S68 - T68 + V68</f>
        <v/>
      </c>
      <c r="X68" s="52">
        <f>V68*Inputs!$C$17</f>
        <v/>
      </c>
      <c r="Y68" s="52">
        <f>IF(A68&gt;Inputs!$C$62,"",C68*AE68)</f>
        <v/>
      </c>
      <c r="Z68" s="52">
        <f>IF(A68=1,Inputs!$C$72,AA67)</f>
        <v/>
      </c>
      <c r="AA68" s="52">
        <f>Z68 + M68 - N68 - P68 - X68 - Y68</f>
        <v/>
      </c>
      <c r="AB68" s="53">
        <f>IF(AA68&lt;0,1,0)</f>
        <v/>
      </c>
      <c r="AC68" s="54">
        <f>IF(AD68=0,0,R68/(AD68*Inputs!$C$16))</f>
        <v/>
      </c>
      <c r="AD68" s="53">
        <f>IF(A68&gt;Inputs!$C$62,"",B68+C68)</f>
        <v/>
      </c>
      <c r="AE68" s="56">
        <f>IF(A68&gt;Inputs!$C$62,"", Inputs!$C$65*(1+Inputs!$C$89*POWER(MIN(1,IF(Inputs!$C$88=0,0,B68/Inputs!$C$88)),Inputs!$C$90)))</f>
        <v/>
      </c>
      <c r="AF68" s="52">
        <f>IF(A68&gt;Inputs!$C$62,"",IF(A68=1,Inputs!$C$86,MIN(Inputs!$C$86,Inputs!$C$87*M67)))</f>
        <v/>
      </c>
      <c r="AG68" s="51">
        <f>IF(A68&gt;Inputs!$C$62,"",MIN(0.5,MAX(0, Inputs!$C$67*L68 + Inputs!$C$68*(1-K68) + Inputs!$C$69*Inputs!$C$10)))</f>
        <v/>
      </c>
      <c r="AH68" s="51">
        <f>IF(A68&gt;Inputs!$C$62,"",INDEX(CapacityPlan!$G$7:$G$266,A68))</f>
        <v/>
      </c>
      <c r="AI68" s="54">
        <f>IF(A68&gt;Inputs!$C$62,"",INDEX(CapacityPlan!$J$7:$J$266,A68))</f>
        <v/>
      </c>
      <c r="AJ68" s="51">
        <f>IF(A68&gt;Inputs!$C$62,"",IF(I68=0,"",G68/I68))</f>
        <v/>
      </c>
    </row>
    <row r="69" ht="16" customHeight="1">
      <c r="A69" s="15" t="n">
        <v>47</v>
      </c>
      <c r="B69" s="50">
        <f>IF(A69&gt;Inputs!$C$62,"",IF(Inputs!$C$80=1,INDEX(Cohorts!$B$67:$B$326,A69),IF(A69=1,Inputs!$C$63,F68)))</f>
        <v/>
      </c>
      <c r="C69" s="50">
        <f>IF(A69&gt;Inputs!$C$62,"",IF(Inputs!$C$85=0,Inputs!$C$64,MIN(Inputs!$C$91,IF(AE69=0,0,AF69/AE69))))</f>
        <v/>
      </c>
      <c r="D69" s="51">
        <f>IF(A69&gt;Inputs!$C$62,"",IF(Inputs!$C$80=1,INDEX(Cohorts!$G$67:$G$326,A69),MAX(0, Inputs!$C$66 + Inputs!$C$67*L69 + Inputs!$C$68*(1-K69) + Inputs!$C$69*Inputs!$C$10)))</f>
        <v/>
      </c>
      <c r="E69" s="50">
        <f>IF(A69&gt;Inputs!$C$62,"",IF(Inputs!$C$80=1,INDEX(Cohorts!$H$67:$H$326,A69),D69*AD69))</f>
        <v/>
      </c>
      <c r="F69" s="50">
        <f>IF(A69&gt;Inputs!$C$62,"",IF(Inputs!$C$80=1,INDEX(Cohorts!$I$67:$I$326,A69),AD69-E69))</f>
        <v/>
      </c>
      <c r="G69" s="50">
        <f>IF(A69&gt;Inputs!$C$62,"",AD69)</f>
        <v/>
      </c>
      <c r="H69" s="50">
        <f>IF(A69&gt;Inputs!$C$62,"",INDEX(CapacityPlan!$E$7:$E$266,A69))</f>
        <v/>
      </c>
      <c r="I69" s="50">
        <f>IF(A69&gt;Inputs!$C$62,"",INDEX(CapacityPlan!$I$7:$I$266,A69))</f>
        <v/>
      </c>
      <c r="J69" s="50">
        <f>IF(A69&gt;Inputs!$C$62,"",IF(G69&gt;I69,I69,G69))</f>
        <v/>
      </c>
      <c r="K69" s="51">
        <f>IF(A69&gt;Inputs!$C$62,"",IF(G69=0,1,J69/G69))</f>
        <v/>
      </c>
      <c r="L69" s="51">
        <f>IF((Inputs!$C$36 + UnitEconomics!$B$12*Inputs!$C$37 + Inputs!$C$10*Inputs!$C$38 + Inputs!$C$70*(1-K69))&gt;1,1,(Inputs!$C$36 + UnitEconomics!$B$12*Inputs!$C$37 + Inputs!$C$10*Inputs!$C$38 + Inputs!$C$70*(1-K69)))</f>
        <v/>
      </c>
      <c r="M69" s="52">
        <f>IF(A69&gt;Inputs!$C$62,"",J69*Inputs!$C$7*(1-Inputs!$C$8)*(1-L69))</f>
        <v/>
      </c>
      <c r="N69" s="52">
        <f>IF(A69&gt;Inputs!$C$62,"",J69*UnitEconomics!$B$32*AI69 + (G69-J69)*Inputs!$C$71)</f>
        <v/>
      </c>
      <c r="O69" s="52">
        <f>M69-N69</f>
        <v/>
      </c>
      <c r="P69" s="52">
        <f>IF(A69&gt;Inputs!$C$62,"",Inputs!$C$40 + H69*Inputs!$C$41)</f>
        <v/>
      </c>
      <c r="Q69" s="52">
        <f>O69-P69</f>
        <v/>
      </c>
      <c r="R69" s="50">
        <f>IF(A69&gt;Inputs!$C$62,"",AD69*Inputs!$C$16*(Inputs!$C$9 + Inputs!$C$10*Inputs!$C$11 + Inputs!$C$12)*(1 + VLOOKUP(Inputs!$C$15,Lookups!$A$2:$B$20,2,TRUE)*(Scale!$B$9/IF(Scale!$B$8=0,1,Scale!$B$8)) + Inputs!$C$52))</f>
        <v/>
      </c>
      <c r="S69" s="50">
        <f>IF(A69=1,Scale!$B$13, W68)</f>
        <v/>
      </c>
      <c r="T69" s="50">
        <f>J69*Inputs!$C$16*(Inputs!$C$19 + Inputs!$C$20*Inputs!$C$21 + 1/Inputs!$C$18)</f>
        <v/>
      </c>
      <c r="U69" s="50">
        <f>MAX(0, (R69*(1+Inputs!$C$74)) - (S69 - T69))</f>
        <v/>
      </c>
      <c r="V69" s="50">
        <f>IF(A69&lt;=Inputs!$C$73,0,INDEX(U:U,ROW()-Inputs!$C$73))</f>
        <v/>
      </c>
      <c r="W69" s="50">
        <f>S69 - T69 + V69</f>
        <v/>
      </c>
      <c r="X69" s="52">
        <f>V69*Inputs!$C$17</f>
        <v/>
      </c>
      <c r="Y69" s="52">
        <f>IF(A69&gt;Inputs!$C$62,"",C69*AE69)</f>
        <v/>
      </c>
      <c r="Z69" s="52">
        <f>IF(A69=1,Inputs!$C$72,AA68)</f>
        <v/>
      </c>
      <c r="AA69" s="52">
        <f>Z69 + M69 - N69 - P69 - X69 - Y69</f>
        <v/>
      </c>
      <c r="AB69" s="53">
        <f>IF(AA69&lt;0,1,0)</f>
        <v/>
      </c>
      <c r="AC69" s="54">
        <f>IF(AD69=0,0,R69/(AD69*Inputs!$C$16))</f>
        <v/>
      </c>
      <c r="AD69" s="53">
        <f>IF(A69&gt;Inputs!$C$62,"",B69+C69)</f>
        <v/>
      </c>
      <c r="AE69" s="56">
        <f>IF(A69&gt;Inputs!$C$62,"", Inputs!$C$65*(1+Inputs!$C$89*POWER(MIN(1,IF(Inputs!$C$88=0,0,B69/Inputs!$C$88)),Inputs!$C$90)))</f>
        <v/>
      </c>
      <c r="AF69" s="52">
        <f>IF(A69&gt;Inputs!$C$62,"",IF(A69=1,Inputs!$C$86,MIN(Inputs!$C$86,Inputs!$C$87*M68)))</f>
        <v/>
      </c>
      <c r="AG69" s="51">
        <f>IF(A69&gt;Inputs!$C$62,"",MIN(0.5,MAX(0, Inputs!$C$67*L69 + Inputs!$C$68*(1-K69) + Inputs!$C$69*Inputs!$C$10)))</f>
        <v/>
      </c>
      <c r="AH69" s="51">
        <f>IF(A69&gt;Inputs!$C$62,"",INDEX(CapacityPlan!$G$7:$G$266,A69))</f>
        <v/>
      </c>
      <c r="AI69" s="54">
        <f>IF(A69&gt;Inputs!$C$62,"",INDEX(CapacityPlan!$J$7:$J$266,A69))</f>
        <v/>
      </c>
      <c r="AJ69" s="51">
        <f>IF(A69&gt;Inputs!$C$62,"",IF(I69=0,"",G69/I69))</f>
        <v/>
      </c>
    </row>
    <row r="70" ht="16" customHeight="1">
      <c r="A70" s="15" t="n">
        <v>48</v>
      </c>
      <c r="B70" s="50">
        <f>IF(A70&gt;Inputs!$C$62,"",IF(Inputs!$C$80=1,INDEX(Cohorts!$B$67:$B$326,A70),IF(A70=1,Inputs!$C$63,F69)))</f>
        <v/>
      </c>
      <c r="C70" s="50">
        <f>IF(A70&gt;Inputs!$C$62,"",IF(Inputs!$C$85=0,Inputs!$C$64,MIN(Inputs!$C$91,IF(AE70=0,0,AF70/AE70))))</f>
        <v/>
      </c>
      <c r="D70" s="51">
        <f>IF(A70&gt;Inputs!$C$62,"",IF(Inputs!$C$80=1,INDEX(Cohorts!$G$67:$G$326,A70),MAX(0, Inputs!$C$66 + Inputs!$C$67*L70 + Inputs!$C$68*(1-K70) + Inputs!$C$69*Inputs!$C$10)))</f>
        <v/>
      </c>
      <c r="E70" s="50">
        <f>IF(A70&gt;Inputs!$C$62,"",IF(Inputs!$C$80=1,INDEX(Cohorts!$H$67:$H$326,A70),D70*AD70))</f>
        <v/>
      </c>
      <c r="F70" s="50">
        <f>IF(A70&gt;Inputs!$C$62,"",IF(Inputs!$C$80=1,INDEX(Cohorts!$I$67:$I$326,A70),AD70-E70))</f>
        <v/>
      </c>
      <c r="G70" s="50">
        <f>IF(A70&gt;Inputs!$C$62,"",AD70)</f>
        <v/>
      </c>
      <c r="H70" s="50">
        <f>IF(A70&gt;Inputs!$C$62,"",INDEX(CapacityPlan!$E$7:$E$266,A70))</f>
        <v/>
      </c>
      <c r="I70" s="50">
        <f>IF(A70&gt;Inputs!$C$62,"",INDEX(CapacityPlan!$I$7:$I$266,A70))</f>
        <v/>
      </c>
      <c r="J70" s="50">
        <f>IF(A70&gt;Inputs!$C$62,"",IF(G70&gt;I70,I70,G70))</f>
        <v/>
      </c>
      <c r="K70" s="51">
        <f>IF(A70&gt;Inputs!$C$62,"",IF(G70=0,1,J70/G70))</f>
        <v/>
      </c>
      <c r="L70" s="51">
        <f>IF((Inputs!$C$36 + UnitEconomics!$B$12*Inputs!$C$37 + Inputs!$C$10*Inputs!$C$38 + Inputs!$C$70*(1-K70))&gt;1,1,(Inputs!$C$36 + UnitEconomics!$B$12*Inputs!$C$37 + Inputs!$C$10*Inputs!$C$38 + Inputs!$C$70*(1-K70)))</f>
        <v/>
      </c>
      <c r="M70" s="52">
        <f>IF(A70&gt;Inputs!$C$62,"",J70*Inputs!$C$7*(1-Inputs!$C$8)*(1-L70))</f>
        <v/>
      </c>
      <c r="N70" s="52">
        <f>IF(A70&gt;Inputs!$C$62,"",J70*UnitEconomics!$B$32*AI70 + (G70-J70)*Inputs!$C$71)</f>
        <v/>
      </c>
      <c r="O70" s="52">
        <f>M70-N70</f>
        <v/>
      </c>
      <c r="P70" s="52">
        <f>IF(A70&gt;Inputs!$C$62,"",Inputs!$C$40 + H70*Inputs!$C$41)</f>
        <v/>
      </c>
      <c r="Q70" s="52">
        <f>O70-P70</f>
        <v/>
      </c>
      <c r="R70" s="50">
        <f>IF(A70&gt;Inputs!$C$62,"",AD70*Inputs!$C$16*(Inputs!$C$9 + Inputs!$C$10*Inputs!$C$11 + Inputs!$C$12)*(1 + VLOOKUP(Inputs!$C$15,Lookups!$A$2:$B$20,2,TRUE)*(Scale!$B$9/IF(Scale!$B$8=0,1,Scale!$B$8)) + Inputs!$C$52))</f>
        <v/>
      </c>
      <c r="S70" s="50">
        <f>IF(A70=1,Scale!$B$13, W69)</f>
        <v/>
      </c>
      <c r="T70" s="50">
        <f>J70*Inputs!$C$16*(Inputs!$C$19 + Inputs!$C$20*Inputs!$C$21 + 1/Inputs!$C$18)</f>
        <v/>
      </c>
      <c r="U70" s="50">
        <f>MAX(0, (R70*(1+Inputs!$C$74)) - (S70 - T70))</f>
        <v/>
      </c>
      <c r="V70" s="50">
        <f>IF(A70&lt;=Inputs!$C$73,0,INDEX(U:U,ROW()-Inputs!$C$73))</f>
        <v/>
      </c>
      <c r="W70" s="50">
        <f>S70 - T70 + V70</f>
        <v/>
      </c>
      <c r="X70" s="52">
        <f>V70*Inputs!$C$17</f>
        <v/>
      </c>
      <c r="Y70" s="52">
        <f>IF(A70&gt;Inputs!$C$62,"",C70*AE70)</f>
        <v/>
      </c>
      <c r="Z70" s="52">
        <f>IF(A70=1,Inputs!$C$72,AA69)</f>
        <v/>
      </c>
      <c r="AA70" s="52">
        <f>Z70 + M70 - N70 - P70 - X70 - Y70</f>
        <v/>
      </c>
      <c r="AB70" s="53">
        <f>IF(AA70&lt;0,1,0)</f>
        <v/>
      </c>
      <c r="AC70" s="54">
        <f>IF(AD70=0,0,R70/(AD70*Inputs!$C$16))</f>
        <v/>
      </c>
      <c r="AD70" s="53">
        <f>IF(A70&gt;Inputs!$C$62,"",B70+C70)</f>
        <v/>
      </c>
      <c r="AE70" s="56">
        <f>IF(A70&gt;Inputs!$C$62,"", Inputs!$C$65*(1+Inputs!$C$89*POWER(MIN(1,IF(Inputs!$C$88=0,0,B70/Inputs!$C$88)),Inputs!$C$90)))</f>
        <v/>
      </c>
      <c r="AF70" s="52">
        <f>IF(A70&gt;Inputs!$C$62,"",IF(A70=1,Inputs!$C$86,MIN(Inputs!$C$86,Inputs!$C$87*M69)))</f>
        <v/>
      </c>
      <c r="AG70" s="51">
        <f>IF(A70&gt;Inputs!$C$62,"",MIN(0.5,MAX(0, Inputs!$C$67*L70 + Inputs!$C$68*(1-K70) + Inputs!$C$69*Inputs!$C$10)))</f>
        <v/>
      </c>
      <c r="AH70" s="51">
        <f>IF(A70&gt;Inputs!$C$62,"",INDEX(CapacityPlan!$G$7:$G$266,A70))</f>
        <v/>
      </c>
      <c r="AI70" s="54">
        <f>IF(A70&gt;Inputs!$C$62,"",INDEX(CapacityPlan!$J$7:$J$266,A70))</f>
        <v/>
      </c>
      <c r="AJ70" s="51">
        <f>IF(A70&gt;Inputs!$C$62,"",IF(I70=0,"",G70/I70))</f>
        <v/>
      </c>
    </row>
    <row r="71" ht="16" customHeight="1">
      <c r="A71" s="15" t="n">
        <v>49</v>
      </c>
      <c r="B71" s="50">
        <f>IF(A71&gt;Inputs!$C$62,"",IF(Inputs!$C$80=1,INDEX(Cohorts!$B$67:$B$326,A71),IF(A71=1,Inputs!$C$63,F70)))</f>
        <v/>
      </c>
      <c r="C71" s="50">
        <f>IF(A71&gt;Inputs!$C$62,"",IF(Inputs!$C$85=0,Inputs!$C$64,MIN(Inputs!$C$91,IF(AE71=0,0,AF71/AE71))))</f>
        <v/>
      </c>
      <c r="D71" s="51">
        <f>IF(A71&gt;Inputs!$C$62,"",IF(Inputs!$C$80=1,INDEX(Cohorts!$G$67:$G$326,A71),MAX(0, Inputs!$C$66 + Inputs!$C$67*L71 + Inputs!$C$68*(1-K71) + Inputs!$C$69*Inputs!$C$10)))</f>
        <v/>
      </c>
      <c r="E71" s="50">
        <f>IF(A71&gt;Inputs!$C$62,"",IF(Inputs!$C$80=1,INDEX(Cohorts!$H$67:$H$326,A71),D71*AD71))</f>
        <v/>
      </c>
      <c r="F71" s="50">
        <f>IF(A71&gt;Inputs!$C$62,"",IF(Inputs!$C$80=1,INDEX(Cohorts!$I$67:$I$326,A71),AD71-E71))</f>
        <v/>
      </c>
      <c r="G71" s="50">
        <f>IF(A71&gt;Inputs!$C$62,"",AD71)</f>
        <v/>
      </c>
      <c r="H71" s="50">
        <f>IF(A71&gt;Inputs!$C$62,"",INDEX(CapacityPlan!$E$7:$E$266,A71))</f>
        <v/>
      </c>
      <c r="I71" s="50">
        <f>IF(A71&gt;Inputs!$C$62,"",INDEX(CapacityPlan!$I$7:$I$266,A71))</f>
        <v/>
      </c>
      <c r="J71" s="50">
        <f>IF(A71&gt;Inputs!$C$62,"",IF(G71&gt;I71,I71,G71))</f>
        <v/>
      </c>
      <c r="K71" s="51">
        <f>IF(A71&gt;Inputs!$C$62,"",IF(G71=0,1,J71/G71))</f>
        <v/>
      </c>
      <c r="L71" s="51">
        <f>IF((Inputs!$C$36 + UnitEconomics!$B$12*Inputs!$C$37 + Inputs!$C$10*Inputs!$C$38 + Inputs!$C$70*(1-K71))&gt;1,1,(Inputs!$C$36 + UnitEconomics!$B$12*Inputs!$C$37 + Inputs!$C$10*Inputs!$C$38 + Inputs!$C$70*(1-K71)))</f>
        <v/>
      </c>
      <c r="M71" s="52">
        <f>IF(A71&gt;Inputs!$C$62,"",J71*Inputs!$C$7*(1-Inputs!$C$8)*(1-L71))</f>
        <v/>
      </c>
      <c r="N71" s="52">
        <f>IF(A71&gt;Inputs!$C$62,"",J71*UnitEconomics!$B$32*AI71 + (G71-J71)*Inputs!$C$71)</f>
        <v/>
      </c>
      <c r="O71" s="52">
        <f>M71-N71</f>
        <v/>
      </c>
      <c r="P71" s="52">
        <f>IF(A71&gt;Inputs!$C$62,"",Inputs!$C$40 + H71*Inputs!$C$41)</f>
        <v/>
      </c>
      <c r="Q71" s="52">
        <f>O71-P71</f>
        <v/>
      </c>
      <c r="R71" s="50">
        <f>IF(A71&gt;Inputs!$C$62,"",AD71*Inputs!$C$16*(Inputs!$C$9 + Inputs!$C$10*Inputs!$C$11 + Inputs!$C$12)*(1 + VLOOKUP(Inputs!$C$15,Lookups!$A$2:$B$20,2,TRUE)*(Scale!$B$9/IF(Scale!$B$8=0,1,Scale!$B$8)) + Inputs!$C$52))</f>
        <v/>
      </c>
      <c r="S71" s="50">
        <f>IF(A71=1,Scale!$B$13, W70)</f>
        <v/>
      </c>
      <c r="T71" s="50">
        <f>J71*Inputs!$C$16*(Inputs!$C$19 + Inputs!$C$20*Inputs!$C$21 + 1/Inputs!$C$18)</f>
        <v/>
      </c>
      <c r="U71" s="50">
        <f>MAX(0, (R71*(1+Inputs!$C$74)) - (S71 - T71))</f>
        <v/>
      </c>
      <c r="V71" s="50">
        <f>IF(A71&lt;=Inputs!$C$73,0,INDEX(U:U,ROW()-Inputs!$C$73))</f>
        <v/>
      </c>
      <c r="W71" s="50">
        <f>S71 - T71 + V71</f>
        <v/>
      </c>
      <c r="X71" s="52">
        <f>V71*Inputs!$C$17</f>
        <v/>
      </c>
      <c r="Y71" s="52">
        <f>IF(A71&gt;Inputs!$C$62,"",C71*AE71)</f>
        <v/>
      </c>
      <c r="Z71" s="52">
        <f>IF(A71=1,Inputs!$C$72,AA70)</f>
        <v/>
      </c>
      <c r="AA71" s="52">
        <f>Z71 + M71 - N71 - P71 - X71 - Y71</f>
        <v/>
      </c>
      <c r="AB71" s="53">
        <f>IF(AA71&lt;0,1,0)</f>
        <v/>
      </c>
      <c r="AC71" s="54">
        <f>IF(AD71=0,0,R71/(AD71*Inputs!$C$16))</f>
        <v/>
      </c>
      <c r="AD71" s="53">
        <f>IF(A71&gt;Inputs!$C$62,"",B71+C71)</f>
        <v/>
      </c>
      <c r="AE71" s="56">
        <f>IF(A71&gt;Inputs!$C$62,"", Inputs!$C$65*(1+Inputs!$C$89*POWER(MIN(1,IF(Inputs!$C$88=0,0,B71/Inputs!$C$88)),Inputs!$C$90)))</f>
        <v/>
      </c>
      <c r="AF71" s="52">
        <f>IF(A71&gt;Inputs!$C$62,"",IF(A71=1,Inputs!$C$86,MIN(Inputs!$C$86,Inputs!$C$87*M70)))</f>
        <v/>
      </c>
      <c r="AG71" s="51">
        <f>IF(A71&gt;Inputs!$C$62,"",MIN(0.5,MAX(0, Inputs!$C$67*L71 + Inputs!$C$68*(1-K71) + Inputs!$C$69*Inputs!$C$10)))</f>
        <v/>
      </c>
      <c r="AH71" s="51">
        <f>IF(A71&gt;Inputs!$C$62,"",INDEX(CapacityPlan!$G$7:$G$266,A71))</f>
        <v/>
      </c>
      <c r="AI71" s="54">
        <f>IF(A71&gt;Inputs!$C$62,"",INDEX(CapacityPlan!$J$7:$J$266,A71))</f>
        <v/>
      </c>
      <c r="AJ71" s="51">
        <f>IF(A71&gt;Inputs!$C$62,"",IF(I71=0,"",G71/I71))</f>
        <v/>
      </c>
    </row>
    <row r="72" ht="16" customHeight="1">
      <c r="A72" s="15" t="n">
        <v>50</v>
      </c>
      <c r="B72" s="50">
        <f>IF(A72&gt;Inputs!$C$62,"",IF(Inputs!$C$80=1,INDEX(Cohorts!$B$67:$B$326,A72),IF(A72=1,Inputs!$C$63,F71)))</f>
        <v/>
      </c>
      <c r="C72" s="50">
        <f>IF(A72&gt;Inputs!$C$62,"",IF(Inputs!$C$85=0,Inputs!$C$64,MIN(Inputs!$C$91,IF(AE72=0,0,AF72/AE72))))</f>
        <v/>
      </c>
      <c r="D72" s="51">
        <f>IF(A72&gt;Inputs!$C$62,"",IF(Inputs!$C$80=1,INDEX(Cohorts!$G$67:$G$326,A72),MAX(0, Inputs!$C$66 + Inputs!$C$67*L72 + Inputs!$C$68*(1-K72) + Inputs!$C$69*Inputs!$C$10)))</f>
        <v/>
      </c>
      <c r="E72" s="50">
        <f>IF(A72&gt;Inputs!$C$62,"",IF(Inputs!$C$80=1,INDEX(Cohorts!$H$67:$H$326,A72),D72*AD72))</f>
        <v/>
      </c>
      <c r="F72" s="50">
        <f>IF(A72&gt;Inputs!$C$62,"",IF(Inputs!$C$80=1,INDEX(Cohorts!$I$67:$I$326,A72),AD72-E72))</f>
        <v/>
      </c>
      <c r="G72" s="50">
        <f>IF(A72&gt;Inputs!$C$62,"",AD72)</f>
        <v/>
      </c>
      <c r="H72" s="50">
        <f>IF(A72&gt;Inputs!$C$62,"",INDEX(CapacityPlan!$E$7:$E$266,A72))</f>
        <v/>
      </c>
      <c r="I72" s="50">
        <f>IF(A72&gt;Inputs!$C$62,"",INDEX(CapacityPlan!$I$7:$I$266,A72))</f>
        <v/>
      </c>
      <c r="J72" s="50">
        <f>IF(A72&gt;Inputs!$C$62,"",IF(G72&gt;I72,I72,G72))</f>
        <v/>
      </c>
      <c r="K72" s="51">
        <f>IF(A72&gt;Inputs!$C$62,"",IF(G72=0,1,J72/G72))</f>
        <v/>
      </c>
      <c r="L72" s="51">
        <f>IF((Inputs!$C$36 + UnitEconomics!$B$12*Inputs!$C$37 + Inputs!$C$10*Inputs!$C$38 + Inputs!$C$70*(1-K72))&gt;1,1,(Inputs!$C$36 + UnitEconomics!$B$12*Inputs!$C$37 + Inputs!$C$10*Inputs!$C$38 + Inputs!$C$70*(1-K72)))</f>
        <v/>
      </c>
      <c r="M72" s="52">
        <f>IF(A72&gt;Inputs!$C$62,"",J72*Inputs!$C$7*(1-Inputs!$C$8)*(1-L72))</f>
        <v/>
      </c>
      <c r="N72" s="52">
        <f>IF(A72&gt;Inputs!$C$62,"",J72*UnitEconomics!$B$32*AI72 + (G72-J72)*Inputs!$C$71)</f>
        <v/>
      </c>
      <c r="O72" s="52">
        <f>M72-N72</f>
        <v/>
      </c>
      <c r="P72" s="52">
        <f>IF(A72&gt;Inputs!$C$62,"",Inputs!$C$40 + H72*Inputs!$C$41)</f>
        <v/>
      </c>
      <c r="Q72" s="52">
        <f>O72-P72</f>
        <v/>
      </c>
      <c r="R72" s="50">
        <f>IF(A72&gt;Inputs!$C$62,"",AD72*Inputs!$C$16*(Inputs!$C$9 + Inputs!$C$10*Inputs!$C$11 + Inputs!$C$12)*(1 + VLOOKUP(Inputs!$C$15,Lookups!$A$2:$B$20,2,TRUE)*(Scale!$B$9/IF(Scale!$B$8=0,1,Scale!$B$8)) + Inputs!$C$52))</f>
        <v/>
      </c>
      <c r="S72" s="50">
        <f>IF(A72=1,Scale!$B$13, W71)</f>
        <v/>
      </c>
      <c r="T72" s="50">
        <f>J72*Inputs!$C$16*(Inputs!$C$19 + Inputs!$C$20*Inputs!$C$21 + 1/Inputs!$C$18)</f>
        <v/>
      </c>
      <c r="U72" s="50">
        <f>MAX(0, (R72*(1+Inputs!$C$74)) - (S72 - T72))</f>
        <v/>
      </c>
      <c r="V72" s="50">
        <f>IF(A72&lt;=Inputs!$C$73,0,INDEX(U:U,ROW()-Inputs!$C$73))</f>
        <v/>
      </c>
      <c r="W72" s="50">
        <f>S72 - T72 + V72</f>
        <v/>
      </c>
      <c r="X72" s="52">
        <f>V72*Inputs!$C$17</f>
        <v/>
      </c>
      <c r="Y72" s="52">
        <f>IF(A72&gt;Inputs!$C$62,"",C72*AE72)</f>
        <v/>
      </c>
      <c r="Z72" s="52">
        <f>IF(A72=1,Inputs!$C$72,AA71)</f>
        <v/>
      </c>
      <c r="AA72" s="52">
        <f>Z72 + M72 - N72 - P72 - X72 - Y72</f>
        <v/>
      </c>
      <c r="AB72" s="53">
        <f>IF(AA72&lt;0,1,0)</f>
        <v/>
      </c>
      <c r="AC72" s="54">
        <f>IF(AD72=0,0,R72/(AD72*Inputs!$C$16))</f>
        <v/>
      </c>
      <c r="AD72" s="53">
        <f>IF(A72&gt;Inputs!$C$62,"",B72+C72)</f>
        <v/>
      </c>
      <c r="AE72" s="56">
        <f>IF(A72&gt;Inputs!$C$62,"", Inputs!$C$65*(1+Inputs!$C$89*POWER(MIN(1,IF(Inputs!$C$88=0,0,B72/Inputs!$C$88)),Inputs!$C$90)))</f>
        <v/>
      </c>
      <c r="AF72" s="52">
        <f>IF(A72&gt;Inputs!$C$62,"",IF(A72=1,Inputs!$C$86,MIN(Inputs!$C$86,Inputs!$C$87*M71)))</f>
        <v/>
      </c>
      <c r="AG72" s="51">
        <f>IF(A72&gt;Inputs!$C$62,"",MIN(0.5,MAX(0, Inputs!$C$67*L72 + Inputs!$C$68*(1-K72) + Inputs!$C$69*Inputs!$C$10)))</f>
        <v/>
      </c>
      <c r="AH72" s="51">
        <f>IF(A72&gt;Inputs!$C$62,"",INDEX(CapacityPlan!$G$7:$G$266,A72))</f>
        <v/>
      </c>
      <c r="AI72" s="54">
        <f>IF(A72&gt;Inputs!$C$62,"",INDEX(CapacityPlan!$J$7:$J$266,A72))</f>
        <v/>
      </c>
      <c r="AJ72" s="51">
        <f>IF(A72&gt;Inputs!$C$62,"",IF(I72=0,"",G72/I72))</f>
        <v/>
      </c>
    </row>
    <row r="73" ht="16" customHeight="1">
      <c r="A73" s="15" t="n">
        <v>51</v>
      </c>
      <c r="B73" s="50">
        <f>IF(A73&gt;Inputs!$C$62,"",IF(Inputs!$C$80=1,INDEX(Cohorts!$B$67:$B$326,A73),IF(A73=1,Inputs!$C$63,F72)))</f>
        <v/>
      </c>
      <c r="C73" s="50">
        <f>IF(A73&gt;Inputs!$C$62,"",IF(Inputs!$C$85=0,Inputs!$C$64,MIN(Inputs!$C$91,IF(AE73=0,0,AF73/AE73))))</f>
        <v/>
      </c>
      <c r="D73" s="51">
        <f>IF(A73&gt;Inputs!$C$62,"",IF(Inputs!$C$80=1,INDEX(Cohorts!$G$67:$G$326,A73),MAX(0, Inputs!$C$66 + Inputs!$C$67*L73 + Inputs!$C$68*(1-K73) + Inputs!$C$69*Inputs!$C$10)))</f>
        <v/>
      </c>
      <c r="E73" s="50">
        <f>IF(A73&gt;Inputs!$C$62,"",IF(Inputs!$C$80=1,INDEX(Cohorts!$H$67:$H$326,A73),D73*AD73))</f>
        <v/>
      </c>
      <c r="F73" s="50">
        <f>IF(A73&gt;Inputs!$C$62,"",IF(Inputs!$C$80=1,INDEX(Cohorts!$I$67:$I$326,A73),AD73-E73))</f>
        <v/>
      </c>
      <c r="G73" s="50">
        <f>IF(A73&gt;Inputs!$C$62,"",AD73)</f>
        <v/>
      </c>
      <c r="H73" s="50">
        <f>IF(A73&gt;Inputs!$C$62,"",INDEX(CapacityPlan!$E$7:$E$266,A73))</f>
        <v/>
      </c>
      <c r="I73" s="50">
        <f>IF(A73&gt;Inputs!$C$62,"",INDEX(CapacityPlan!$I$7:$I$266,A73))</f>
        <v/>
      </c>
      <c r="J73" s="50">
        <f>IF(A73&gt;Inputs!$C$62,"",IF(G73&gt;I73,I73,G73))</f>
        <v/>
      </c>
      <c r="K73" s="51">
        <f>IF(A73&gt;Inputs!$C$62,"",IF(G73=0,1,J73/G73))</f>
        <v/>
      </c>
      <c r="L73" s="51">
        <f>IF((Inputs!$C$36 + UnitEconomics!$B$12*Inputs!$C$37 + Inputs!$C$10*Inputs!$C$38 + Inputs!$C$70*(1-K73))&gt;1,1,(Inputs!$C$36 + UnitEconomics!$B$12*Inputs!$C$37 + Inputs!$C$10*Inputs!$C$38 + Inputs!$C$70*(1-K73)))</f>
        <v/>
      </c>
      <c r="M73" s="52">
        <f>IF(A73&gt;Inputs!$C$62,"",J73*Inputs!$C$7*(1-Inputs!$C$8)*(1-L73))</f>
        <v/>
      </c>
      <c r="N73" s="52">
        <f>IF(A73&gt;Inputs!$C$62,"",J73*UnitEconomics!$B$32*AI73 + (G73-J73)*Inputs!$C$71)</f>
        <v/>
      </c>
      <c r="O73" s="52">
        <f>M73-N73</f>
        <v/>
      </c>
      <c r="P73" s="52">
        <f>IF(A73&gt;Inputs!$C$62,"",Inputs!$C$40 + H73*Inputs!$C$41)</f>
        <v/>
      </c>
      <c r="Q73" s="52">
        <f>O73-P73</f>
        <v/>
      </c>
      <c r="R73" s="50">
        <f>IF(A73&gt;Inputs!$C$62,"",AD73*Inputs!$C$16*(Inputs!$C$9 + Inputs!$C$10*Inputs!$C$11 + Inputs!$C$12)*(1 + VLOOKUP(Inputs!$C$15,Lookups!$A$2:$B$20,2,TRUE)*(Scale!$B$9/IF(Scale!$B$8=0,1,Scale!$B$8)) + Inputs!$C$52))</f>
        <v/>
      </c>
      <c r="S73" s="50">
        <f>IF(A73=1,Scale!$B$13, W72)</f>
        <v/>
      </c>
      <c r="T73" s="50">
        <f>J73*Inputs!$C$16*(Inputs!$C$19 + Inputs!$C$20*Inputs!$C$21 + 1/Inputs!$C$18)</f>
        <v/>
      </c>
      <c r="U73" s="50">
        <f>MAX(0, (R73*(1+Inputs!$C$74)) - (S73 - T73))</f>
        <v/>
      </c>
      <c r="V73" s="50">
        <f>IF(A73&lt;=Inputs!$C$73,0,INDEX(U:U,ROW()-Inputs!$C$73))</f>
        <v/>
      </c>
      <c r="W73" s="50">
        <f>S73 - T73 + V73</f>
        <v/>
      </c>
      <c r="X73" s="52">
        <f>V73*Inputs!$C$17</f>
        <v/>
      </c>
      <c r="Y73" s="52">
        <f>IF(A73&gt;Inputs!$C$62,"",C73*AE73)</f>
        <v/>
      </c>
      <c r="Z73" s="52">
        <f>IF(A73=1,Inputs!$C$72,AA72)</f>
        <v/>
      </c>
      <c r="AA73" s="52">
        <f>Z73 + M73 - N73 - P73 - X73 - Y73</f>
        <v/>
      </c>
      <c r="AB73" s="53">
        <f>IF(AA73&lt;0,1,0)</f>
        <v/>
      </c>
      <c r="AC73" s="54">
        <f>IF(AD73=0,0,R73/(AD73*Inputs!$C$16))</f>
        <v/>
      </c>
      <c r="AD73" s="53">
        <f>IF(A73&gt;Inputs!$C$62,"",B73+C73)</f>
        <v/>
      </c>
      <c r="AE73" s="56">
        <f>IF(A73&gt;Inputs!$C$62,"", Inputs!$C$65*(1+Inputs!$C$89*POWER(MIN(1,IF(Inputs!$C$88=0,0,B73/Inputs!$C$88)),Inputs!$C$90)))</f>
        <v/>
      </c>
      <c r="AF73" s="52">
        <f>IF(A73&gt;Inputs!$C$62,"",IF(A73=1,Inputs!$C$86,MIN(Inputs!$C$86,Inputs!$C$87*M72)))</f>
        <v/>
      </c>
      <c r="AG73" s="51">
        <f>IF(A73&gt;Inputs!$C$62,"",MIN(0.5,MAX(0, Inputs!$C$67*L73 + Inputs!$C$68*(1-K73) + Inputs!$C$69*Inputs!$C$10)))</f>
        <v/>
      </c>
      <c r="AH73" s="51">
        <f>IF(A73&gt;Inputs!$C$62,"",INDEX(CapacityPlan!$G$7:$G$266,A73))</f>
        <v/>
      </c>
      <c r="AI73" s="54">
        <f>IF(A73&gt;Inputs!$C$62,"",INDEX(CapacityPlan!$J$7:$J$266,A73))</f>
        <v/>
      </c>
      <c r="AJ73" s="51">
        <f>IF(A73&gt;Inputs!$C$62,"",IF(I73=0,"",G73/I73))</f>
        <v/>
      </c>
    </row>
    <row r="74" ht="16" customHeight="1">
      <c r="A74" s="15" t="n">
        <v>52</v>
      </c>
      <c r="B74" s="50">
        <f>IF(A74&gt;Inputs!$C$62,"",IF(Inputs!$C$80=1,INDEX(Cohorts!$B$67:$B$326,A74),IF(A74=1,Inputs!$C$63,F73)))</f>
        <v/>
      </c>
      <c r="C74" s="50">
        <f>IF(A74&gt;Inputs!$C$62,"",IF(Inputs!$C$85=0,Inputs!$C$64,MIN(Inputs!$C$91,IF(AE74=0,0,AF74/AE74))))</f>
        <v/>
      </c>
      <c r="D74" s="51">
        <f>IF(A74&gt;Inputs!$C$62,"",IF(Inputs!$C$80=1,INDEX(Cohorts!$G$67:$G$326,A74),MAX(0, Inputs!$C$66 + Inputs!$C$67*L74 + Inputs!$C$68*(1-K74) + Inputs!$C$69*Inputs!$C$10)))</f>
        <v/>
      </c>
      <c r="E74" s="50">
        <f>IF(A74&gt;Inputs!$C$62,"",IF(Inputs!$C$80=1,INDEX(Cohorts!$H$67:$H$326,A74),D74*AD74))</f>
        <v/>
      </c>
      <c r="F74" s="50">
        <f>IF(A74&gt;Inputs!$C$62,"",IF(Inputs!$C$80=1,INDEX(Cohorts!$I$67:$I$326,A74),AD74-E74))</f>
        <v/>
      </c>
      <c r="G74" s="50">
        <f>IF(A74&gt;Inputs!$C$62,"",AD74)</f>
        <v/>
      </c>
      <c r="H74" s="50">
        <f>IF(A74&gt;Inputs!$C$62,"",INDEX(CapacityPlan!$E$7:$E$266,A74))</f>
        <v/>
      </c>
      <c r="I74" s="50">
        <f>IF(A74&gt;Inputs!$C$62,"",INDEX(CapacityPlan!$I$7:$I$266,A74))</f>
        <v/>
      </c>
      <c r="J74" s="50">
        <f>IF(A74&gt;Inputs!$C$62,"",IF(G74&gt;I74,I74,G74))</f>
        <v/>
      </c>
      <c r="K74" s="51">
        <f>IF(A74&gt;Inputs!$C$62,"",IF(G74=0,1,J74/G74))</f>
        <v/>
      </c>
      <c r="L74" s="51">
        <f>IF((Inputs!$C$36 + UnitEconomics!$B$12*Inputs!$C$37 + Inputs!$C$10*Inputs!$C$38 + Inputs!$C$70*(1-K74))&gt;1,1,(Inputs!$C$36 + UnitEconomics!$B$12*Inputs!$C$37 + Inputs!$C$10*Inputs!$C$38 + Inputs!$C$70*(1-K74)))</f>
        <v/>
      </c>
      <c r="M74" s="52">
        <f>IF(A74&gt;Inputs!$C$62,"",J74*Inputs!$C$7*(1-Inputs!$C$8)*(1-L74))</f>
        <v/>
      </c>
      <c r="N74" s="52">
        <f>IF(A74&gt;Inputs!$C$62,"",J74*UnitEconomics!$B$32*AI74 + (G74-J74)*Inputs!$C$71)</f>
        <v/>
      </c>
      <c r="O74" s="52">
        <f>M74-N74</f>
        <v/>
      </c>
      <c r="P74" s="52">
        <f>IF(A74&gt;Inputs!$C$62,"",Inputs!$C$40 + H74*Inputs!$C$41)</f>
        <v/>
      </c>
      <c r="Q74" s="52">
        <f>O74-P74</f>
        <v/>
      </c>
      <c r="R74" s="50">
        <f>IF(A74&gt;Inputs!$C$62,"",AD74*Inputs!$C$16*(Inputs!$C$9 + Inputs!$C$10*Inputs!$C$11 + Inputs!$C$12)*(1 + VLOOKUP(Inputs!$C$15,Lookups!$A$2:$B$20,2,TRUE)*(Scale!$B$9/IF(Scale!$B$8=0,1,Scale!$B$8)) + Inputs!$C$52))</f>
        <v/>
      </c>
      <c r="S74" s="50">
        <f>IF(A74=1,Scale!$B$13, W73)</f>
        <v/>
      </c>
      <c r="T74" s="50">
        <f>J74*Inputs!$C$16*(Inputs!$C$19 + Inputs!$C$20*Inputs!$C$21 + 1/Inputs!$C$18)</f>
        <v/>
      </c>
      <c r="U74" s="50">
        <f>MAX(0, (R74*(1+Inputs!$C$74)) - (S74 - T74))</f>
        <v/>
      </c>
      <c r="V74" s="50">
        <f>IF(A74&lt;=Inputs!$C$73,0,INDEX(U:U,ROW()-Inputs!$C$73))</f>
        <v/>
      </c>
      <c r="W74" s="50">
        <f>S74 - T74 + V74</f>
        <v/>
      </c>
      <c r="X74" s="52">
        <f>V74*Inputs!$C$17</f>
        <v/>
      </c>
      <c r="Y74" s="52">
        <f>IF(A74&gt;Inputs!$C$62,"",C74*AE74)</f>
        <v/>
      </c>
      <c r="Z74" s="52">
        <f>IF(A74=1,Inputs!$C$72,AA73)</f>
        <v/>
      </c>
      <c r="AA74" s="52">
        <f>Z74 + M74 - N74 - P74 - X74 - Y74</f>
        <v/>
      </c>
      <c r="AB74" s="53">
        <f>IF(AA74&lt;0,1,0)</f>
        <v/>
      </c>
      <c r="AC74" s="54">
        <f>IF(AD74=0,0,R74/(AD74*Inputs!$C$16))</f>
        <v/>
      </c>
      <c r="AD74" s="53">
        <f>IF(A74&gt;Inputs!$C$62,"",B74+C74)</f>
        <v/>
      </c>
      <c r="AE74" s="56">
        <f>IF(A74&gt;Inputs!$C$62,"", Inputs!$C$65*(1+Inputs!$C$89*POWER(MIN(1,IF(Inputs!$C$88=0,0,B74/Inputs!$C$88)),Inputs!$C$90)))</f>
        <v/>
      </c>
      <c r="AF74" s="52">
        <f>IF(A74&gt;Inputs!$C$62,"",IF(A74=1,Inputs!$C$86,MIN(Inputs!$C$86,Inputs!$C$87*M73)))</f>
        <v/>
      </c>
      <c r="AG74" s="51">
        <f>IF(A74&gt;Inputs!$C$62,"",MIN(0.5,MAX(0, Inputs!$C$67*L74 + Inputs!$C$68*(1-K74) + Inputs!$C$69*Inputs!$C$10)))</f>
        <v/>
      </c>
      <c r="AH74" s="51">
        <f>IF(A74&gt;Inputs!$C$62,"",INDEX(CapacityPlan!$G$7:$G$266,A74))</f>
        <v/>
      </c>
      <c r="AI74" s="54">
        <f>IF(A74&gt;Inputs!$C$62,"",INDEX(CapacityPlan!$J$7:$J$266,A74))</f>
        <v/>
      </c>
      <c r="AJ74" s="51">
        <f>IF(A74&gt;Inputs!$C$62,"",IF(I74=0,"",G74/I74))</f>
        <v/>
      </c>
    </row>
    <row r="75" ht="16" customHeight="1">
      <c r="A75" s="15" t="n">
        <v>53</v>
      </c>
      <c r="B75" s="50">
        <f>IF(A75&gt;Inputs!$C$62,"",IF(Inputs!$C$80=1,INDEX(Cohorts!$B$67:$B$326,A75),IF(A75=1,Inputs!$C$63,F74)))</f>
        <v/>
      </c>
      <c r="C75" s="50">
        <f>IF(A75&gt;Inputs!$C$62,"",IF(Inputs!$C$85=0,Inputs!$C$64,MIN(Inputs!$C$91,IF(AE75=0,0,AF75/AE75))))</f>
        <v/>
      </c>
      <c r="D75" s="51">
        <f>IF(A75&gt;Inputs!$C$62,"",IF(Inputs!$C$80=1,INDEX(Cohorts!$G$67:$G$326,A75),MAX(0, Inputs!$C$66 + Inputs!$C$67*L75 + Inputs!$C$68*(1-K75) + Inputs!$C$69*Inputs!$C$10)))</f>
        <v/>
      </c>
      <c r="E75" s="50">
        <f>IF(A75&gt;Inputs!$C$62,"",IF(Inputs!$C$80=1,INDEX(Cohorts!$H$67:$H$326,A75),D75*AD75))</f>
        <v/>
      </c>
      <c r="F75" s="50">
        <f>IF(A75&gt;Inputs!$C$62,"",IF(Inputs!$C$80=1,INDEX(Cohorts!$I$67:$I$326,A75),AD75-E75))</f>
        <v/>
      </c>
      <c r="G75" s="50">
        <f>IF(A75&gt;Inputs!$C$62,"",AD75)</f>
        <v/>
      </c>
      <c r="H75" s="50">
        <f>IF(A75&gt;Inputs!$C$62,"",INDEX(CapacityPlan!$E$7:$E$266,A75))</f>
        <v/>
      </c>
      <c r="I75" s="50">
        <f>IF(A75&gt;Inputs!$C$62,"",INDEX(CapacityPlan!$I$7:$I$266,A75))</f>
        <v/>
      </c>
      <c r="J75" s="50">
        <f>IF(A75&gt;Inputs!$C$62,"",IF(G75&gt;I75,I75,G75))</f>
        <v/>
      </c>
      <c r="K75" s="51">
        <f>IF(A75&gt;Inputs!$C$62,"",IF(G75=0,1,J75/G75))</f>
        <v/>
      </c>
      <c r="L75" s="51">
        <f>IF((Inputs!$C$36 + UnitEconomics!$B$12*Inputs!$C$37 + Inputs!$C$10*Inputs!$C$38 + Inputs!$C$70*(1-K75))&gt;1,1,(Inputs!$C$36 + UnitEconomics!$B$12*Inputs!$C$37 + Inputs!$C$10*Inputs!$C$38 + Inputs!$C$70*(1-K75)))</f>
        <v/>
      </c>
      <c r="M75" s="52">
        <f>IF(A75&gt;Inputs!$C$62,"",J75*Inputs!$C$7*(1-Inputs!$C$8)*(1-L75))</f>
        <v/>
      </c>
      <c r="N75" s="52">
        <f>IF(A75&gt;Inputs!$C$62,"",J75*UnitEconomics!$B$32*AI75 + (G75-J75)*Inputs!$C$71)</f>
        <v/>
      </c>
      <c r="O75" s="52">
        <f>M75-N75</f>
        <v/>
      </c>
      <c r="P75" s="52">
        <f>IF(A75&gt;Inputs!$C$62,"",Inputs!$C$40 + H75*Inputs!$C$41)</f>
        <v/>
      </c>
      <c r="Q75" s="52">
        <f>O75-P75</f>
        <v/>
      </c>
      <c r="R75" s="50">
        <f>IF(A75&gt;Inputs!$C$62,"",AD75*Inputs!$C$16*(Inputs!$C$9 + Inputs!$C$10*Inputs!$C$11 + Inputs!$C$12)*(1 + VLOOKUP(Inputs!$C$15,Lookups!$A$2:$B$20,2,TRUE)*(Scale!$B$9/IF(Scale!$B$8=0,1,Scale!$B$8)) + Inputs!$C$52))</f>
        <v/>
      </c>
      <c r="S75" s="50">
        <f>IF(A75=1,Scale!$B$13, W74)</f>
        <v/>
      </c>
      <c r="T75" s="50">
        <f>J75*Inputs!$C$16*(Inputs!$C$19 + Inputs!$C$20*Inputs!$C$21 + 1/Inputs!$C$18)</f>
        <v/>
      </c>
      <c r="U75" s="50">
        <f>MAX(0, (R75*(1+Inputs!$C$74)) - (S75 - T75))</f>
        <v/>
      </c>
      <c r="V75" s="50">
        <f>IF(A75&lt;=Inputs!$C$73,0,INDEX(U:U,ROW()-Inputs!$C$73))</f>
        <v/>
      </c>
      <c r="W75" s="50">
        <f>S75 - T75 + V75</f>
        <v/>
      </c>
      <c r="X75" s="52">
        <f>V75*Inputs!$C$17</f>
        <v/>
      </c>
      <c r="Y75" s="52">
        <f>IF(A75&gt;Inputs!$C$62,"",C75*AE75)</f>
        <v/>
      </c>
      <c r="Z75" s="52">
        <f>IF(A75=1,Inputs!$C$72,AA74)</f>
        <v/>
      </c>
      <c r="AA75" s="52">
        <f>Z75 + M75 - N75 - P75 - X75 - Y75</f>
        <v/>
      </c>
      <c r="AB75" s="53">
        <f>IF(AA75&lt;0,1,0)</f>
        <v/>
      </c>
      <c r="AC75" s="54">
        <f>IF(AD75=0,0,R75/(AD75*Inputs!$C$16))</f>
        <v/>
      </c>
      <c r="AD75" s="53">
        <f>IF(A75&gt;Inputs!$C$62,"",B75+C75)</f>
        <v/>
      </c>
      <c r="AE75" s="56">
        <f>IF(A75&gt;Inputs!$C$62,"", Inputs!$C$65*(1+Inputs!$C$89*POWER(MIN(1,IF(Inputs!$C$88=0,0,B75/Inputs!$C$88)),Inputs!$C$90)))</f>
        <v/>
      </c>
      <c r="AF75" s="52">
        <f>IF(A75&gt;Inputs!$C$62,"",IF(A75=1,Inputs!$C$86,MIN(Inputs!$C$86,Inputs!$C$87*M74)))</f>
        <v/>
      </c>
      <c r="AG75" s="51">
        <f>IF(A75&gt;Inputs!$C$62,"",MIN(0.5,MAX(0, Inputs!$C$67*L75 + Inputs!$C$68*(1-K75) + Inputs!$C$69*Inputs!$C$10)))</f>
        <v/>
      </c>
      <c r="AH75" s="51">
        <f>IF(A75&gt;Inputs!$C$62,"",INDEX(CapacityPlan!$G$7:$G$266,A75))</f>
        <v/>
      </c>
      <c r="AI75" s="54">
        <f>IF(A75&gt;Inputs!$C$62,"",INDEX(CapacityPlan!$J$7:$J$266,A75))</f>
        <v/>
      </c>
      <c r="AJ75" s="51">
        <f>IF(A75&gt;Inputs!$C$62,"",IF(I75=0,"",G75/I75))</f>
        <v/>
      </c>
    </row>
    <row r="76" ht="16" customHeight="1">
      <c r="A76" s="15" t="n">
        <v>54</v>
      </c>
      <c r="B76" s="50">
        <f>IF(A76&gt;Inputs!$C$62,"",IF(Inputs!$C$80=1,INDEX(Cohorts!$B$67:$B$326,A76),IF(A76=1,Inputs!$C$63,F75)))</f>
        <v/>
      </c>
      <c r="C76" s="50">
        <f>IF(A76&gt;Inputs!$C$62,"",IF(Inputs!$C$85=0,Inputs!$C$64,MIN(Inputs!$C$91,IF(AE76=0,0,AF76/AE76))))</f>
        <v/>
      </c>
      <c r="D76" s="51">
        <f>IF(A76&gt;Inputs!$C$62,"",IF(Inputs!$C$80=1,INDEX(Cohorts!$G$67:$G$326,A76),MAX(0, Inputs!$C$66 + Inputs!$C$67*L76 + Inputs!$C$68*(1-K76) + Inputs!$C$69*Inputs!$C$10)))</f>
        <v/>
      </c>
      <c r="E76" s="50">
        <f>IF(A76&gt;Inputs!$C$62,"",IF(Inputs!$C$80=1,INDEX(Cohorts!$H$67:$H$326,A76),D76*AD76))</f>
        <v/>
      </c>
      <c r="F76" s="50">
        <f>IF(A76&gt;Inputs!$C$62,"",IF(Inputs!$C$80=1,INDEX(Cohorts!$I$67:$I$326,A76),AD76-E76))</f>
        <v/>
      </c>
      <c r="G76" s="50">
        <f>IF(A76&gt;Inputs!$C$62,"",AD76)</f>
        <v/>
      </c>
      <c r="H76" s="50">
        <f>IF(A76&gt;Inputs!$C$62,"",INDEX(CapacityPlan!$E$7:$E$266,A76))</f>
        <v/>
      </c>
      <c r="I76" s="50">
        <f>IF(A76&gt;Inputs!$C$62,"",INDEX(CapacityPlan!$I$7:$I$266,A76))</f>
        <v/>
      </c>
      <c r="J76" s="50">
        <f>IF(A76&gt;Inputs!$C$62,"",IF(G76&gt;I76,I76,G76))</f>
        <v/>
      </c>
      <c r="K76" s="51">
        <f>IF(A76&gt;Inputs!$C$62,"",IF(G76=0,1,J76/G76))</f>
        <v/>
      </c>
      <c r="L76" s="51">
        <f>IF((Inputs!$C$36 + UnitEconomics!$B$12*Inputs!$C$37 + Inputs!$C$10*Inputs!$C$38 + Inputs!$C$70*(1-K76))&gt;1,1,(Inputs!$C$36 + UnitEconomics!$B$12*Inputs!$C$37 + Inputs!$C$10*Inputs!$C$38 + Inputs!$C$70*(1-K76)))</f>
        <v/>
      </c>
      <c r="M76" s="52">
        <f>IF(A76&gt;Inputs!$C$62,"",J76*Inputs!$C$7*(1-Inputs!$C$8)*(1-L76))</f>
        <v/>
      </c>
      <c r="N76" s="52">
        <f>IF(A76&gt;Inputs!$C$62,"",J76*UnitEconomics!$B$32*AI76 + (G76-J76)*Inputs!$C$71)</f>
        <v/>
      </c>
      <c r="O76" s="52">
        <f>M76-N76</f>
        <v/>
      </c>
      <c r="P76" s="52">
        <f>IF(A76&gt;Inputs!$C$62,"",Inputs!$C$40 + H76*Inputs!$C$41)</f>
        <v/>
      </c>
      <c r="Q76" s="52">
        <f>O76-P76</f>
        <v/>
      </c>
      <c r="R76" s="50">
        <f>IF(A76&gt;Inputs!$C$62,"",AD76*Inputs!$C$16*(Inputs!$C$9 + Inputs!$C$10*Inputs!$C$11 + Inputs!$C$12)*(1 + VLOOKUP(Inputs!$C$15,Lookups!$A$2:$B$20,2,TRUE)*(Scale!$B$9/IF(Scale!$B$8=0,1,Scale!$B$8)) + Inputs!$C$52))</f>
        <v/>
      </c>
      <c r="S76" s="50">
        <f>IF(A76=1,Scale!$B$13, W75)</f>
        <v/>
      </c>
      <c r="T76" s="50">
        <f>J76*Inputs!$C$16*(Inputs!$C$19 + Inputs!$C$20*Inputs!$C$21 + 1/Inputs!$C$18)</f>
        <v/>
      </c>
      <c r="U76" s="50">
        <f>MAX(0, (R76*(1+Inputs!$C$74)) - (S76 - T76))</f>
        <v/>
      </c>
      <c r="V76" s="50">
        <f>IF(A76&lt;=Inputs!$C$73,0,INDEX(U:U,ROW()-Inputs!$C$73))</f>
        <v/>
      </c>
      <c r="W76" s="50">
        <f>S76 - T76 + V76</f>
        <v/>
      </c>
      <c r="X76" s="52">
        <f>V76*Inputs!$C$17</f>
        <v/>
      </c>
      <c r="Y76" s="52">
        <f>IF(A76&gt;Inputs!$C$62,"",C76*AE76)</f>
        <v/>
      </c>
      <c r="Z76" s="52">
        <f>IF(A76=1,Inputs!$C$72,AA75)</f>
        <v/>
      </c>
      <c r="AA76" s="52">
        <f>Z76 + M76 - N76 - P76 - X76 - Y76</f>
        <v/>
      </c>
      <c r="AB76" s="53">
        <f>IF(AA76&lt;0,1,0)</f>
        <v/>
      </c>
      <c r="AC76" s="54">
        <f>IF(AD76=0,0,R76/(AD76*Inputs!$C$16))</f>
        <v/>
      </c>
      <c r="AD76" s="53">
        <f>IF(A76&gt;Inputs!$C$62,"",B76+C76)</f>
        <v/>
      </c>
      <c r="AE76" s="56">
        <f>IF(A76&gt;Inputs!$C$62,"", Inputs!$C$65*(1+Inputs!$C$89*POWER(MIN(1,IF(Inputs!$C$88=0,0,B76/Inputs!$C$88)),Inputs!$C$90)))</f>
        <v/>
      </c>
      <c r="AF76" s="52">
        <f>IF(A76&gt;Inputs!$C$62,"",IF(A76=1,Inputs!$C$86,MIN(Inputs!$C$86,Inputs!$C$87*M75)))</f>
        <v/>
      </c>
      <c r="AG76" s="51">
        <f>IF(A76&gt;Inputs!$C$62,"",MIN(0.5,MAX(0, Inputs!$C$67*L76 + Inputs!$C$68*(1-K76) + Inputs!$C$69*Inputs!$C$10)))</f>
        <v/>
      </c>
      <c r="AH76" s="51">
        <f>IF(A76&gt;Inputs!$C$62,"",INDEX(CapacityPlan!$G$7:$G$266,A76))</f>
        <v/>
      </c>
      <c r="AI76" s="54">
        <f>IF(A76&gt;Inputs!$C$62,"",INDEX(CapacityPlan!$J$7:$J$266,A76))</f>
        <v/>
      </c>
      <c r="AJ76" s="51">
        <f>IF(A76&gt;Inputs!$C$62,"",IF(I76=0,"",G76/I76))</f>
        <v/>
      </c>
    </row>
    <row r="77" ht="16" customHeight="1">
      <c r="A77" s="15" t="n">
        <v>55</v>
      </c>
      <c r="B77" s="50">
        <f>IF(A77&gt;Inputs!$C$62,"",IF(Inputs!$C$80=1,INDEX(Cohorts!$B$67:$B$326,A77),IF(A77=1,Inputs!$C$63,F76)))</f>
        <v/>
      </c>
      <c r="C77" s="50">
        <f>IF(A77&gt;Inputs!$C$62,"",IF(Inputs!$C$85=0,Inputs!$C$64,MIN(Inputs!$C$91,IF(AE77=0,0,AF77/AE77))))</f>
        <v/>
      </c>
      <c r="D77" s="51">
        <f>IF(A77&gt;Inputs!$C$62,"",IF(Inputs!$C$80=1,INDEX(Cohorts!$G$67:$G$326,A77),MAX(0, Inputs!$C$66 + Inputs!$C$67*L77 + Inputs!$C$68*(1-K77) + Inputs!$C$69*Inputs!$C$10)))</f>
        <v/>
      </c>
      <c r="E77" s="50">
        <f>IF(A77&gt;Inputs!$C$62,"",IF(Inputs!$C$80=1,INDEX(Cohorts!$H$67:$H$326,A77),D77*AD77))</f>
        <v/>
      </c>
      <c r="F77" s="50">
        <f>IF(A77&gt;Inputs!$C$62,"",IF(Inputs!$C$80=1,INDEX(Cohorts!$I$67:$I$326,A77),AD77-E77))</f>
        <v/>
      </c>
      <c r="G77" s="50">
        <f>IF(A77&gt;Inputs!$C$62,"",AD77)</f>
        <v/>
      </c>
      <c r="H77" s="50">
        <f>IF(A77&gt;Inputs!$C$62,"",INDEX(CapacityPlan!$E$7:$E$266,A77))</f>
        <v/>
      </c>
      <c r="I77" s="50">
        <f>IF(A77&gt;Inputs!$C$62,"",INDEX(CapacityPlan!$I$7:$I$266,A77))</f>
        <v/>
      </c>
      <c r="J77" s="50">
        <f>IF(A77&gt;Inputs!$C$62,"",IF(G77&gt;I77,I77,G77))</f>
        <v/>
      </c>
      <c r="K77" s="51">
        <f>IF(A77&gt;Inputs!$C$62,"",IF(G77=0,1,J77/G77))</f>
        <v/>
      </c>
      <c r="L77" s="51">
        <f>IF((Inputs!$C$36 + UnitEconomics!$B$12*Inputs!$C$37 + Inputs!$C$10*Inputs!$C$38 + Inputs!$C$70*(1-K77))&gt;1,1,(Inputs!$C$36 + UnitEconomics!$B$12*Inputs!$C$37 + Inputs!$C$10*Inputs!$C$38 + Inputs!$C$70*(1-K77)))</f>
        <v/>
      </c>
      <c r="M77" s="52">
        <f>IF(A77&gt;Inputs!$C$62,"",J77*Inputs!$C$7*(1-Inputs!$C$8)*(1-L77))</f>
        <v/>
      </c>
      <c r="N77" s="52">
        <f>IF(A77&gt;Inputs!$C$62,"",J77*UnitEconomics!$B$32*AI77 + (G77-J77)*Inputs!$C$71)</f>
        <v/>
      </c>
      <c r="O77" s="52">
        <f>M77-N77</f>
        <v/>
      </c>
      <c r="P77" s="52">
        <f>IF(A77&gt;Inputs!$C$62,"",Inputs!$C$40 + H77*Inputs!$C$41)</f>
        <v/>
      </c>
      <c r="Q77" s="52">
        <f>O77-P77</f>
        <v/>
      </c>
      <c r="R77" s="50">
        <f>IF(A77&gt;Inputs!$C$62,"",AD77*Inputs!$C$16*(Inputs!$C$9 + Inputs!$C$10*Inputs!$C$11 + Inputs!$C$12)*(1 + VLOOKUP(Inputs!$C$15,Lookups!$A$2:$B$20,2,TRUE)*(Scale!$B$9/IF(Scale!$B$8=0,1,Scale!$B$8)) + Inputs!$C$52))</f>
        <v/>
      </c>
      <c r="S77" s="50">
        <f>IF(A77=1,Scale!$B$13, W76)</f>
        <v/>
      </c>
      <c r="T77" s="50">
        <f>J77*Inputs!$C$16*(Inputs!$C$19 + Inputs!$C$20*Inputs!$C$21 + 1/Inputs!$C$18)</f>
        <v/>
      </c>
      <c r="U77" s="50">
        <f>MAX(0, (R77*(1+Inputs!$C$74)) - (S77 - T77))</f>
        <v/>
      </c>
      <c r="V77" s="50">
        <f>IF(A77&lt;=Inputs!$C$73,0,INDEX(U:U,ROW()-Inputs!$C$73))</f>
        <v/>
      </c>
      <c r="W77" s="50">
        <f>S77 - T77 + V77</f>
        <v/>
      </c>
      <c r="X77" s="52">
        <f>V77*Inputs!$C$17</f>
        <v/>
      </c>
      <c r="Y77" s="52">
        <f>IF(A77&gt;Inputs!$C$62,"",C77*AE77)</f>
        <v/>
      </c>
      <c r="Z77" s="52">
        <f>IF(A77=1,Inputs!$C$72,AA76)</f>
        <v/>
      </c>
      <c r="AA77" s="52">
        <f>Z77 + M77 - N77 - P77 - X77 - Y77</f>
        <v/>
      </c>
      <c r="AB77" s="53">
        <f>IF(AA77&lt;0,1,0)</f>
        <v/>
      </c>
      <c r="AC77" s="54">
        <f>IF(AD77=0,0,R77/(AD77*Inputs!$C$16))</f>
        <v/>
      </c>
      <c r="AD77" s="53">
        <f>IF(A77&gt;Inputs!$C$62,"",B77+C77)</f>
        <v/>
      </c>
      <c r="AE77" s="56">
        <f>IF(A77&gt;Inputs!$C$62,"", Inputs!$C$65*(1+Inputs!$C$89*POWER(MIN(1,IF(Inputs!$C$88=0,0,B77/Inputs!$C$88)),Inputs!$C$90)))</f>
        <v/>
      </c>
      <c r="AF77" s="52">
        <f>IF(A77&gt;Inputs!$C$62,"",IF(A77=1,Inputs!$C$86,MIN(Inputs!$C$86,Inputs!$C$87*M76)))</f>
        <v/>
      </c>
      <c r="AG77" s="51">
        <f>IF(A77&gt;Inputs!$C$62,"",MIN(0.5,MAX(0, Inputs!$C$67*L77 + Inputs!$C$68*(1-K77) + Inputs!$C$69*Inputs!$C$10)))</f>
        <v/>
      </c>
      <c r="AH77" s="51">
        <f>IF(A77&gt;Inputs!$C$62,"",INDEX(CapacityPlan!$G$7:$G$266,A77))</f>
        <v/>
      </c>
      <c r="AI77" s="54">
        <f>IF(A77&gt;Inputs!$C$62,"",INDEX(CapacityPlan!$J$7:$J$266,A77))</f>
        <v/>
      </c>
      <c r="AJ77" s="51">
        <f>IF(A77&gt;Inputs!$C$62,"",IF(I77=0,"",G77/I77))</f>
        <v/>
      </c>
    </row>
    <row r="78" ht="16" customHeight="1">
      <c r="A78" s="15" t="n">
        <v>56</v>
      </c>
      <c r="B78" s="50">
        <f>IF(A78&gt;Inputs!$C$62,"",IF(Inputs!$C$80=1,INDEX(Cohorts!$B$67:$B$326,A78),IF(A78=1,Inputs!$C$63,F77)))</f>
        <v/>
      </c>
      <c r="C78" s="50">
        <f>IF(A78&gt;Inputs!$C$62,"",IF(Inputs!$C$85=0,Inputs!$C$64,MIN(Inputs!$C$91,IF(AE78=0,0,AF78/AE78))))</f>
        <v/>
      </c>
      <c r="D78" s="51">
        <f>IF(A78&gt;Inputs!$C$62,"",IF(Inputs!$C$80=1,INDEX(Cohorts!$G$67:$G$326,A78),MAX(0, Inputs!$C$66 + Inputs!$C$67*L78 + Inputs!$C$68*(1-K78) + Inputs!$C$69*Inputs!$C$10)))</f>
        <v/>
      </c>
      <c r="E78" s="50">
        <f>IF(A78&gt;Inputs!$C$62,"",IF(Inputs!$C$80=1,INDEX(Cohorts!$H$67:$H$326,A78),D78*AD78))</f>
        <v/>
      </c>
      <c r="F78" s="50">
        <f>IF(A78&gt;Inputs!$C$62,"",IF(Inputs!$C$80=1,INDEX(Cohorts!$I$67:$I$326,A78),AD78-E78))</f>
        <v/>
      </c>
      <c r="G78" s="50">
        <f>IF(A78&gt;Inputs!$C$62,"",AD78)</f>
        <v/>
      </c>
      <c r="H78" s="50">
        <f>IF(A78&gt;Inputs!$C$62,"",INDEX(CapacityPlan!$E$7:$E$266,A78))</f>
        <v/>
      </c>
      <c r="I78" s="50">
        <f>IF(A78&gt;Inputs!$C$62,"",INDEX(CapacityPlan!$I$7:$I$266,A78))</f>
        <v/>
      </c>
      <c r="J78" s="50">
        <f>IF(A78&gt;Inputs!$C$62,"",IF(G78&gt;I78,I78,G78))</f>
        <v/>
      </c>
      <c r="K78" s="51">
        <f>IF(A78&gt;Inputs!$C$62,"",IF(G78=0,1,J78/G78))</f>
        <v/>
      </c>
      <c r="L78" s="51">
        <f>IF((Inputs!$C$36 + UnitEconomics!$B$12*Inputs!$C$37 + Inputs!$C$10*Inputs!$C$38 + Inputs!$C$70*(1-K78))&gt;1,1,(Inputs!$C$36 + UnitEconomics!$B$12*Inputs!$C$37 + Inputs!$C$10*Inputs!$C$38 + Inputs!$C$70*(1-K78)))</f>
        <v/>
      </c>
      <c r="M78" s="52">
        <f>IF(A78&gt;Inputs!$C$62,"",J78*Inputs!$C$7*(1-Inputs!$C$8)*(1-L78))</f>
        <v/>
      </c>
      <c r="N78" s="52">
        <f>IF(A78&gt;Inputs!$C$62,"",J78*UnitEconomics!$B$32*AI78 + (G78-J78)*Inputs!$C$71)</f>
        <v/>
      </c>
      <c r="O78" s="52">
        <f>M78-N78</f>
        <v/>
      </c>
      <c r="P78" s="52">
        <f>IF(A78&gt;Inputs!$C$62,"",Inputs!$C$40 + H78*Inputs!$C$41)</f>
        <v/>
      </c>
      <c r="Q78" s="52">
        <f>O78-P78</f>
        <v/>
      </c>
      <c r="R78" s="50">
        <f>IF(A78&gt;Inputs!$C$62,"",AD78*Inputs!$C$16*(Inputs!$C$9 + Inputs!$C$10*Inputs!$C$11 + Inputs!$C$12)*(1 + VLOOKUP(Inputs!$C$15,Lookups!$A$2:$B$20,2,TRUE)*(Scale!$B$9/IF(Scale!$B$8=0,1,Scale!$B$8)) + Inputs!$C$52))</f>
        <v/>
      </c>
      <c r="S78" s="50">
        <f>IF(A78=1,Scale!$B$13, W77)</f>
        <v/>
      </c>
      <c r="T78" s="50">
        <f>J78*Inputs!$C$16*(Inputs!$C$19 + Inputs!$C$20*Inputs!$C$21 + 1/Inputs!$C$18)</f>
        <v/>
      </c>
      <c r="U78" s="50">
        <f>MAX(0, (R78*(1+Inputs!$C$74)) - (S78 - T78))</f>
        <v/>
      </c>
      <c r="V78" s="50">
        <f>IF(A78&lt;=Inputs!$C$73,0,INDEX(U:U,ROW()-Inputs!$C$73))</f>
        <v/>
      </c>
      <c r="W78" s="50">
        <f>S78 - T78 + V78</f>
        <v/>
      </c>
      <c r="X78" s="52">
        <f>V78*Inputs!$C$17</f>
        <v/>
      </c>
      <c r="Y78" s="52">
        <f>IF(A78&gt;Inputs!$C$62,"",C78*AE78)</f>
        <v/>
      </c>
      <c r="Z78" s="52">
        <f>IF(A78=1,Inputs!$C$72,AA77)</f>
        <v/>
      </c>
      <c r="AA78" s="52">
        <f>Z78 + M78 - N78 - P78 - X78 - Y78</f>
        <v/>
      </c>
      <c r="AB78" s="53">
        <f>IF(AA78&lt;0,1,0)</f>
        <v/>
      </c>
      <c r="AC78" s="54">
        <f>IF(AD78=0,0,R78/(AD78*Inputs!$C$16))</f>
        <v/>
      </c>
      <c r="AD78" s="53">
        <f>IF(A78&gt;Inputs!$C$62,"",B78+C78)</f>
        <v/>
      </c>
      <c r="AE78" s="56">
        <f>IF(A78&gt;Inputs!$C$62,"", Inputs!$C$65*(1+Inputs!$C$89*POWER(MIN(1,IF(Inputs!$C$88=0,0,B78/Inputs!$C$88)),Inputs!$C$90)))</f>
        <v/>
      </c>
      <c r="AF78" s="52">
        <f>IF(A78&gt;Inputs!$C$62,"",IF(A78=1,Inputs!$C$86,MIN(Inputs!$C$86,Inputs!$C$87*M77)))</f>
        <v/>
      </c>
      <c r="AG78" s="51">
        <f>IF(A78&gt;Inputs!$C$62,"",MIN(0.5,MAX(0, Inputs!$C$67*L78 + Inputs!$C$68*(1-K78) + Inputs!$C$69*Inputs!$C$10)))</f>
        <v/>
      </c>
      <c r="AH78" s="51">
        <f>IF(A78&gt;Inputs!$C$62,"",INDEX(CapacityPlan!$G$7:$G$266,A78))</f>
        <v/>
      </c>
      <c r="AI78" s="54">
        <f>IF(A78&gt;Inputs!$C$62,"",INDEX(CapacityPlan!$J$7:$J$266,A78))</f>
        <v/>
      </c>
      <c r="AJ78" s="51">
        <f>IF(A78&gt;Inputs!$C$62,"",IF(I78=0,"",G78/I78))</f>
        <v/>
      </c>
    </row>
    <row r="79" ht="16" customHeight="1">
      <c r="A79" s="15" t="n">
        <v>57</v>
      </c>
      <c r="B79" s="50">
        <f>IF(A79&gt;Inputs!$C$62,"",IF(Inputs!$C$80=1,INDEX(Cohorts!$B$67:$B$326,A79),IF(A79=1,Inputs!$C$63,F78)))</f>
        <v/>
      </c>
      <c r="C79" s="50">
        <f>IF(A79&gt;Inputs!$C$62,"",IF(Inputs!$C$85=0,Inputs!$C$64,MIN(Inputs!$C$91,IF(AE79=0,0,AF79/AE79))))</f>
        <v/>
      </c>
      <c r="D79" s="51">
        <f>IF(A79&gt;Inputs!$C$62,"",IF(Inputs!$C$80=1,INDEX(Cohorts!$G$67:$G$326,A79),MAX(0, Inputs!$C$66 + Inputs!$C$67*L79 + Inputs!$C$68*(1-K79) + Inputs!$C$69*Inputs!$C$10)))</f>
        <v/>
      </c>
      <c r="E79" s="50">
        <f>IF(A79&gt;Inputs!$C$62,"",IF(Inputs!$C$80=1,INDEX(Cohorts!$H$67:$H$326,A79),D79*AD79))</f>
        <v/>
      </c>
      <c r="F79" s="50">
        <f>IF(A79&gt;Inputs!$C$62,"",IF(Inputs!$C$80=1,INDEX(Cohorts!$I$67:$I$326,A79),AD79-E79))</f>
        <v/>
      </c>
      <c r="G79" s="50">
        <f>IF(A79&gt;Inputs!$C$62,"",AD79)</f>
        <v/>
      </c>
      <c r="H79" s="50">
        <f>IF(A79&gt;Inputs!$C$62,"",INDEX(CapacityPlan!$E$7:$E$266,A79))</f>
        <v/>
      </c>
      <c r="I79" s="50">
        <f>IF(A79&gt;Inputs!$C$62,"",INDEX(CapacityPlan!$I$7:$I$266,A79))</f>
        <v/>
      </c>
      <c r="J79" s="50">
        <f>IF(A79&gt;Inputs!$C$62,"",IF(G79&gt;I79,I79,G79))</f>
        <v/>
      </c>
      <c r="K79" s="51">
        <f>IF(A79&gt;Inputs!$C$62,"",IF(G79=0,1,J79/G79))</f>
        <v/>
      </c>
      <c r="L79" s="51">
        <f>IF((Inputs!$C$36 + UnitEconomics!$B$12*Inputs!$C$37 + Inputs!$C$10*Inputs!$C$38 + Inputs!$C$70*(1-K79))&gt;1,1,(Inputs!$C$36 + UnitEconomics!$B$12*Inputs!$C$37 + Inputs!$C$10*Inputs!$C$38 + Inputs!$C$70*(1-K79)))</f>
        <v/>
      </c>
      <c r="M79" s="52">
        <f>IF(A79&gt;Inputs!$C$62,"",J79*Inputs!$C$7*(1-Inputs!$C$8)*(1-L79))</f>
        <v/>
      </c>
      <c r="N79" s="52">
        <f>IF(A79&gt;Inputs!$C$62,"",J79*UnitEconomics!$B$32*AI79 + (G79-J79)*Inputs!$C$71)</f>
        <v/>
      </c>
      <c r="O79" s="52">
        <f>M79-N79</f>
        <v/>
      </c>
      <c r="P79" s="52">
        <f>IF(A79&gt;Inputs!$C$62,"",Inputs!$C$40 + H79*Inputs!$C$41)</f>
        <v/>
      </c>
      <c r="Q79" s="52">
        <f>O79-P79</f>
        <v/>
      </c>
      <c r="R79" s="50">
        <f>IF(A79&gt;Inputs!$C$62,"",AD79*Inputs!$C$16*(Inputs!$C$9 + Inputs!$C$10*Inputs!$C$11 + Inputs!$C$12)*(1 + VLOOKUP(Inputs!$C$15,Lookups!$A$2:$B$20,2,TRUE)*(Scale!$B$9/IF(Scale!$B$8=0,1,Scale!$B$8)) + Inputs!$C$52))</f>
        <v/>
      </c>
      <c r="S79" s="50">
        <f>IF(A79=1,Scale!$B$13, W78)</f>
        <v/>
      </c>
      <c r="T79" s="50">
        <f>J79*Inputs!$C$16*(Inputs!$C$19 + Inputs!$C$20*Inputs!$C$21 + 1/Inputs!$C$18)</f>
        <v/>
      </c>
      <c r="U79" s="50">
        <f>MAX(0, (R79*(1+Inputs!$C$74)) - (S79 - T79))</f>
        <v/>
      </c>
      <c r="V79" s="50">
        <f>IF(A79&lt;=Inputs!$C$73,0,INDEX(U:U,ROW()-Inputs!$C$73))</f>
        <v/>
      </c>
      <c r="W79" s="50">
        <f>S79 - T79 + V79</f>
        <v/>
      </c>
      <c r="X79" s="52">
        <f>V79*Inputs!$C$17</f>
        <v/>
      </c>
      <c r="Y79" s="52">
        <f>IF(A79&gt;Inputs!$C$62,"",C79*AE79)</f>
        <v/>
      </c>
      <c r="Z79" s="52">
        <f>IF(A79=1,Inputs!$C$72,AA78)</f>
        <v/>
      </c>
      <c r="AA79" s="52">
        <f>Z79 + M79 - N79 - P79 - X79 - Y79</f>
        <v/>
      </c>
      <c r="AB79" s="53">
        <f>IF(AA79&lt;0,1,0)</f>
        <v/>
      </c>
      <c r="AC79" s="54">
        <f>IF(AD79=0,0,R79/(AD79*Inputs!$C$16))</f>
        <v/>
      </c>
      <c r="AD79" s="53">
        <f>IF(A79&gt;Inputs!$C$62,"",B79+C79)</f>
        <v/>
      </c>
      <c r="AE79" s="56">
        <f>IF(A79&gt;Inputs!$C$62,"", Inputs!$C$65*(1+Inputs!$C$89*POWER(MIN(1,IF(Inputs!$C$88=0,0,B79/Inputs!$C$88)),Inputs!$C$90)))</f>
        <v/>
      </c>
      <c r="AF79" s="52">
        <f>IF(A79&gt;Inputs!$C$62,"",IF(A79=1,Inputs!$C$86,MIN(Inputs!$C$86,Inputs!$C$87*M78)))</f>
        <v/>
      </c>
      <c r="AG79" s="51">
        <f>IF(A79&gt;Inputs!$C$62,"",MIN(0.5,MAX(0, Inputs!$C$67*L79 + Inputs!$C$68*(1-K79) + Inputs!$C$69*Inputs!$C$10)))</f>
        <v/>
      </c>
      <c r="AH79" s="51">
        <f>IF(A79&gt;Inputs!$C$62,"",INDEX(CapacityPlan!$G$7:$G$266,A79))</f>
        <v/>
      </c>
      <c r="AI79" s="54">
        <f>IF(A79&gt;Inputs!$C$62,"",INDEX(CapacityPlan!$J$7:$J$266,A79))</f>
        <v/>
      </c>
      <c r="AJ79" s="51">
        <f>IF(A79&gt;Inputs!$C$62,"",IF(I79=0,"",G79/I79))</f>
        <v/>
      </c>
    </row>
    <row r="80" ht="16" customHeight="1">
      <c r="A80" s="15" t="n">
        <v>58</v>
      </c>
      <c r="B80" s="50">
        <f>IF(A80&gt;Inputs!$C$62,"",IF(Inputs!$C$80=1,INDEX(Cohorts!$B$67:$B$326,A80),IF(A80=1,Inputs!$C$63,F79)))</f>
        <v/>
      </c>
      <c r="C80" s="50">
        <f>IF(A80&gt;Inputs!$C$62,"",IF(Inputs!$C$85=0,Inputs!$C$64,MIN(Inputs!$C$91,IF(AE80=0,0,AF80/AE80))))</f>
        <v/>
      </c>
      <c r="D80" s="51">
        <f>IF(A80&gt;Inputs!$C$62,"",IF(Inputs!$C$80=1,INDEX(Cohorts!$G$67:$G$326,A80),MAX(0, Inputs!$C$66 + Inputs!$C$67*L80 + Inputs!$C$68*(1-K80) + Inputs!$C$69*Inputs!$C$10)))</f>
        <v/>
      </c>
      <c r="E80" s="50">
        <f>IF(A80&gt;Inputs!$C$62,"",IF(Inputs!$C$80=1,INDEX(Cohorts!$H$67:$H$326,A80),D80*AD80))</f>
        <v/>
      </c>
      <c r="F80" s="50">
        <f>IF(A80&gt;Inputs!$C$62,"",IF(Inputs!$C$80=1,INDEX(Cohorts!$I$67:$I$326,A80),AD80-E80))</f>
        <v/>
      </c>
      <c r="G80" s="50">
        <f>IF(A80&gt;Inputs!$C$62,"",AD80)</f>
        <v/>
      </c>
      <c r="H80" s="50">
        <f>IF(A80&gt;Inputs!$C$62,"",INDEX(CapacityPlan!$E$7:$E$266,A80))</f>
        <v/>
      </c>
      <c r="I80" s="50">
        <f>IF(A80&gt;Inputs!$C$62,"",INDEX(CapacityPlan!$I$7:$I$266,A80))</f>
        <v/>
      </c>
      <c r="J80" s="50">
        <f>IF(A80&gt;Inputs!$C$62,"",IF(G80&gt;I80,I80,G80))</f>
        <v/>
      </c>
      <c r="K80" s="51">
        <f>IF(A80&gt;Inputs!$C$62,"",IF(G80=0,1,J80/G80))</f>
        <v/>
      </c>
      <c r="L80" s="51">
        <f>IF((Inputs!$C$36 + UnitEconomics!$B$12*Inputs!$C$37 + Inputs!$C$10*Inputs!$C$38 + Inputs!$C$70*(1-K80))&gt;1,1,(Inputs!$C$36 + UnitEconomics!$B$12*Inputs!$C$37 + Inputs!$C$10*Inputs!$C$38 + Inputs!$C$70*(1-K80)))</f>
        <v/>
      </c>
      <c r="M80" s="52">
        <f>IF(A80&gt;Inputs!$C$62,"",J80*Inputs!$C$7*(1-Inputs!$C$8)*(1-L80))</f>
        <v/>
      </c>
      <c r="N80" s="52">
        <f>IF(A80&gt;Inputs!$C$62,"",J80*UnitEconomics!$B$32*AI80 + (G80-J80)*Inputs!$C$71)</f>
        <v/>
      </c>
      <c r="O80" s="52">
        <f>M80-N80</f>
        <v/>
      </c>
      <c r="P80" s="52">
        <f>IF(A80&gt;Inputs!$C$62,"",Inputs!$C$40 + H80*Inputs!$C$41)</f>
        <v/>
      </c>
      <c r="Q80" s="52">
        <f>O80-P80</f>
        <v/>
      </c>
      <c r="R80" s="50">
        <f>IF(A80&gt;Inputs!$C$62,"",AD80*Inputs!$C$16*(Inputs!$C$9 + Inputs!$C$10*Inputs!$C$11 + Inputs!$C$12)*(1 + VLOOKUP(Inputs!$C$15,Lookups!$A$2:$B$20,2,TRUE)*(Scale!$B$9/IF(Scale!$B$8=0,1,Scale!$B$8)) + Inputs!$C$52))</f>
        <v/>
      </c>
      <c r="S80" s="50">
        <f>IF(A80=1,Scale!$B$13, W79)</f>
        <v/>
      </c>
      <c r="T80" s="50">
        <f>J80*Inputs!$C$16*(Inputs!$C$19 + Inputs!$C$20*Inputs!$C$21 + 1/Inputs!$C$18)</f>
        <v/>
      </c>
      <c r="U80" s="50">
        <f>MAX(0, (R80*(1+Inputs!$C$74)) - (S80 - T80))</f>
        <v/>
      </c>
      <c r="V80" s="50">
        <f>IF(A80&lt;=Inputs!$C$73,0,INDEX(U:U,ROW()-Inputs!$C$73))</f>
        <v/>
      </c>
      <c r="W80" s="50">
        <f>S80 - T80 + V80</f>
        <v/>
      </c>
      <c r="X80" s="52">
        <f>V80*Inputs!$C$17</f>
        <v/>
      </c>
      <c r="Y80" s="52">
        <f>IF(A80&gt;Inputs!$C$62,"",C80*AE80)</f>
        <v/>
      </c>
      <c r="Z80" s="52">
        <f>IF(A80=1,Inputs!$C$72,AA79)</f>
        <v/>
      </c>
      <c r="AA80" s="52">
        <f>Z80 + M80 - N80 - P80 - X80 - Y80</f>
        <v/>
      </c>
      <c r="AB80" s="53">
        <f>IF(AA80&lt;0,1,0)</f>
        <v/>
      </c>
      <c r="AC80" s="54">
        <f>IF(AD80=0,0,R80/(AD80*Inputs!$C$16))</f>
        <v/>
      </c>
      <c r="AD80" s="53">
        <f>IF(A80&gt;Inputs!$C$62,"",B80+C80)</f>
        <v/>
      </c>
      <c r="AE80" s="56">
        <f>IF(A80&gt;Inputs!$C$62,"", Inputs!$C$65*(1+Inputs!$C$89*POWER(MIN(1,IF(Inputs!$C$88=0,0,B80/Inputs!$C$88)),Inputs!$C$90)))</f>
        <v/>
      </c>
      <c r="AF80" s="52">
        <f>IF(A80&gt;Inputs!$C$62,"",IF(A80=1,Inputs!$C$86,MIN(Inputs!$C$86,Inputs!$C$87*M79)))</f>
        <v/>
      </c>
      <c r="AG80" s="51">
        <f>IF(A80&gt;Inputs!$C$62,"",MIN(0.5,MAX(0, Inputs!$C$67*L80 + Inputs!$C$68*(1-K80) + Inputs!$C$69*Inputs!$C$10)))</f>
        <v/>
      </c>
      <c r="AH80" s="51">
        <f>IF(A80&gt;Inputs!$C$62,"",INDEX(CapacityPlan!$G$7:$G$266,A80))</f>
        <v/>
      </c>
      <c r="AI80" s="54">
        <f>IF(A80&gt;Inputs!$C$62,"",INDEX(CapacityPlan!$J$7:$J$266,A80))</f>
        <v/>
      </c>
      <c r="AJ80" s="51">
        <f>IF(A80&gt;Inputs!$C$62,"",IF(I80=0,"",G80/I80))</f>
        <v/>
      </c>
    </row>
    <row r="81" ht="16" customHeight="1">
      <c r="A81" s="15" t="n">
        <v>59</v>
      </c>
      <c r="B81" s="50">
        <f>IF(A81&gt;Inputs!$C$62,"",IF(Inputs!$C$80=1,INDEX(Cohorts!$B$67:$B$326,A81),IF(A81=1,Inputs!$C$63,F80)))</f>
        <v/>
      </c>
      <c r="C81" s="50">
        <f>IF(A81&gt;Inputs!$C$62,"",IF(Inputs!$C$85=0,Inputs!$C$64,MIN(Inputs!$C$91,IF(AE81=0,0,AF81/AE81))))</f>
        <v/>
      </c>
      <c r="D81" s="51">
        <f>IF(A81&gt;Inputs!$C$62,"",IF(Inputs!$C$80=1,INDEX(Cohorts!$G$67:$G$326,A81),MAX(0, Inputs!$C$66 + Inputs!$C$67*L81 + Inputs!$C$68*(1-K81) + Inputs!$C$69*Inputs!$C$10)))</f>
        <v/>
      </c>
      <c r="E81" s="50">
        <f>IF(A81&gt;Inputs!$C$62,"",IF(Inputs!$C$80=1,INDEX(Cohorts!$H$67:$H$326,A81),D81*AD81))</f>
        <v/>
      </c>
      <c r="F81" s="50">
        <f>IF(A81&gt;Inputs!$C$62,"",IF(Inputs!$C$80=1,INDEX(Cohorts!$I$67:$I$326,A81),AD81-E81))</f>
        <v/>
      </c>
      <c r="G81" s="50">
        <f>IF(A81&gt;Inputs!$C$62,"",AD81)</f>
        <v/>
      </c>
      <c r="H81" s="50">
        <f>IF(A81&gt;Inputs!$C$62,"",INDEX(CapacityPlan!$E$7:$E$266,A81))</f>
        <v/>
      </c>
      <c r="I81" s="50">
        <f>IF(A81&gt;Inputs!$C$62,"",INDEX(CapacityPlan!$I$7:$I$266,A81))</f>
        <v/>
      </c>
      <c r="J81" s="50">
        <f>IF(A81&gt;Inputs!$C$62,"",IF(G81&gt;I81,I81,G81))</f>
        <v/>
      </c>
      <c r="K81" s="51">
        <f>IF(A81&gt;Inputs!$C$62,"",IF(G81=0,1,J81/G81))</f>
        <v/>
      </c>
      <c r="L81" s="51">
        <f>IF((Inputs!$C$36 + UnitEconomics!$B$12*Inputs!$C$37 + Inputs!$C$10*Inputs!$C$38 + Inputs!$C$70*(1-K81))&gt;1,1,(Inputs!$C$36 + UnitEconomics!$B$12*Inputs!$C$37 + Inputs!$C$10*Inputs!$C$38 + Inputs!$C$70*(1-K81)))</f>
        <v/>
      </c>
      <c r="M81" s="52">
        <f>IF(A81&gt;Inputs!$C$62,"",J81*Inputs!$C$7*(1-Inputs!$C$8)*(1-L81))</f>
        <v/>
      </c>
      <c r="N81" s="52">
        <f>IF(A81&gt;Inputs!$C$62,"",J81*UnitEconomics!$B$32*AI81 + (G81-J81)*Inputs!$C$71)</f>
        <v/>
      </c>
      <c r="O81" s="52">
        <f>M81-N81</f>
        <v/>
      </c>
      <c r="P81" s="52">
        <f>IF(A81&gt;Inputs!$C$62,"",Inputs!$C$40 + H81*Inputs!$C$41)</f>
        <v/>
      </c>
      <c r="Q81" s="52">
        <f>O81-P81</f>
        <v/>
      </c>
      <c r="R81" s="50">
        <f>IF(A81&gt;Inputs!$C$62,"",AD81*Inputs!$C$16*(Inputs!$C$9 + Inputs!$C$10*Inputs!$C$11 + Inputs!$C$12)*(1 + VLOOKUP(Inputs!$C$15,Lookups!$A$2:$B$20,2,TRUE)*(Scale!$B$9/IF(Scale!$B$8=0,1,Scale!$B$8)) + Inputs!$C$52))</f>
        <v/>
      </c>
      <c r="S81" s="50">
        <f>IF(A81=1,Scale!$B$13, W80)</f>
        <v/>
      </c>
      <c r="T81" s="50">
        <f>J81*Inputs!$C$16*(Inputs!$C$19 + Inputs!$C$20*Inputs!$C$21 + 1/Inputs!$C$18)</f>
        <v/>
      </c>
      <c r="U81" s="50">
        <f>MAX(0, (R81*(1+Inputs!$C$74)) - (S81 - T81))</f>
        <v/>
      </c>
      <c r="V81" s="50">
        <f>IF(A81&lt;=Inputs!$C$73,0,INDEX(U:U,ROW()-Inputs!$C$73))</f>
        <v/>
      </c>
      <c r="W81" s="50">
        <f>S81 - T81 + V81</f>
        <v/>
      </c>
      <c r="X81" s="52">
        <f>V81*Inputs!$C$17</f>
        <v/>
      </c>
      <c r="Y81" s="52">
        <f>IF(A81&gt;Inputs!$C$62,"",C81*AE81)</f>
        <v/>
      </c>
      <c r="Z81" s="52">
        <f>IF(A81=1,Inputs!$C$72,AA80)</f>
        <v/>
      </c>
      <c r="AA81" s="52">
        <f>Z81 + M81 - N81 - P81 - X81 - Y81</f>
        <v/>
      </c>
      <c r="AB81" s="53">
        <f>IF(AA81&lt;0,1,0)</f>
        <v/>
      </c>
      <c r="AC81" s="54">
        <f>IF(AD81=0,0,R81/(AD81*Inputs!$C$16))</f>
        <v/>
      </c>
      <c r="AD81" s="53">
        <f>IF(A81&gt;Inputs!$C$62,"",B81+C81)</f>
        <v/>
      </c>
      <c r="AE81" s="56">
        <f>IF(A81&gt;Inputs!$C$62,"", Inputs!$C$65*(1+Inputs!$C$89*POWER(MIN(1,IF(Inputs!$C$88=0,0,B81/Inputs!$C$88)),Inputs!$C$90)))</f>
        <v/>
      </c>
      <c r="AF81" s="52">
        <f>IF(A81&gt;Inputs!$C$62,"",IF(A81=1,Inputs!$C$86,MIN(Inputs!$C$86,Inputs!$C$87*M80)))</f>
        <v/>
      </c>
      <c r="AG81" s="51">
        <f>IF(A81&gt;Inputs!$C$62,"",MIN(0.5,MAX(0, Inputs!$C$67*L81 + Inputs!$C$68*(1-K81) + Inputs!$C$69*Inputs!$C$10)))</f>
        <v/>
      </c>
      <c r="AH81" s="51">
        <f>IF(A81&gt;Inputs!$C$62,"",INDEX(CapacityPlan!$G$7:$G$266,A81))</f>
        <v/>
      </c>
      <c r="AI81" s="54">
        <f>IF(A81&gt;Inputs!$C$62,"",INDEX(CapacityPlan!$J$7:$J$266,A81))</f>
        <v/>
      </c>
      <c r="AJ81" s="51">
        <f>IF(A81&gt;Inputs!$C$62,"",IF(I81=0,"",G81/I81))</f>
        <v/>
      </c>
    </row>
    <row r="82" ht="16" customHeight="1">
      <c r="A82" s="15" t="n">
        <v>60</v>
      </c>
      <c r="B82" s="50">
        <f>IF(A82&gt;Inputs!$C$62,"",IF(Inputs!$C$80=1,INDEX(Cohorts!$B$67:$B$326,A82),IF(A82=1,Inputs!$C$63,F81)))</f>
        <v/>
      </c>
      <c r="C82" s="50">
        <f>IF(A82&gt;Inputs!$C$62,"",IF(Inputs!$C$85=0,Inputs!$C$64,MIN(Inputs!$C$91,IF(AE82=0,0,AF82/AE82))))</f>
        <v/>
      </c>
      <c r="D82" s="51">
        <f>IF(A82&gt;Inputs!$C$62,"",IF(Inputs!$C$80=1,INDEX(Cohorts!$G$67:$G$326,A82),MAX(0, Inputs!$C$66 + Inputs!$C$67*L82 + Inputs!$C$68*(1-K82) + Inputs!$C$69*Inputs!$C$10)))</f>
        <v/>
      </c>
      <c r="E82" s="50">
        <f>IF(A82&gt;Inputs!$C$62,"",IF(Inputs!$C$80=1,INDEX(Cohorts!$H$67:$H$326,A82),D82*AD82))</f>
        <v/>
      </c>
      <c r="F82" s="50">
        <f>IF(A82&gt;Inputs!$C$62,"",IF(Inputs!$C$80=1,INDEX(Cohorts!$I$67:$I$326,A82),AD82-E82))</f>
        <v/>
      </c>
      <c r="G82" s="50">
        <f>IF(A82&gt;Inputs!$C$62,"",AD82)</f>
        <v/>
      </c>
      <c r="H82" s="50">
        <f>IF(A82&gt;Inputs!$C$62,"",INDEX(CapacityPlan!$E$7:$E$266,A82))</f>
        <v/>
      </c>
      <c r="I82" s="50">
        <f>IF(A82&gt;Inputs!$C$62,"",INDEX(CapacityPlan!$I$7:$I$266,A82))</f>
        <v/>
      </c>
      <c r="J82" s="50">
        <f>IF(A82&gt;Inputs!$C$62,"",IF(G82&gt;I82,I82,G82))</f>
        <v/>
      </c>
      <c r="K82" s="51">
        <f>IF(A82&gt;Inputs!$C$62,"",IF(G82=0,1,J82/G82))</f>
        <v/>
      </c>
      <c r="L82" s="51">
        <f>IF((Inputs!$C$36 + UnitEconomics!$B$12*Inputs!$C$37 + Inputs!$C$10*Inputs!$C$38 + Inputs!$C$70*(1-K82))&gt;1,1,(Inputs!$C$36 + UnitEconomics!$B$12*Inputs!$C$37 + Inputs!$C$10*Inputs!$C$38 + Inputs!$C$70*(1-K82)))</f>
        <v/>
      </c>
      <c r="M82" s="52">
        <f>IF(A82&gt;Inputs!$C$62,"",J82*Inputs!$C$7*(1-Inputs!$C$8)*(1-L82))</f>
        <v/>
      </c>
      <c r="N82" s="52">
        <f>IF(A82&gt;Inputs!$C$62,"",J82*UnitEconomics!$B$32*AI82 + (G82-J82)*Inputs!$C$71)</f>
        <v/>
      </c>
      <c r="O82" s="52">
        <f>M82-N82</f>
        <v/>
      </c>
      <c r="P82" s="52">
        <f>IF(A82&gt;Inputs!$C$62,"",Inputs!$C$40 + H82*Inputs!$C$41)</f>
        <v/>
      </c>
      <c r="Q82" s="52">
        <f>O82-P82</f>
        <v/>
      </c>
      <c r="R82" s="50">
        <f>IF(A82&gt;Inputs!$C$62,"",AD82*Inputs!$C$16*(Inputs!$C$9 + Inputs!$C$10*Inputs!$C$11 + Inputs!$C$12)*(1 + VLOOKUP(Inputs!$C$15,Lookups!$A$2:$B$20,2,TRUE)*(Scale!$B$9/IF(Scale!$B$8=0,1,Scale!$B$8)) + Inputs!$C$52))</f>
        <v/>
      </c>
      <c r="S82" s="50">
        <f>IF(A82=1,Scale!$B$13, W81)</f>
        <v/>
      </c>
      <c r="T82" s="50">
        <f>J82*Inputs!$C$16*(Inputs!$C$19 + Inputs!$C$20*Inputs!$C$21 + 1/Inputs!$C$18)</f>
        <v/>
      </c>
      <c r="U82" s="50">
        <f>MAX(0, (R82*(1+Inputs!$C$74)) - (S82 - T82))</f>
        <v/>
      </c>
      <c r="V82" s="50">
        <f>IF(A82&lt;=Inputs!$C$73,0,INDEX(U:U,ROW()-Inputs!$C$73))</f>
        <v/>
      </c>
      <c r="W82" s="50">
        <f>S82 - T82 + V82</f>
        <v/>
      </c>
      <c r="X82" s="52">
        <f>V82*Inputs!$C$17</f>
        <v/>
      </c>
      <c r="Y82" s="52">
        <f>IF(A82&gt;Inputs!$C$62,"",C82*AE82)</f>
        <v/>
      </c>
      <c r="Z82" s="52">
        <f>IF(A82=1,Inputs!$C$72,AA81)</f>
        <v/>
      </c>
      <c r="AA82" s="52">
        <f>Z82 + M82 - N82 - P82 - X82 - Y82</f>
        <v/>
      </c>
      <c r="AB82" s="53">
        <f>IF(AA82&lt;0,1,0)</f>
        <v/>
      </c>
      <c r="AC82" s="54">
        <f>IF(AD82=0,0,R82/(AD82*Inputs!$C$16))</f>
        <v/>
      </c>
      <c r="AD82" s="53">
        <f>IF(A82&gt;Inputs!$C$62,"",B82+C82)</f>
        <v/>
      </c>
      <c r="AE82" s="56">
        <f>IF(A82&gt;Inputs!$C$62,"", Inputs!$C$65*(1+Inputs!$C$89*POWER(MIN(1,IF(Inputs!$C$88=0,0,B82/Inputs!$C$88)),Inputs!$C$90)))</f>
        <v/>
      </c>
      <c r="AF82" s="52">
        <f>IF(A82&gt;Inputs!$C$62,"",IF(A82=1,Inputs!$C$86,MIN(Inputs!$C$86,Inputs!$C$87*M81)))</f>
        <v/>
      </c>
      <c r="AG82" s="51">
        <f>IF(A82&gt;Inputs!$C$62,"",MIN(0.5,MAX(0, Inputs!$C$67*L82 + Inputs!$C$68*(1-K82) + Inputs!$C$69*Inputs!$C$10)))</f>
        <v/>
      </c>
      <c r="AH82" s="51">
        <f>IF(A82&gt;Inputs!$C$62,"",INDEX(CapacityPlan!$G$7:$G$266,A82))</f>
        <v/>
      </c>
      <c r="AI82" s="54">
        <f>IF(A82&gt;Inputs!$C$62,"",INDEX(CapacityPlan!$J$7:$J$266,A82))</f>
        <v/>
      </c>
      <c r="AJ82" s="51">
        <f>IF(A82&gt;Inputs!$C$62,"",IF(I82=0,"",G82/I82))</f>
        <v/>
      </c>
    </row>
    <row r="83" ht="16" customHeight="1">
      <c r="A83" s="15" t="n">
        <v>61</v>
      </c>
      <c r="B83" s="50">
        <f>IF(A83&gt;Inputs!$C$62,"",IF(Inputs!$C$80=1,INDEX(Cohorts!$B$67:$B$326,A83),IF(A83=1,Inputs!$C$63,F82)))</f>
        <v/>
      </c>
      <c r="C83" s="50">
        <f>IF(A83&gt;Inputs!$C$62,"",IF(Inputs!$C$85=0,Inputs!$C$64,MIN(Inputs!$C$91,IF(AE83=0,0,AF83/AE83))))</f>
        <v/>
      </c>
      <c r="D83" s="51">
        <f>IF(A83&gt;Inputs!$C$62,"",IF(Inputs!$C$80=1,INDEX(Cohorts!$G$67:$G$326,A83),MAX(0, Inputs!$C$66 + Inputs!$C$67*L83 + Inputs!$C$68*(1-K83) + Inputs!$C$69*Inputs!$C$10)))</f>
        <v/>
      </c>
      <c r="E83" s="50">
        <f>IF(A83&gt;Inputs!$C$62,"",IF(Inputs!$C$80=1,INDEX(Cohorts!$H$67:$H$326,A83),D83*AD83))</f>
        <v/>
      </c>
      <c r="F83" s="50">
        <f>IF(A83&gt;Inputs!$C$62,"",IF(Inputs!$C$80=1,INDEX(Cohorts!$I$67:$I$326,A83),AD83-E83))</f>
        <v/>
      </c>
      <c r="G83" s="50">
        <f>IF(A83&gt;Inputs!$C$62,"",AD83)</f>
        <v/>
      </c>
      <c r="H83" s="50">
        <f>IF(A83&gt;Inputs!$C$62,"",INDEX(CapacityPlan!$E$7:$E$266,A83))</f>
        <v/>
      </c>
      <c r="I83" s="50">
        <f>IF(A83&gt;Inputs!$C$62,"",INDEX(CapacityPlan!$I$7:$I$266,A83))</f>
        <v/>
      </c>
      <c r="J83" s="50">
        <f>IF(A83&gt;Inputs!$C$62,"",IF(G83&gt;I83,I83,G83))</f>
        <v/>
      </c>
      <c r="K83" s="51">
        <f>IF(A83&gt;Inputs!$C$62,"",IF(G83=0,1,J83/G83))</f>
        <v/>
      </c>
      <c r="L83" s="51">
        <f>IF((Inputs!$C$36 + UnitEconomics!$B$12*Inputs!$C$37 + Inputs!$C$10*Inputs!$C$38 + Inputs!$C$70*(1-K83))&gt;1,1,(Inputs!$C$36 + UnitEconomics!$B$12*Inputs!$C$37 + Inputs!$C$10*Inputs!$C$38 + Inputs!$C$70*(1-K83)))</f>
        <v/>
      </c>
      <c r="M83" s="52">
        <f>IF(A83&gt;Inputs!$C$62,"",J83*Inputs!$C$7*(1-Inputs!$C$8)*(1-L83))</f>
        <v/>
      </c>
      <c r="N83" s="52">
        <f>IF(A83&gt;Inputs!$C$62,"",J83*UnitEconomics!$B$32*AI83 + (G83-J83)*Inputs!$C$71)</f>
        <v/>
      </c>
      <c r="O83" s="52">
        <f>M83-N83</f>
        <v/>
      </c>
      <c r="P83" s="52">
        <f>IF(A83&gt;Inputs!$C$62,"",Inputs!$C$40 + H83*Inputs!$C$41)</f>
        <v/>
      </c>
      <c r="Q83" s="52">
        <f>O83-P83</f>
        <v/>
      </c>
      <c r="R83" s="50">
        <f>IF(A83&gt;Inputs!$C$62,"",AD83*Inputs!$C$16*(Inputs!$C$9 + Inputs!$C$10*Inputs!$C$11 + Inputs!$C$12)*(1 + VLOOKUP(Inputs!$C$15,Lookups!$A$2:$B$20,2,TRUE)*(Scale!$B$9/IF(Scale!$B$8=0,1,Scale!$B$8)) + Inputs!$C$52))</f>
        <v/>
      </c>
      <c r="S83" s="50">
        <f>IF(A83=1,Scale!$B$13, W82)</f>
        <v/>
      </c>
      <c r="T83" s="50">
        <f>J83*Inputs!$C$16*(Inputs!$C$19 + Inputs!$C$20*Inputs!$C$21 + 1/Inputs!$C$18)</f>
        <v/>
      </c>
      <c r="U83" s="50">
        <f>MAX(0, (R83*(1+Inputs!$C$74)) - (S83 - T83))</f>
        <v/>
      </c>
      <c r="V83" s="50">
        <f>IF(A83&lt;=Inputs!$C$73,0,INDEX(U:U,ROW()-Inputs!$C$73))</f>
        <v/>
      </c>
      <c r="W83" s="50">
        <f>S83 - T83 + V83</f>
        <v/>
      </c>
      <c r="X83" s="52">
        <f>V83*Inputs!$C$17</f>
        <v/>
      </c>
      <c r="Y83" s="52">
        <f>IF(A83&gt;Inputs!$C$62,"",C83*AE83)</f>
        <v/>
      </c>
      <c r="Z83" s="52">
        <f>IF(A83=1,Inputs!$C$72,AA82)</f>
        <v/>
      </c>
      <c r="AA83" s="52">
        <f>Z83 + M83 - N83 - P83 - X83 - Y83</f>
        <v/>
      </c>
      <c r="AB83" s="53">
        <f>IF(AA83&lt;0,1,0)</f>
        <v/>
      </c>
      <c r="AC83" s="54">
        <f>IF(AD83=0,0,R83/(AD83*Inputs!$C$16))</f>
        <v/>
      </c>
      <c r="AD83" s="53">
        <f>IF(A83&gt;Inputs!$C$62,"",B83+C83)</f>
        <v/>
      </c>
      <c r="AE83" s="56">
        <f>IF(A83&gt;Inputs!$C$62,"", Inputs!$C$65*(1+Inputs!$C$89*POWER(MIN(1,IF(Inputs!$C$88=0,0,B83/Inputs!$C$88)),Inputs!$C$90)))</f>
        <v/>
      </c>
      <c r="AF83" s="52">
        <f>IF(A83&gt;Inputs!$C$62,"",IF(A83=1,Inputs!$C$86,MIN(Inputs!$C$86,Inputs!$C$87*M82)))</f>
        <v/>
      </c>
      <c r="AG83" s="51">
        <f>IF(A83&gt;Inputs!$C$62,"",MIN(0.5,MAX(0, Inputs!$C$67*L83 + Inputs!$C$68*(1-K83) + Inputs!$C$69*Inputs!$C$10)))</f>
        <v/>
      </c>
      <c r="AH83" s="51">
        <f>IF(A83&gt;Inputs!$C$62,"",INDEX(CapacityPlan!$G$7:$G$266,A83))</f>
        <v/>
      </c>
      <c r="AI83" s="54">
        <f>IF(A83&gt;Inputs!$C$62,"",INDEX(CapacityPlan!$J$7:$J$266,A83))</f>
        <v/>
      </c>
      <c r="AJ83" s="51">
        <f>IF(A83&gt;Inputs!$C$62,"",IF(I83=0,"",G83/I83))</f>
        <v/>
      </c>
    </row>
    <row r="84" ht="16" customHeight="1">
      <c r="A84" s="15" t="n">
        <v>62</v>
      </c>
      <c r="B84" s="50">
        <f>IF(A84&gt;Inputs!$C$62,"",IF(Inputs!$C$80=1,INDEX(Cohorts!$B$67:$B$326,A84),IF(A84=1,Inputs!$C$63,F83)))</f>
        <v/>
      </c>
      <c r="C84" s="50">
        <f>IF(A84&gt;Inputs!$C$62,"",IF(Inputs!$C$85=0,Inputs!$C$64,MIN(Inputs!$C$91,IF(AE84=0,0,AF84/AE84))))</f>
        <v/>
      </c>
      <c r="D84" s="51">
        <f>IF(A84&gt;Inputs!$C$62,"",IF(Inputs!$C$80=1,INDEX(Cohorts!$G$67:$G$326,A84),MAX(0, Inputs!$C$66 + Inputs!$C$67*L84 + Inputs!$C$68*(1-K84) + Inputs!$C$69*Inputs!$C$10)))</f>
        <v/>
      </c>
      <c r="E84" s="50">
        <f>IF(A84&gt;Inputs!$C$62,"",IF(Inputs!$C$80=1,INDEX(Cohorts!$H$67:$H$326,A84),D84*AD84))</f>
        <v/>
      </c>
      <c r="F84" s="50">
        <f>IF(A84&gt;Inputs!$C$62,"",IF(Inputs!$C$80=1,INDEX(Cohorts!$I$67:$I$326,A84),AD84-E84))</f>
        <v/>
      </c>
      <c r="G84" s="50">
        <f>IF(A84&gt;Inputs!$C$62,"",AD84)</f>
        <v/>
      </c>
      <c r="H84" s="50">
        <f>IF(A84&gt;Inputs!$C$62,"",INDEX(CapacityPlan!$E$7:$E$266,A84))</f>
        <v/>
      </c>
      <c r="I84" s="50">
        <f>IF(A84&gt;Inputs!$C$62,"",INDEX(CapacityPlan!$I$7:$I$266,A84))</f>
        <v/>
      </c>
      <c r="J84" s="50">
        <f>IF(A84&gt;Inputs!$C$62,"",IF(G84&gt;I84,I84,G84))</f>
        <v/>
      </c>
      <c r="K84" s="51">
        <f>IF(A84&gt;Inputs!$C$62,"",IF(G84=0,1,J84/G84))</f>
        <v/>
      </c>
      <c r="L84" s="51">
        <f>IF((Inputs!$C$36 + UnitEconomics!$B$12*Inputs!$C$37 + Inputs!$C$10*Inputs!$C$38 + Inputs!$C$70*(1-K84))&gt;1,1,(Inputs!$C$36 + UnitEconomics!$B$12*Inputs!$C$37 + Inputs!$C$10*Inputs!$C$38 + Inputs!$C$70*(1-K84)))</f>
        <v/>
      </c>
      <c r="M84" s="52">
        <f>IF(A84&gt;Inputs!$C$62,"",J84*Inputs!$C$7*(1-Inputs!$C$8)*(1-L84))</f>
        <v/>
      </c>
      <c r="N84" s="52">
        <f>IF(A84&gt;Inputs!$C$62,"",J84*UnitEconomics!$B$32*AI84 + (G84-J84)*Inputs!$C$71)</f>
        <v/>
      </c>
      <c r="O84" s="52">
        <f>M84-N84</f>
        <v/>
      </c>
      <c r="P84" s="52">
        <f>IF(A84&gt;Inputs!$C$62,"",Inputs!$C$40 + H84*Inputs!$C$41)</f>
        <v/>
      </c>
      <c r="Q84" s="52">
        <f>O84-P84</f>
        <v/>
      </c>
      <c r="R84" s="50">
        <f>IF(A84&gt;Inputs!$C$62,"",AD84*Inputs!$C$16*(Inputs!$C$9 + Inputs!$C$10*Inputs!$C$11 + Inputs!$C$12)*(1 + VLOOKUP(Inputs!$C$15,Lookups!$A$2:$B$20,2,TRUE)*(Scale!$B$9/IF(Scale!$B$8=0,1,Scale!$B$8)) + Inputs!$C$52))</f>
        <v/>
      </c>
      <c r="S84" s="50">
        <f>IF(A84=1,Scale!$B$13, W83)</f>
        <v/>
      </c>
      <c r="T84" s="50">
        <f>J84*Inputs!$C$16*(Inputs!$C$19 + Inputs!$C$20*Inputs!$C$21 + 1/Inputs!$C$18)</f>
        <v/>
      </c>
      <c r="U84" s="50">
        <f>MAX(0, (R84*(1+Inputs!$C$74)) - (S84 - T84))</f>
        <v/>
      </c>
      <c r="V84" s="50">
        <f>IF(A84&lt;=Inputs!$C$73,0,INDEX(U:U,ROW()-Inputs!$C$73))</f>
        <v/>
      </c>
      <c r="W84" s="50">
        <f>S84 - T84 + V84</f>
        <v/>
      </c>
      <c r="X84" s="52">
        <f>V84*Inputs!$C$17</f>
        <v/>
      </c>
      <c r="Y84" s="52">
        <f>IF(A84&gt;Inputs!$C$62,"",C84*AE84)</f>
        <v/>
      </c>
      <c r="Z84" s="52">
        <f>IF(A84=1,Inputs!$C$72,AA83)</f>
        <v/>
      </c>
      <c r="AA84" s="52">
        <f>Z84 + M84 - N84 - P84 - X84 - Y84</f>
        <v/>
      </c>
      <c r="AB84" s="53">
        <f>IF(AA84&lt;0,1,0)</f>
        <v/>
      </c>
      <c r="AC84" s="54">
        <f>IF(AD84=0,0,R84/(AD84*Inputs!$C$16))</f>
        <v/>
      </c>
      <c r="AD84" s="53">
        <f>IF(A84&gt;Inputs!$C$62,"",B84+C84)</f>
        <v/>
      </c>
      <c r="AE84" s="56">
        <f>IF(A84&gt;Inputs!$C$62,"", Inputs!$C$65*(1+Inputs!$C$89*POWER(MIN(1,IF(Inputs!$C$88=0,0,B84/Inputs!$C$88)),Inputs!$C$90)))</f>
        <v/>
      </c>
      <c r="AF84" s="52">
        <f>IF(A84&gt;Inputs!$C$62,"",IF(A84=1,Inputs!$C$86,MIN(Inputs!$C$86,Inputs!$C$87*M83)))</f>
        <v/>
      </c>
      <c r="AG84" s="51">
        <f>IF(A84&gt;Inputs!$C$62,"",MIN(0.5,MAX(0, Inputs!$C$67*L84 + Inputs!$C$68*(1-K84) + Inputs!$C$69*Inputs!$C$10)))</f>
        <v/>
      </c>
      <c r="AH84" s="51">
        <f>IF(A84&gt;Inputs!$C$62,"",INDEX(CapacityPlan!$G$7:$G$266,A84))</f>
        <v/>
      </c>
      <c r="AI84" s="54">
        <f>IF(A84&gt;Inputs!$C$62,"",INDEX(CapacityPlan!$J$7:$J$266,A84))</f>
        <v/>
      </c>
      <c r="AJ84" s="51">
        <f>IF(A84&gt;Inputs!$C$62,"",IF(I84=0,"",G84/I84))</f>
        <v/>
      </c>
    </row>
    <row r="85" ht="16" customHeight="1">
      <c r="A85" s="15" t="n">
        <v>63</v>
      </c>
      <c r="B85" s="50">
        <f>IF(A85&gt;Inputs!$C$62,"",IF(Inputs!$C$80=1,INDEX(Cohorts!$B$67:$B$326,A85),IF(A85=1,Inputs!$C$63,F84)))</f>
        <v/>
      </c>
      <c r="C85" s="50">
        <f>IF(A85&gt;Inputs!$C$62,"",IF(Inputs!$C$85=0,Inputs!$C$64,MIN(Inputs!$C$91,IF(AE85=0,0,AF85/AE85))))</f>
        <v/>
      </c>
      <c r="D85" s="51">
        <f>IF(A85&gt;Inputs!$C$62,"",IF(Inputs!$C$80=1,INDEX(Cohorts!$G$67:$G$326,A85),MAX(0, Inputs!$C$66 + Inputs!$C$67*L85 + Inputs!$C$68*(1-K85) + Inputs!$C$69*Inputs!$C$10)))</f>
        <v/>
      </c>
      <c r="E85" s="50">
        <f>IF(A85&gt;Inputs!$C$62,"",IF(Inputs!$C$80=1,INDEX(Cohorts!$H$67:$H$326,A85),D85*AD85))</f>
        <v/>
      </c>
      <c r="F85" s="50">
        <f>IF(A85&gt;Inputs!$C$62,"",IF(Inputs!$C$80=1,INDEX(Cohorts!$I$67:$I$326,A85),AD85-E85))</f>
        <v/>
      </c>
      <c r="G85" s="50">
        <f>IF(A85&gt;Inputs!$C$62,"",AD85)</f>
        <v/>
      </c>
      <c r="H85" s="50">
        <f>IF(A85&gt;Inputs!$C$62,"",INDEX(CapacityPlan!$E$7:$E$266,A85))</f>
        <v/>
      </c>
      <c r="I85" s="50">
        <f>IF(A85&gt;Inputs!$C$62,"",INDEX(CapacityPlan!$I$7:$I$266,A85))</f>
        <v/>
      </c>
      <c r="J85" s="50">
        <f>IF(A85&gt;Inputs!$C$62,"",IF(G85&gt;I85,I85,G85))</f>
        <v/>
      </c>
      <c r="K85" s="51">
        <f>IF(A85&gt;Inputs!$C$62,"",IF(G85=0,1,J85/G85))</f>
        <v/>
      </c>
      <c r="L85" s="51">
        <f>IF((Inputs!$C$36 + UnitEconomics!$B$12*Inputs!$C$37 + Inputs!$C$10*Inputs!$C$38 + Inputs!$C$70*(1-K85))&gt;1,1,(Inputs!$C$36 + UnitEconomics!$B$12*Inputs!$C$37 + Inputs!$C$10*Inputs!$C$38 + Inputs!$C$70*(1-K85)))</f>
        <v/>
      </c>
      <c r="M85" s="52">
        <f>IF(A85&gt;Inputs!$C$62,"",J85*Inputs!$C$7*(1-Inputs!$C$8)*(1-L85))</f>
        <v/>
      </c>
      <c r="N85" s="52">
        <f>IF(A85&gt;Inputs!$C$62,"",J85*UnitEconomics!$B$32*AI85 + (G85-J85)*Inputs!$C$71)</f>
        <v/>
      </c>
      <c r="O85" s="52">
        <f>M85-N85</f>
        <v/>
      </c>
      <c r="P85" s="52">
        <f>IF(A85&gt;Inputs!$C$62,"",Inputs!$C$40 + H85*Inputs!$C$41)</f>
        <v/>
      </c>
      <c r="Q85" s="52">
        <f>O85-P85</f>
        <v/>
      </c>
      <c r="R85" s="50">
        <f>IF(A85&gt;Inputs!$C$62,"",AD85*Inputs!$C$16*(Inputs!$C$9 + Inputs!$C$10*Inputs!$C$11 + Inputs!$C$12)*(1 + VLOOKUP(Inputs!$C$15,Lookups!$A$2:$B$20,2,TRUE)*(Scale!$B$9/IF(Scale!$B$8=0,1,Scale!$B$8)) + Inputs!$C$52))</f>
        <v/>
      </c>
      <c r="S85" s="50">
        <f>IF(A85=1,Scale!$B$13, W84)</f>
        <v/>
      </c>
      <c r="T85" s="50">
        <f>J85*Inputs!$C$16*(Inputs!$C$19 + Inputs!$C$20*Inputs!$C$21 + 1/Inputs!$C$18)</f>
        <v/>
      </c>
      <c r="U85" s="50">
        <f>MAX(0, (R85*(1+Inputs!$C$74)) - (S85 - T85))</f>
        <v/>
      </c>
      <c r="V85" s="50">
        <f>IF(A85&lt;=Inputs!$C$73,0,INDEX(U:U,ROW()-Inputs!$C$73))</f>
        <v/>
      </c>
      <c r="W85" s="50">
        <f>S85 - T85 + V85</f>
        <v/>
      </c>
      <c r="X85" s="52">
        <f>V85*Inputs!$C$17</f>
        <v/>
      </c>
      <c r="Y85" s="52">
        <f>IF(A85&gt;Inputs!$C$62,"",C85*AE85)</f>
        <v/>
      </c>
      <c r="Z85" s="52">
        <f>IF(A85=1,Inputs!$C$72,AA84)</f>
        <v/>
      </c>
      <c r="AA85" s="52">
        <f>Z85 + M85 - N85 - P85 - X85 - Y85</f>
        <v/>
      </c>
      <c r="AB85" s="53">
        <f>IF(AA85&lt;0,1,0)</f>
        <v/>
      </c>
      <c r="AC85" s="54">
        <f>IF(AD85=0,0,R85/(AD85*Inputs!$C$16))</f>
        <v/>
      </c>
      <c r="AD85" s="53">
        <f>IF(A85&gt;Inputs!$C$62,"",B85+C85)</f>
        <v/>
      </c>
      <c r="AE85" s="56">
        <f>IF(A85&gt;Inputs!$C$62,"", Inputs!$C$65*(1+Inputs!$C$89*POWER(MIN(1,IF(Inputs!$C$88=0,0,B85/Inputs!$C$88)),Inputs!$C$90)))</f>
        <v/>
      </c>
      <c r="AF85" s="52">
        <f>IF(A85&gt;Inputs!$C$62,"",IF(A85=1,Inputs!$C$86,MIN(Inputs!$C$86,Inputs!$C$87*M84)))</f>
        <v/>
      </c>
      <c r="AG85" s="51">
        <f>IF(A85&gt;Inputs!$C$62,"",MIN(0.5,MAX(0, Inputs!$C$67*L85 + Inputs!$C$68*(1-K85) + Inputs!$C$69*Inputs!$C$10)))</f>
        <v/>
      </c>
      <c r="AH85" s="51">
        <f>IF(A85&gt;Inputs!$C$62,"",INDEX(CapacityPlan!$G$7:$G$266,A85))</f>
        <v/>
      </c>
      <c r="AI85" s="54">
        <f>IF(A85&gt;Inputs!$C$62,"",INDEX(CapacityPlan!$J$7:$J$266,A85))</f>
        <v/>
      </c>
      <c r="AJ85" s="51">
        <f>IF(A85&gt;Inputs!$C$62,"",IF(I85=0,"",G85/I85))</f>
        <v/>
      </c>
    </row>
    <row r="86" ht="16" customHeight="1">
      <c r="A86" s="15" t="n">
        <v>64</v>
      </c>
      <c r="B86" s="50">
        <f>IF(A86&gt;Inputs!$C$62,"",IF(Inputs!$C$80=1,INDEX(Cohorts!$B$67:$B$326,A86),IF(A86=1,Inputs!$C$63,F85)))</f>
        <v/>
      </c>
      <c r="C86" s="50">
        <f>IF(A86&gt;Inputs!$C$62,"",IF(Inputs!$C$85=0,Inputs!$C$64,MIN(Inputs!$C$91,IF(AE86=0,0,AF86/AE86))))</f>
        <v/>
      </c>
      <c r="D86" s="51">
        <f>IF(A86&gt;Inputs!$C$62,"",IF(Inputs!$C$80=1,INDEX(Cohorts!$G$67:$G$326,A86),MAX(0, Inputs!$C$66 + Inputs!$C$67*L86 + Inputs!$C$68*(1-K86) + Inputs!$C$69*Inputs!$C$10)))</f>
        <v/>
      </c>
      <c r="E86" s="50">
        <f>IF(A86&gt;Inputs!$C$62,"",IF(Inputs!$C$80=1,INDEX(Cohorts!$H$67:$H$326,A86),D86*AD86))</f>
        <v/>
      </c>
      <c r="F86" s="50">
        <f>IF(A86&gt;Inputs!$C$62,"",IF(Inputs!$C$80=1,INDEX(Cohorts!$I$67:$I$326,A86),AD86-E86))</f>
        <v/>
      </c>
      <c r="G86" s="50">
        <f>IF(A86&gt;Inputs!$C$62,"",AD86)</f>
        <v/>
      </c>
      <c r="H86" s="50">
        <f>IF(A86&gt;Inputs!$C$62,"",INDEX(CapacityPlan!$E$7:$E$266,A86))</f>
        <v/>
      </c>
      <c r="I86" s="50">
        <f>IF(A86&gt;Inputs!$C$62,"",INDEX(CapacityPlan!$I$7:$I$266,A86))</f>
        <v/>
      </c>
      <c r="J86" s="50">
        <f>IF(A86&gt;Inputs!$C$62,"",IF(G86&gt;I86,I86,G86))</f>
        <v/>
      </c>
      <c r="K86" s="51">
        <f>IF(A86&gt;Inputs!$C$62,"",IF(G86=0,1,J86/G86))</f>
        <v/>
      </c>
      <c r="L86" s="51">
        <f>IF((Inputs!$C$36 + UnitEconomics!$B$12*Inputs!$C$37 + Inputs!$C$10*Inputs!$C$38 + Inputs!$C$70*(1-K86))&gt;1,1,(Inputs!$C$36 + UnitEconomics!$B$12*Inputs!$C$37 + Inputs!$C$10*Inputs!$C$38 + Inputs!$C$70*(1-K86)))</f>
        <v/>
      </c>
      <c r="M86" s="52">
        <f>IF(A86&gt;Inputs!$C$62,"",J86*Inputs!$C$7*(1-Inputs!$C$8)*(1-L86))</f>
        <v/>
      </c>
      <c r="N86" s="52">
        <f>IF(A86&gt;Inputs!$C$62,"",J86*UnitEconomics!$B$32*AI86 + (G86-J86)*Inputs!$C$71)</f>
        <v/>
      </c>
      <c r="O86" s="52">
        <f>M86-N86</f>
        <v/>
      </c>
      <c r="P86" s="52">
        <f>IF(A86&gt;Inputs!$C$62,"",Inputs!$C$40 + H86*Inputs!$C$41)</f>
        <v/>
      </c>
      <c r="Q86" s="52">
        <f>O86-P86</f>
        <v/>
      </c>
      <c r="R86" s="50">
        <f>IF(A86&gt;Inputs!$C$62,"",AD86*Inputs!$C$16*(Inputs!$C$9 + Inputs!$C$10*Inputs!$C$11 + Inputs!$C$12)*(1 + VLOOKUP(Inputs!$C$15,Lookups!$A$2:$B$20,2,TRUE)*(Scale!$B$9/IF(Scale!$B$8=0,1,Scale!$B$8)) + Inputs!$C$52))</f>
        <v/>
      </c>
      <c r="S86" s="50">
        <f>IF(A86=1,Scale!$B$13, W85)</f>
        <v/>
      </c>
      <c r="T86" s="50">
        <f>J86*Inputs!$C$16*(Inputs!$C$19 + Inputs!$C$20*Inputs!$C$21 + 1/Inputs!$C$18)</f>
        <v/>
      </c>
      <c r="U86" s="50">
        <f>MAX(0, (R86*(1+Inputs!$C$74)) - (S86 - T86))</f>
        <v/>
      </c>
      <c r="V86" s="50">
        <f>IF(A86&lt;=Inputs!$C$73,0,INDEX(U:U,ROW()-Inputs!$C$73))</f>
        <v/>
      </c>
      <c r="W86" s="50">
        <f>S86 - T86 + V86</f>
        <v/>
      </c>
      <c r="X86" s="52">
        <f>V86*Inputs!$C$17</f>
        <v/>
      </c>
      <c r="Y86" s="52">
        <f>IF(A86&gt;Inputs!$C$62,"",C86*AE86)</f>
        <v/>
      </c>
      <c r="Z86" s="52">
        <f>IF(A86=1,Inputs!$C$72,AA85)</f>
        <v/>
      </c>
      <c r="AA86" s="52">
        <f>Z86 + M86 - N86 - P86 - X86 - Y86</f>
        <v/>
      </c>
      <c r="AB86" s="53">
        <f>IF(AA86&lt;0,1,0)</f>
        <v/>
      </c>
      <c r="AC86" s="54">
        <f>IF(AD86=0,0,R86/(AD86*Inputs!$C$16))</f>
        <v/>
      </c>
      <c r="AD86" s="53">
        <f>IF(A86&gt;Inputs!$C$62,"",B86+C86)</f>
        <v/>
      </c>
      <c r="AE86" s="56">
        <f>IF(A86&gt;Inputs!$C$62,"", Inputs!$C$65*(1+Inputs!$C$89*POWER(MIN(1,IF(Inputs!$C$88=0,0,B86/Inputs!$C$88)),Inputs!$C$90)))</f>
        <v/>
      </c>
      <c r="AF86" s="52">
        <f>IF(A86&gt;Inputs!$C$62,"",IF(A86=1,Inputs!$C$86,MIN(Inputs!$C$86,Inputs!$C$87*M85)))</f>
        <v/>
      </c>
      <c r="AG86" s="51">
        <f>IF(A86&gt;Inputs!$C$62,"",MIN(0.5,MAX(0, Inputs!$C$67*L86 + Inputs!$C$68*(1-K86) + Inputs!$C$69*Inputs!$C$10)))</f>
        <v/>
      </c>
      <c r="AH86" s="51">
        <f>IF(A86&gt;Inputs!$C$62,"",INDEX(CapacityPlan!$G$7:$G$266,A86))</f>
        <v/>
      </c>
      <c r="AI86" s="54">
        <f>IF(A86&gt;Inputs!$C$62,"",INDEX(CapacityPlan!$J$7:$J$266,A86))</f>
        <v/>
      </c>
      <c r="AJ86" s="51">
        <f>IF(A86&gt;Inputs!$C$62,"",IF(I86=0,"",G86/I86))</f>
        <v/>
      </c>
    </row>
    <row r="87" ht="16" customHeight="1">
      <c r="A87" s="15" t="n">
        <v>65</v>
      </c>
      <c r="B87" s="50">
        <f>IF(A87&gt;Inputs!$C$62,"",IF(Inputs!$C$80=1,INDEX(Cohorts!$B$67:$B$326,A87),IF(A87=1,Inputs!$C$63,F86)))</f>
        <v/>
      </c>
      <c r="C87" s="50">
        <f>IF(A87&gt;Inputs!$C$62,"",IF(Inputs!$C$85=0,Inputs!$C$64,MIN(Inputs!$C$91,IF(AE87=0,0,AF87/AE87))))</f>
        <v/>
      </c>
      <c r="D87" s="51">
        <f>IF(A87&gt;Inputs!$C$62,"",IF(Inputs!$C$80=1,INDEX(Cohorts!$G$67:$G$326,A87),MAX(0, Inputs!$C$66 + Inputs!$C$67*L87 + Inputs!$C$68*(1-K87) + Inputs!$C$69*Inputs!$C$10)))</f>
        <v/>
      </c>
      <c r="E87" s="50">
        <f>IF(A87&gt;Inputs!$C$62,"",IF(Inputs!$C$80=1,INDEX(Cohorts!$H$67:$H$326,A87),D87*AD87))</f>
        <v/>
      </c>
      <c r="F87" s="50">
        <f>IF(A87&gt;Inputs!$C$62,"",IF(Inputs!$C$80=1,INDEX(Cohorts!$I$67:$I$326,A87),AD87-E87))</f>
        <v/>
      </c>
      <c r="G87" s="50">
        <f>IF(A87&gt;Inputs!$C$62,"",AD87)</f>
        <v/>
      </c>
      <c r="H87" s="50">
        <f>IF(A87&gt;Inputs!$C$62,"",INDEX(CapacityPlan!$E$7:$E$266,A87))</f>
        <v/>
      </c>
      <c r="I87" s="50">
        <f>IF(A87&gt;Inputs!$C$62,"",INDEX(CapacityPlan!$I$7:$I$266,A87))</f>
        <v/>
      </c>
      <c r="J87" s="50">
        <f>IF(A87&gt;Inputs!$C$62,"",IF(G87&gt;I87,I87,G87))</f>
        <v/>
      </c>
      <c r="K87" s="51">
        <f>IF(A87&gt;Inputs!$C$62,"",IF(G87=0,1,J87/G87))</f>
        <v/>
      </c>
      <c r="L87" s="51">
        <f>IF((Inputs!$C$36 + UnitEconomics!$B$12*Inputs!$C$37 + Inputs!$C$10*Inputs!$C$38 + Inputs!$C$70*(1-K87))&gt;1,1,(Inputs!$C$36 + UnitEconomics!$B$12*Inputs!$C$37 + Inputs!$C$10*Inputs!$C$38 + Inputs!$C$70*(1-K87)))</f>
        <v/>
      </c>
      <c r="M87" s="52">
        <f>IF(A87&gt;Inputs!$C$62,"",J87*Inputs!$C$7*(1-Inputs!$C$8)*(1-L87))</f>
        <v/>
      </c>
      <c r="N87" s="52">
        <f>IF(A87&gt;Inputs!$C$62,"",J87*UnitEconomics!$B$32*AI87 + (G87-J87)*Inputs!$C$71)</f>
        <v/>
      </c>
      <c r="O87" s="52">
        <f>M87-N87</f>
        <v/>
      </c>
      <c r="P87" s="52">
        <f>IF(A87&gt;Inputs!$C$62,"",Inputs!$C$40 + H87*Inputs!$C$41)</f>
        <v/>
      </c>
      <c r="Q87" s="52">
        <f>O87-P87</f>
        <v/>
      </c>
      <c r="R87" s="50">
        <f>IF(A87&gt;Inputs!$C$62,"",AD87*Inputs!$C$16*(Inputs!$C$9 + Inputs!$C$10*Inputs!$C$11 + Inputs!$C$12)*(1 + VLOOKUP(Inputs!$C$15,Lookups!$A$2:$B$20,2,TRUE)*(Scale!$B$9/IF(Scale!$B$8=0,1,Scale!$B$8)) + Inputs!$C$52))</f>
        <v/>
      </c>
      <c r="S87" s="50">
        <f>IF(A87=1,Scale!$B$13, W86)</f>
        <v/>
      </c>
      <c r="T87" s="50">
        <f>J87*Inputs!$C$16*(Inputs!$C$19 + Inputs!$C$20*Inputs!$C$21 + 1/Inputs!$C$18)</f>
        <v/>
      </c>
      <c r="U87" s="50">
        <f>MAX(0, (R87*(1+Inputs!$C$74)) - (S87 - T87))</f>
        <v/>
      </c>
      <c r="V87" s="50">
        <f>IF(A87&lt;=Inputs!$C$73,0,INDEX(U:U,ROW()-Inputs!$C$73))</f>
        <v/>
      </c>
      <c r="W87" s="50">
        <f>S87 - T87 + V87</f>
        <v/>
      </c>
      <c r="X87" s="52">
        <f>V87*Inputs!$C$17</f>
        <v/>
      </c>
      <c r="Y87" s="52">
        <f>IF(A87&gt;Inputs!$C$62,"",C87*AE87)</f>
        <v/>
      </c>
      <c r="Z87" s="52">
        <f>IF(A87=1,Inputs!$C$72,AA86)</f>
        <v/>
      </c>
      <c r="AA87" s="52">
        <f>Z87 + M87 - N87 - P87 - X87 - Y87</f>
        <v/>
      </c>
      <c r="AB87" s="53">
        <f>IF(AA87&lt;0,1,0)</f>
        <v/>
      </c>
      <c r="AC87" s="54">
        <f>IF(AD87=0,0,R87/(AD87*Inputs!$C$16))</f>
        <v/>
      </c>
      <c r="AD87" s="53">
        <f>IF(A87&gt;Inputs!$C$62,"",B87+C87)</f>
        <v/>
      </c>
      <c r="AE87" s="56">
        <f>IF(A87&gt;Inputs!$C$62,"", Inputs!$C$65*(1+Inputs!$C$89*POWER(MIN(1,IF(Inputs!$C$88=0,0,B87/Inputs!$C$88)),Inputs!$C$90)))</f>
        <v/>
      </c>
      <c r="AF87" s="52">
        <f>IF(A87&gt;Inputs!$C$62,"",IF(A87=1,Inputs!$C$86,MIN(Inputs!$C$86,Inputs!$C$87*M86)))</f>
        <v/>
      </c>
      <c r="AG87" s="51">
        <f>IF(A87&gt;Inputs!$C$62,"",MIN(0.5,MAX(0, Inputs!$C$67*L87 + Inputs!$C$68*(1-K87) + Inputs!$C$69*Inputs!$C$10)))</f>
        <v/>
      </c>
      <c r="AH87" s="51">
        <f>IF(A87&gt;Inputs!$C$62,"",INDEX(CapacityPlan!$G$7:$G$266,A87))</f>
        <v/>
      </c>
      <c r="AI87" s="54">
        <f>IF(A87&gt;Inputs!$C$62,"",INDEX(CapacityPlan!$J$7:$J$266,A87))</f>
        <v/>
      </c>
      <c r="AJ87" s="51">
        <f>IF(A87&gt;Inputs!$C$62,"",IF(I87=0,"",G87/I87))</f>
        <v/>
      </c>
    </row>
    <row r="88" ht="16" customHeight="1">
      <c r="A88" s="15" t="n">
        <v>66</v>
      </c>
      <c r="B88" s="50">
        <f>IF(A88&gt;Inputs!$C$62,"",IF(Inputs!$C$80=1,INDEX(Cohorts!$B$67:$B$326,A88),IF(A88=1,Inputs!$C$63,F87)))</f>
        <v/>
      </c>
      <c r="C88" s="50">
        <f>IF(A88&gt;Inputs!$C$62,"",IF(Inputs!$C$85=0,Inputs!$C$64,MIN(Inputs!$C$91,IF(AE88=0,0,AF88/AE88))))</f>
        <v/>
      </c>
      <c r="D88" s="51">
        <f>IF(A88&gt;Inputs!$C$62,"",IF(Inputs!$C$80=1,INDEX(Cohorts!$G$67:$G$326,A88),MAX(0, Inputs!$C$66 + Inputs!$C$67*L88 + Inputs!$C$68*(1-K88) + Inputs!$C$69*Inputs!$C$10)))</f>
        <v/>
      </c>
      <c r="E88" s="50">
        <f>IF(A88&gt;Inputs!$C$62,"",IF(Inputs!$C$80=1,INDEX(Cohorts!$H$67:$H$326,A88),D88*AD88))</f>
        <v/>
      </c>
      <c r="F88" s="50">
        <f>IF(A88&gt;Inputs!$C$62,"",IF(Inputs!$C$80=1,INDEX(Cohorts!$I$67:$I$326,A88),AD88-E88))</f>
        <v/>
      </c>
      <c r="G88" s="50">
        <f>IF(A88&gt;Inputs!$C$62,"",AD88)</f>
        <v/>
      </c>
      <c r="H88" s="50">
        <f>IF(A88&gt;Inputs!$C$62,"",INDEX(CapacityPlan!$E$7:$E$266,A88))</f>
        <v/>
      </c>
      <c r="I88" s="50">
        <f>IF(A88&gt;Inputs!$C$62,"",INDEX(CapacityPlan!$I$7:$I$266,A88))</f>
        <v/>
      </c>
      <c r="J88" s="50">
        <f>IF(A88&gt;Inputs!$C$62,"",IF(G88&gt;I88,I88,G88))</f>
        <v/>
      </c>
      <c r="K88" s="51">
        <f>IF(A88&gt;Inputs!$C$62,"",IF(G88=0,1,J88/G88))</f>
        <v/>
      </c>
      <c r="L88" s="51">
        <f>IF((Inputs!$C$36 + UnitEconomics!$B$12*Inputs!$C$37 + Inputs!$C$10*Inputs!$C$38 + Inputs!$C$70*(1-K88))&gt;1,1,(Inputs!$C$36 + UnitEconomics!$B$12*Inputs!$C$37 + Inputs!$C$10*Inputs!$C$38 + Inputs!$C$70*(1-K88)))</f>
        <v/>
      </c>
      <c r="M88" s="52">
        <f>IF(A88&gt;Inputs!$C$62,"",J88*Inputs!$C$7*(1-Inputs!$C$8)*(1-L88))</f>
        <v/>
      </c>
      <c r="N88" s="52">
        <f>IF(A88&gt;Inputs!$C$62,"",J88*UnitEconomics!$B$32*AI88 + (G88-J88)*Inputs!$C$71)</f>
        <v/>
      </c>
      <c r="O88" s="52">
        <f>M88-N88</f>
        <v/>
      </c>
      <c r="P88" s="52">
        <f>IF(A88&gt;Inputs!$C$62,"",Inputs!$C$40 + H88*Inputs!$C$41)</f>
        <v/>
      </c>
      <c r="Q88" s="52">
        <f>O88-P88</f>
        <v/>
      </c>
      <c r="R88" s="50">
        <f>IF(A88&gt;Inputs!$C$62,"",AD88*Inputs!$C$16*(Inputs!$C$9 + Inputs!$C$10*Inputs!$C$11 + Inputs!$C$12)*(1 + VLOOKUP(Inputs!$C$15,Lookups!$A$2:$B$20,2,TRUE)*(Scale!$B$9/IF(Scale!$B$8=0,1,Scale!$B$8)) + Inputs!$C$52))</f>
        <v/>
      </c>
      <c r="S88" s="50">
        <f>IF(A88=1,Scale!$B$13, W87)</f>
        <v/>
      </c>
      <c r="T88" s="50">
        <f>J88*Inputs!$C$16*(Inputs!$C$19 + Inputs!$C$20*Inputs!$C$21 + 1/Inputs!$C$18)</f>
        <v/>
      </c>
      <c r="U88" s="50">
        <f>MAX(0, (R88*(1+Inputs!$C$74)) - (S88 - T88))</f>
        <v/>
      </c>
      <c r="V88" s="50">
        <f>IF(A88&lt;=Inputs!$C$73,0,INDEX(U:U,ROW()-Inputs!$C$73))</f>
        <v/>
      </c>
      <c r="W88" s="50">
        <f>S88 - T88 + V88</f>
        <v/>
      </c>
      <c r="X88" s="52">
        <f>V88*Inputs!$C$17</f>
        <v/>
      </c>
      <c r="Y88" s="52">
        <f>IF(A88&gt;Inputs!$C$62,"",C88*AE88)</f>
        <v/>
      </c>
      <c r="Z88" s="52">
        <f>IF(A88=1,Inputs!$C$72,AA87)</f>
        <v/>
      </c>
      <c r="AA88" s="52">
        <f>Z88 + M88 - N88 - P88 - X88 - Y88</f>
        <v/>
      </c>
      <c r="AB88" s="53">
        <f>IF(AA88&lt;0,1,0)</f>
        <v/>
      </c>
      <c r="AC88" s="54">
        <f>IF(AD88=0,0,R88/(AD88*Inputs!$C$16))</f>
        <v/>
      </c>
      <c r="AD88" s="53">
        <f>IF(A88&gt;Inputs!$C$62,"",B88+C88)</f>
        <v/>
      </c>
      <c r="AE88" s="56">
        <f>IF(A88&gt;Inputs!$C$62,"", Inputs!$C$65*(1+Inputs!$C$89*POWER(MIN(1,IF(Inputs!$C$88=0,0,B88/Inputs!$C$88)),Inputs!$C$90)))</f>
        <v/>
      </c>
      <c r="AF88" s="52">
        <f>IF(A88&gt;Inputs!$C$62,"",IF(A88=1,Inputs!$C$86,MIN(Inputs!$C$86,Inputs!$C$87*M87)))</f>
        <v/>
      </c>
      <c r="AG88" s="51">
        <f>IF(A88&gt;Inputs!$C$62,"",MIN(0.5,MAX(0, Inputs!$C$67*L88 + Inputs!$C$68*(1-K88) + Inputs!$C$69*Inputs!$C$10)))</f>
        <v/>
      </c>
      <c r="AH88" s="51">
        <f>IF(A88&gt;Inputs!$C$62,"",INDEX(CapacityPlan!$G$7:$G$266,A88))</f>
        <v/>
      </c>
      <c r="AI88" s="54">
        <f>IF(A88&gt;Inputs!$C$62,"",INDEX(CapacityPlan!$J$7:$J$266,A88))</f>
        <v/>
      </c>
      <c r="AJ88" s="51">
        <f>IF(A88&gt;Inputs!$C$62,"",IF(I88=0,"",G88/I88))</f>
        <v/>
      </c>
    </row>
    <row r="89" ht="16" customHeight="1">
      <c r="A89" s="15" t="n">
        <v>67</v>
      </c>
      <c r="B89" s="50">
        <f>IF(A89&gt;Inputs!$C$62,"",IF(Inputs!$C$80=1,INDEX(Cohorts!$B$67:$B$326,A89),IF(A89=1,Inputs!$C$63,F88)))</f>
        <v/>
      </c>
      <c r="C89" s="50">
        <f>IF(A89&gt;Inputs!$C$62,"",IF(Inputs!$C$85=0,Inputs!$C$64,MIN(Inputs!$C$91,IF(AE89=0,0,AF89/AE89))))</f>
        <v/>
      </c>
      <c r="D89" s="51">
        <f>IF(A89&gt;Inputs!$C$62,"",IF(Inputs!$C$80=1,INDEX(Cohorts!$G$67:$G$326,A89),MAX(0, Inputs!$C$66 + Inputs!$C$67*L89 + Inputs!$C$68*(1-K89) + Inputs!$C$69*Inputs!$C$10)))</f>
        <v/>
      </c>
      <c r="E89" s="50">
        <f>IF(A89&gt;Inputs!$C$62,"",IF(Inputs!$C$80=1,INDEX(Cohorts!$H$67:$H$326,A89),D89*AD89))</f>
        <v/>
      </c>
      <c r="F89" s="50">
        <f>IF(A89&gt;Inputs!$C$62,"",IF(Inputs!$C$80=1,INDEX(Cohorts!$I$67:$I$326,A89),AD89-E89))</f>
        <v/>
      </c>
      <c r="G89" s="50">
        <f>IF(A89&gt;Inputs!$C$62,"",AD89)</f>
        <v/>
      </c>
      <c r="H89" s="50">
        <f>IF(A89&gt;Inputs!$C$62,"",INDEX(CapacityPlan!$E$7:$E$266,A89))</f>
        <v/>
      </c>
      <c r="I89" s="50">
        <f>IF(A89&gt;Inputs!$C$62,"",INDEX(CapacityPlan!$I$7:$I$266,A89))</f>
        <v/>
      </c>
      <c r="J89" s="50">
        <f>IF(A89&gt;Inputs!$C$62,"",IF(G89&gt;I89,I89,G89))</f>
        <v/>
      </c>
      <c r="K89" s="51">
        <f>IF(A89&gt;Inputs!$C$62,"",IF(G89=0,1,J89/G89))</f>
        <v/>
      </c>
      <c r="L89" s="51">
        <f>IF((Inputs!$C$36 + UnitEconomics!$B$12*Inputs!$C$37 + Inputs!$C$10*Inputs!$C$38 + Inputs!$C$70*(1-K89))&gt;1,1,(Inputs!$C$36 + UnitEconomics!$B$12*Inputs!$C$37 + Inputs!$C$10*Inputs!$C$38 + Inputs!$C$70*(1-K89)))</f>
        <v/>
      </c>
      <c r="M89" s="52">
        <f>IF(A89&gt;Inputs!$C$62,"",J89*Inputs!$C$7*(1-Inputs!$C$8)*(1-L89))</f>
        <v/>
      </c>
      <c r="N89" s="52">
        <f>IF(A89&gt;Inputs!$C$62,"",J89*UnitEconomics!$B$32*AI89 + (G89-J89)*Inputs!$C$71)</f>
        <v/>
      </c>
      <c r="O89" s="52">
        <f>M89-N89</f>
        <v/>
      </c>
      <c r="P89" s="52">
        <f>IF(A89&gt;Inputs!$C$62,"",Inputs!$C$40 + H89*Inputs!$C$41)</f>
        <v/>
      </c>
      <c r="Q89" s="52">
        <f>O89-P89</f>
        <v/>
      </c>
      <c r="R89" s="50">
        <f>IF(A89&gt;Inputs!$C$62,"",AD89*Inputs!$C$16*(Inputs!$C$9 + Inputs!$C$10*Inputs!$C$11 + Inputs!$C$12)*(1 + VLOOKUP(Inputs!$C$15,Lookups!$A$2:$B$20,2,TRUE)*(Scale!$B$9/IF(Scale!$B$8=0,1,Scale!$B$8)) + Inputs!$C$52))</f>
        <v/>
      </c>
      <c r="S89" s="50">
        <f>IF(A89=1,Scale!$B$13, W88)</f>
        <v/>
      </c>
      <c r="T89" s="50">
        <f>J89*Inputs!$C$16*(Inputs!$C$19 + Inputs!$C$20*Inputs!$C$21 + 1/Inputs!$C$18)</f>
        <v/>
      </c>
      <c r="U89" s="50">
        <f>MAX(0, (R89*(1+Inputs!$C$74)) - (S89 - T89))</f>
        <v/>
      </c>
      <c r="V89" s="50">
        <f>IF(A89&lt;=Inputs!$C$73,0,INDEX(U:U,ROW()-Inputs!$C$73))</f>
        <v/>
      </c>
      <c r="W89" s="50">
        <f>S89 - T89 + V89</f>
        <v/>
      </c>
      <c r="X89" s="52">
        <f>V89*Inputs!$C$17</f>
        <v/>
      </c>
      <c r="Y89" s="52">
        <f>IF(A89&gt;Inputs!$C$62,"",C89*AE89)</f>
        <v/>
      </c>
      <c r="Z89" s="52">
        <f>IF(A89=1,Inputs!$C$72,AA88)</f>
        <v/>
      </c>
      <c r="AA89" s="52">
        <f>Z89 + M89 - N89 - P89 - X89 - Y89</f>
        <v/>
      </c>
      <c r="AB89" s="53">
        <f>IF(AA89&lt;0,1,0)</f>
        <v/>
      </c>
      <c r="AC89" s="54">
        <f>IF(AD89=0,0,R89/(AD89*Inputs!$C$16))</f>
        <v/>
      </c>
      <c r="AD89" s="53">
        <f>IF(A89&gt;Inputs!$C$62,"",B89+C89)</f>
        <v/>
      </c>
      <c r="AE89" s="56">
        <f>IF(A89&gt;Inputs!$C$62,"", Inputs!$C$65*(1+Inputs!$C$89*POWER(MIN(1,IF(Inputs!$C$88=0,0,B89/Inputs!$C$88)),Inputs!$C$90)))</f>
        <v/>
      </c>
      <c r="AF89" s="52">
        <f>IF(A89&gt;Inputs!$C$62,"",IF(A89=1,Inputs!$C$86,MIN(Inputs!$C$86,Inputs!$C$87*M88)))</f>
        <v/>
      </c>
      <c r="AG89" s="51">
        <f>IF(A89&gt;Inputs!$C$62,"",MIN(0.5,MAX(0, Inputs!$C$67*L89 + Inputs!$C$68*(1-K89) + Inputs!$C$69*Inputs!$C$10)))</f>
        <v/>
      </c>
      <c r="AH89" s="51">
        <f>IF(A89&gt;Inputs!$C$62,"",INDEX(CapacityPlan!$G$7:$G$266,A89))</f>
        <v/>
      </c>
      <c r="AI89" s="54">
        <f>IF(A89&gt;Inputs!$C$62,"",INDEX(CapacityPlan!$J$7:$J$266,A89))</f>
        <v/>
      </c>
      <c r="AJ89" s="51">
        <f>IF(A89&gt;Inputs!$C$62,"",IF(I89=0,"",G89/I89))</f>
        <v/>
      </c>
    </row>
    <row r="90" ht="16" customHeight="1">
      <c r="A90" s="15" t="n">
        <v>68</v>
      </c>
      <c r="B90" s="50">
        <f>IF(A90&gt;Inputs!$C$62,"",IF(Inputs!$C$80=1,INDEX(Cohorts!$B$67:$B$326,A90),IF(A90=1,Inputs!$C$63,F89)))</f>
        <v/>
      </c>
      <c r="C90" s="50">
        <f>IF(A90&gt;Inputs!$C$62,"",IF(Inputs!$C$85=0,Inputs!$C$64,MIN(Inputs!$C$91,IF(AE90=0,0,AF90/AE90))))</f>
        <v/>
      </c>
      <c r="D90" s="51">
        <f>IF(A90&gt;Inputs!$C$62,"",IF(Inputs!$C$80=1,INDEX(Cohorts!$G$67:$G$326,A90),MAX(0, Inputs!$C$66 + Inputs!$C$67*L90 + Inputs!$C$68*(1-K90) + Inputs!$C$69*Inputs!$C$10)))</f>
        <v/>
      </c>
      <c r="E90" s="50">
        <f>IF(A90&gt;Inputs!$C$62,"",IF(Inputs!$C$80=1,INDEX(Cohorts!$H$67:$H$326,A90),D90*AD90))</f>
        <v/>
      </c>
      <c r="F90" s="50">
        <f>IF(A90&gt;Inputs!$C$62,"",IF(Inputs!$C$80=1,INDEX(Cohorts!$I$67:$I$326,A90),AD90-E90))</f>
        <v/>
      </c>
      <c r="G90" s="50">
        <f>IF(A90&gt;Inputs!$C$62,"",AD90)</f>
        <v/>
      </c>
      <c r="H90" s="50">
        <f>IF(A90&gt;Inputs!$C$62,"",INDEX(CapacityPlan!$E$7:$E$266,A90))</f>
        <v/>
      </c>
      <c r="I90" s="50">
        <f>IF(A90&gt;Inputs!$C$62,"",INDEX(CapacityPlan!$I$7:$I$266,A90))</f>
        <v/>
      </c>
      <c r="J90" s="50">
        <f>IF(A90&gt;Inputs!$C$62,"",IF(G90&gt;I90,I90,G90))</f>
        <v/>
      </c>
      <c r="K90" s="51">
        <f>IF(A90&gt;Inputs!$C$62,"",IF(G90=0,1,J90/G90))</f>
        <v/>
      </c>
      <c r="L90" s="51">
        <f>IF((Inputs!$C$36 + UnitEconomics!$B$12*Inputs!$C$37 + Inputs!$C$10*Inputs!$C$38 + Inputs!$C$70*(1-K90))&gt;1,1,(Inputs!$C$36 + UnitEconomics!$B$12*Inputs!$C$37 + Inputs!$C$10*Inputs!$C$38 + Inputs!$C$70*(1-K90)))</f>
        <v/>
      </c>
      <c r="M90" s="52">
        <f>IF(A90&gt;Inputs!$C$62,"",J90*Inputs!$C$7*(1-Inputs!$C$8)*(1-L90))</f>
        <v/>
      </c>
      <c r="N90" s="52">
        <f>IF(A90&gt;Inputs!$C$62,"",J90*UnitEconomics!$B$32*AI90 + (G90-J90)*Inputs!$C$71)</f>
        <v/>
      </c>
      <c r="O90" s="52">
        <f>M90-N90</f>
        <v/>
      </c>
      <c r="P90" s="52">
        <f>IF(A90&gt;Inputs!$C$62,"",Inputs!$C$40 + H90*Inputs!$C$41)</f>
        <v/>
      </c>
      <c r="Q90" s="52">
        <f>O90-P90</f>
        <v/>
      </c>
      <c r="R90" s="50">
        <f>IF(A90&gt;Inputs!$C$62,"",AD90*Inputs!$C$16*(Inputs!$C$9 + Inputs!$C$10*Inputs!$C$11 + Inputs!$C$12)*(1 + VLOOKUP(Inputs!$C$15,Lookups!$A$2:$B$20,2,TRUE)*(Scale!$B$9/IF(Scale!$B$8=0,1,Scale!$B$8)) + Inputs!$C$52))</f>
        <v/>
      </c>
      <c r="S90" s="50">
        <f>IF(A90=1,Scale!$B$13, W89)</f>
        <v/>
      </c>
      <c r="T90" s="50">
        <f>J90*Inputs!$C$16*(Inputs!$C$19 + Inputs!$C$20*Inputs!$C$21 + 1/Inputs!$C$18)</f>
        <v/>
      </c>
      <c r="U90" s="50">
        <f>MAX(0, (R90*(1+Inputs!$C$74)) - (S90 - T90))</f>
        <v/>
      </c>
      <c r="V90" s="50">
        <f>IF(A90&lt;=Inputs!$C$73,0,INDEX(U:U,ROW()-Inputs!$C$73))</f>
        <v/>
      </c>
      <c r="W90" s="50">
        <f>S90 - T90 + V90</f>
        <v/>
      </c>
      <c r="X90" s="52">
        <f>V90*Inputs!$C$17</f>
        <v/>
      </c>
      <c r="Y90" s="52">
        <f>IF(A90&gt;Inputs!$C$62,"",C90*AE90)</f>
        <v/>
      </c>
      <c r="Z90" s="52">
        <f>IF(A90=1,Inputs!$C$72,AA89)</f>
        <v/>
      </c>
      <c r="AA90" s="52">
        <f>Z90 + M90 - N90 - P90 - X90 - Y90</f>
        <v/>
      </c>
      <c r="AB90" s="53">
        <f>IF(AA90&lt;0,1,0)</f>
        <v/>
      </c>
      <c r="AC90" s="54">
        <f>IF(AD90=0,0,R90/(AD90*Inputs!$C$16))</f>
        <v/>
      </c>
      <c r="AD90" s="53">
        <f>IF(A90&gt;Inputs!$C$62,"",B90+C90)</f>
        <v/>
      </c>
      <c r="AE90" s="56">
        <f>IF(A90&gt;Inputs!$C$62,"", Inputs!$C$65*(1+Inputs!$C$89*POWER(MIN(1,IF(Inputs!$C$88=0,0,B90/Inputs!$C$88)),Inputs!$C$90)))</f>
        <v/>
      </c>
      <c r="AF90" s="52">
        <f>IF(A90&gt;Inputs!$C$62,"",IF(A90=1,Inputs!$C$86,MIN(Inputs!$C$86,Inputs!$C$87*M89)))</f>
        <v/>
      </c>
      <c r="AG90" s="51">
        <f>IF(A90&gt;Inputs!$C$62,"",MIN(0.5,MAX(0, Inputs!$C$67*L90 + Inputs!$C$68*(1-K90) + Inputs!$C$69*Inputs!$C$10)))</f>
        <v/>
      </c>
      <c r="AH90" s="51">
        <f>IF(A90&gt;Inputs!$C$62,"",INDEX(CapacityPlan!$G$7:$G$266,A90))</f>
        <v/>
      </c>
      <c r="AI90" s="54">
        <f>IF(A90&gt;Inputs!$C$62,"",INDEX(CapacityPlan!$J$7:$J$266,A90))</f>
        <v/>
      </c>
      <c r="AJ90" s="51">
        <f>IF(A90&gt;Inputs!$C$62,"",IF(I90=0,"",G90/I90))</f>
        <v/>
      </c>
    </row>
    <row r="91" ht="16" customHeight="1">
      <c r="A91" s="15" t="n">
        <v>69</v>
      </c>
      <c r="B91" s="50">
        <f>IF(A91&gt;Inputs!$C$62,"",IF(Inputs!$C$80=1,INDEX(Cohorts!$B$67:$B$326,A91),IF(A91=1,Inputs!$C$63,F90)))</f>
        <v/>
      </c>
      <c r="C91" s="50">
        <f>IF(A91&gt;Inputs!$C$62,"",IF(Inputs!$C$85=0,Inputs!$C$64,MIN(Inputs!$C$91,IF(AE91=0,0,AF91/AE91))))</f>
        <v/>
      </c>
      <c r="D91" s="51">
        <f>IF(A91&gt;Inputs!$C$62,"",IF(Inputs!$C$80=1,INDEX(Cohorts!$G$67:$G$326,A91),MAX(0, Inputs!$C$66 + Inputs!$C$67*L91 + Inputs!$C$68*(1-K91) + Inputs!$C$69*Inputs!$C$10)))</f>
        <v/>
      </c>
      <c r="E91" s="50">
        <f>IF(A91&gt;Inputs!$C$62,"",IF(Inputs!$C$80=1,INDEX(Cohorts!$H$67:$H$326,A91),D91*AD91))</f>
        <v/>
      </c>
      <c r="F91" s="50">
        <f>IF(A91&gt;Inputs!$C$62,"",IF(Inputs!$C$80=1,INDEX(Cohorts!$I$67:$I$326,A91),AD91-E91))</f>
        <v/>
      </c>
      <c r="G91" s="50">
        <f>IF(A91&gt;Inputs!$C$62,"",AD91)</f>
        <v/>
      </c>
      <c r="H91" s="50">
        <f>IF(A91&gt;Inputs!$C$62,"",INDEX(CapacityPlan!$E$7:$E$266,A91))</f>
        <v/>
      </c>
      <c r="I91" s="50">
        <f>IF(A91&gt;Inputs!$C$62,"",INDEX(CapacityPlan!$I$7:$I$266,A91))</f>
        <v/>
      </c>
      <c r="J91" s="50">
        <f>IF(A91&gt;Inputs!$C$62,"",IF(G91&gt;I91,I91,G91))</f>
        <v/>
      </c>
      <c r="K91" s="51">
        <f>IF(A91&gt;Inputs!$C$62,"",IF(G91=0,1,J91/G91))</f>
        <v/>
      </c>
      <c r="L91" s="51">
        <f>IF((Inputs!$C$36 + UnitEconomics!$B$12*Inputs!$C$37 + Inputs!$C$10*Inputs!$C$38 + Inputs!$C$70*(1-K91))&gt;1,1,(Inputs!$C$36 + UnitEconomics!$B$12*Inputs!$C$37 + Inputs!$C$10*Inputs!$C$38 + Inputs!$C$70*(1-K91)))</f>
        <v/>
      </c>
      <c r="M91" s="52">
        <f>IF(A91&gt;Inputs!$C$62,"",J91*Inputs!$C$7*(1-Inputs!$C$8)*(1-L91))</f>
        <v/>
      </c>
      <c r="N91" s="52">
        <f>IF(A91&gt;Inputs!$C$62,"",J91*UnitEconomics!$B$32*AI91 + (G91-J91)*Inputs!$C$71)</f>
        <v/>
      </c>
      <c r="O91" s="52">
        <f>M91-N91</f>
        <v/>
      </c>
      <c r="P91" s="52">
        <f>IF(A91&gt;Inputs!$C$62,"",Inputs!$C$40 + H91*Inputs!$C$41)</f>
        <v/>
      </c>
      <c r="Q91" s="52">
        <f>O91-P91</f>
        <v/>
      </c>
      <c r="R91" s="50">
        <f>IF(A91&gt;Inputs!$C$62,"",AD91*Inputs!$C$16*(Inputs!$C$9 + Inputs!$C$10*Inputs!$C$11 + Inputs!$C$12)*(1 + VLOOKUP(Inputs!$C$15,Lookups!$A$2:$B$20,2,TRUE)*(Scale!$B$9/IF(Scale!$B$8=0,1,Scale!$B$8)) + Inputs!$C$52))</f>
        <v/>
      </c>
      <c r="S91" s="50">
        <f>IF(A91=1,Scale!$B$13, W90)</f>
        <v/>
      </c>
      <c r="T91" s="50">
        <f>J91*Inputs!$C$16*(Inputs!$C$19 + Inputs!$C$20*Inputs!$C$21 + 1/Inputs!$C$18)</f>
        <v/>
      </c>
      <c r="U91" s="50">
        <f>MAX(0, (R91*(1+Inputs!$C$74)) - (S91 - T91))</f>
        <v/>
      </c>
      <c r="V91" s="50">
        <f>IF(A91&lt;=Inputs!$C$73,0,INDEX(U:U,ROW()-Inputs!$C$73))</f>
        <v/>
      </c>
      <c r="W91" s="50">
        <f>S91 - T91 + V91</f>
        <v/>
      </c>
      <c r="X91" s="52">
        <f>V91*Inputs!$C$17</f>
        <v/>
      </c>
      <c r="Y91" s="52">
        <f>IF(A91&gt;Inputs!$C$62,"",C91*AE91)</f>
        <v/>
      </c>
      <c r="Z91" s="52">
        <f>IF(A91=1,Inputs!$C$72,AA90)</f>
        <v/>
      </c>
      <c r="AA91" s="52">
        <f>Z91 + M91 - N91 - P91 - X91 - Y91</f>
        <v/>
      </c>
      <c r="AB91" s="53">
        <f>IF(AA91&lt;0,1,0)</f>
        <v/>
      </c>
      <c r="AC91" s="54">
        <f>IF(AD91=0,0,R91/(AD91*Inputs!$C$16))</f>
        <v/>
      </c>
      <c r="AD91" s="53">
        <f>IF(A91&gt;Inputs!$C$62,"",B91+C91)</f>
        <v/>
      </c>
      <c r="AE91" s="56">
        <f>IF(A91&gt;Inputs!$C$62,"", Inputs!$C$65*(1+Inputs!$C$89*POWER(MIN(1,IF(Inputs!$C$88=0,0,B91/Inputs!$C$88)),Inputs!$C$90)))</f>
        <v/>
      </c>
      <c r="AF91" s="52">
        <f>IF(A91&gt;Inputs!$C$62,"",IF(A91=1,Inputs!$C$86,MIN(Inputs!$C$86,Inputs!$C$87*M90)))</f>
        <v/>
      </c>
      <c r="AG91" s="51">
        <f>IF(A91&gt;Inputs!$C$62,"",MIN(0.5,MAX(0, Inputs!$C$67*L91 + Inputs!$C$68*(1-K91) + Inputs!$C$69*Inputs!$C$10)))</f>
        <v/>
      </c>
      <c r="AH91" s="51">
        <f>IF(A91&gt;Inputs!$C$62,"",INDEX(CapacityPlan!$G$7:$G$266,A91))</f>
        <v/>
      </c>
      <c r="AI91" s="54">
        <f>IF(A91&gt;Inputs!$C$62,"",INDEX(CapacityPlan!$J$7:$J$266,A91))</f>
        <v/>
      </c>
      <c r="AJ91" s="51">
        <f>IF(A91&gt;Inputs!$C$62,"",IF(I91=0,"",G91/I91))</f>
        <v/>
      </c>
    </row>
    <row r="92" ht="16" customHeight="1">
      <c r="A92" s="15" t="n">
        <v>70</v>
      </c>
      <c r="B92" s="50">
        <f>IF(A92&gt;Inputs!$C$62,"",IF(Inputs!$C$80=1,INDEX(Cohorts!$B$67:$B$326,A92),IF(A92=1,Inputs!$C$63,F91)))</f>
        <v/>
      </c>
      <c r="C92" s="50">
        <f>IF(A92&gt;Inputs!$C$62,"",IF(Inputs!$C$85=0,Inputs!$C$64,MIN(Inputs!$C$91,IF(AE92=0,0,AF92/AE92))))</f>
        <v/>
      </c>
      <c r="D92" s="51">
        <f>IF(A92&gt;Inputs!$C$62,"",IF(Inputs!$C$80=1,INDEX(Cohorts!$G$67:$G$326,A92),MAX(0, Inputs!$C$66 + Inputs!$C$67*L92 + Inputs!$C$68*(1-K92) + Inputs!$C$69*Inputs!$C$10)))</f>
        <v/>
      </c>
      <c r="E92" s="50">
        <f>IF(A92&gt;Inputs!$C$62,"",IF(Inputs!$C$80=1,INDEX(Cohorts!$H$67:$H$326,A92),D92*AD92))</f>
        <v/>
      </c>
      <c r="F92" s="50">
        <f>IF(A92&gt;Inputs!$C$62,"",IF(Inputs!$C$80=1,INDEX(Cohorts!$I$67:$I$326,A92),AD92-E92))</f>
        <v/>
      </c>
      <c r="G92" s="50">
        <f>IF(A92&gt;Inputs!$C$62,"",AD92)</f>
        <v/>
      </c>
      <c r="H92" s="50">
        <f>IF(A92&gt;Inputs!$C$62,"",INDEX(CapacityPlan!$E$7:$E$266,A92))</f>
        <v/>
      </c>
      <c r="I92" s="50">
        <f>IF(A92&gt;Inputs!$C$62,"",INDEX(CapacityPlan!$I$7:$I$266,A92))</f>
        <v/>
      </c>
      <c r="J92" s="50">
        <f>IF(A92&gt;Inputs!$C$62,"",IF(G92&gt;I92,I92,G92))</f>
        <v/>
      </c>
      <c r="K92" s="51">
        <f>IF(A92&gt;Inputs!$C$62,"",IF(G92=0,1,J92/G92))</f>
        <v/>
      </c>
      <c r="L92" s="51">
        <f>IF((Inputs!$C$36 + UnitEconomics!$B$12*Inputs!$C$37 + Inputs!$C$10*Inputs!$C$38 + Inputs!$C$70*(1-K92))&gt;1,1,(Inputs!$C$36 + UnitEconomics!$B$12*Inputs!$C$37 + Inputs!$C$10*Inputs!$C$38 + Inputs!$C$70*(1-K92)))</f>
        <v/>
      </c>
      <c r="M92" s="52">
        <f>IF(A92&gt;Inputs!$C$62,"",J92*Inputs!$C$7*(1-Inputs!$C$8)*(1-L92))</f>
        <v/>
      </c>
      <c r="N92" s="52">
        <f>IF(A92&gt;Inputs!$C$62,"",J92*UnitEconomics!$B$32*AI92 + (G92-J92)*Inputs!$C$71)</f>
        <v/>
      </c>
      <c r="O92" s="52">
        <f>M92-N92</f>
        <v/>
      </c>
      <c r="P92" s="52">
        <f>IF(A92&gt;Inputs!$C$62,"",Inputs!$C$40 + H92*Inputs!$C$41)</f>
        <v/>
      </c>
      <c r="Q92" s="52">
        <f>O92-P92</f>
        <v/>
      </c>
      <c r="R92" s="50">
        <f>IF(A92&gt;Inputs!$C$62,"",AD92*Inputs!$C$16*(Inputs!$C$9 + Inputs!$C$10*Inputs!$C$11 + Inputs!$C$12)*(1 + VLOOKUP(Inputs!$C$15,Lookups!$A$2:$B$20,2,TRUE)*(Scale!$B$9/IF(Scale!$B$8=0,1,Scale!$B$8)) + Inputs!$C$52))</f>
        <v/>
      </c>
      <c r="S92" s="50">
        <f>IF(A92=1,Scale!$B$13, W91)</f>
        <v/>
      </c>
      <c r="T92" s="50">
        <f>J92*Inputs!$C$16*(Inputs!$C$19 + Inputs!$C$20*Inputs!$C$21 + 1/Inputs!$C$18)</f>
        <v/>
      </c>
      <c r="U92" s="50">
        <f>MAX(0, (R92*(1+Inputs!$C$74)) - (S92 - T92))</f>
        <v/>
      </c>
      <c r="V92" s="50">
        <f>IF(A92&lt;=Inputs!$C$73,0,INDEX(U:U,ROW()-Inputs!$C$73))</f>
        <v/>
      </c>
      <c r="W92" s="50">
        <f>S92 - T92 + V92</f>
        <v/>
      </c>
      <c r="X92" s="52">
        <f>V92*Inputs!$C$17</f>
        <v/>
      </c>
      <c r="Y92" s="52">
        <f>IF(A92&gt;Inputs!$C$62,"",C92*AE92)</f>
        <v/>
      </c>
      <c r="Z92" s="52">
        <f>IF(A92=1,Inputs!$C$72,AA91)</f>
        <v/>
      </c>
      <c r="AA92" s="52">
        <f>Z92 + M92 - N92 - P92 - X92 - Y92</f>
        <v/>
      </c>
      <c r="AB92" s="53">
        <f>IF(AA92&lt;0,1,0)</f>
        <v/>
      </c>
      <c r="AC92" s="54">
        <f>IF(AD92=0,0,R92/(AD92*Inputs!$C$16))</f>
        <v/>
      </c>
      <c r="AD92" s="53">
        <f>IF(A92&gt;Inputs!$C$62,"",B92+C92)</f>
        <v/>
      </c>
      <c r="AE92" s="56">
        <f>IF(A92&gt;Inputs!$C$62,"", Inputs!$C$65*(1+Inputs!$C$89*POWER(MIN(1,IF(Inputs!$C$88=0,0,B92/Inputs!$C$88)),Inputs!$C$90)))</f>
        <v/>
      </c>
      <c r="AF92" s="52">
        <f>IF(A92&gt;Inputs!$C$62,"",IF(A92=1,Inputs!$C$86,MIN(Inputs!$C$86,Inputs!$C$87*M91)))</f>
        <v/>
      </c>
      <c r="AG92" s="51">
        <f>IF(A92&gt;Inputs!$C$62,"",MIN(0.5,MAX(0, Inputs!$C$67*L92 + Inputs!$C$68*(1-K92) + Inputs!$C$69*Inputs!$C$10)))</f>
        <v/>
      </c>
      <c r="AH92" s="51">
        <f>IF(A92&gt;Inputs!$C$62,"",INDEX(CapacityPlan!$G$7:$G$266,A92))</f>
        <v/>
      </c>
      <c r="AI92" s="54">
        <f>IF(A92&gt;Inputs!$C$62,"",INDEX(CapacityPlan!$J$7:$J$266,A92))</f>
        <v/>
      </c>
      <c r="AJ92" s="51">
        <f>IF(A92&gt;Inputs!$C$62,"",IF(I92=0,"",G92/I92))</f>
        <v/>
      </c>
    </row>
    <row r="93" ht="16" customHeight="1">
      <c r="A93" s="15" t="n">
        <v>71</v>
      </c>
      <c r="B93" s="50">
        <f>IF(A93&gt;Inputs!$C$62,"",IF(Inputs!$C$80=1,INDEX(Cohorts!$B$67:$B$326,A93),IF(A93=1,Inputs!$C$63,F92)))</f>
        <v/>
      </c>
      <c r="C93" s="50">
        <f>IF(A93&gt;Inputs!$C$62,"",IF(Inputs!$C$85=0,Inputs!$C$64,MIN(Inputs!$C$91,IF(AE93=0,0,AF93/AE93))))</f>
        <v/>
      </c>
      <c r="D93" s="51">
        <f>IF(A93&gt;Inputs!$C$62,"",IF(Inputs!$C$80=1,INDEX(Cohorts!$G$67:$G$326,A93),MAX(0, Inputs!$C$66 + Inputs!$C$67*L93 + Inputs!$C$68*(1-K93) + Inputs!$C$69*Inputs!$C$10)))</f>
        <v/>
      </c>
      <c r="E93" s="50">
        <f>IF(A93&gt;Inputs!$C$62,"",IF(Inputs!$C$80=1,INDEX(Cohorts!$H$67:$H$326,A93),D93*AD93))</f>
        <v/>
      </c>
      <c r="F93" s="50">
        <f>IF(A93&gt;Inputs!$C$62,"",IF(Inputs!$C$80=1,INDEX(Cohorts!$I$67:$I$326,A93),AD93-E93))</f>
        <v/>
      </c>
      <c r="G93" s="50">
        <f>IF(A93&gt;Inputs!$C$62,"",AD93)</f>
        <v/>
      </c>
      <c r="H93" s="50">
        <f>IF(A93&gt;Inputs!$C$62,"",INDEX(CapacityPlan!$E$7:$E$266,A93))</f>
        <v/>
      </c>
      <c r="I93" s="50">
        <f>IF(A93&gt;Inputs!$C$62,"",INDEX(CapacityPlan!$I$7:$I$266,A93))</f>
        <v/>
      </c>
      <c r="J93" s="50">
        <f>IF(A93&gt;Inputs!$C$62,"",IF(G93&gt;I93,I93,G93))</f>
        <v/>
      </c>
      <c r="K93" s="51">
        <f>IF(A93&gt;Inputs!$C$62,"",IF(G93=0,1,J93/G93))</f>
        <v/>
      </c>
      <c r="L93" s="51">
        <f>IF((Inputs!$C$36 + UnitEconomics!$B$12*Inputs!$C$37 + Inputs!$C$10*Inputs!$C$38 + Inputs!$C$70*(1-K93))&gt;1,1,(Inputs!$C$36 + UnitEconomics!$B$12*Inputs!$C$37 + Inputs!$C$10*Inputs!$C$38 + Inputs!$C$70*(1-K93)))</f>
        <v/>
      </c>
      <c r="M93" s="52">
        <f>IF(A93&gt;Inputs!$C$62,"",J93*Inputs!$C$7*(1-Inputs!$C$8)*(1-L93))</f>
        <v/>
      </c>
      <c r="N93" s="52">
        <f>IF(A93&gt;Inputs!$C$62,"",J93*UnitEconomics!$B$32*AI93 + (G93-J93)*Inputs!$C$71)</f>
        <v/>
      </c>
      <c r="O93" s="52">
        <f>M93-N93</f>
        <v/>
      </c>
      <c r="P93" s="52">
        <f>IF(A93&gt;Inputs!$C$62,"",Inputs!$C$40 + H93*Inputs!$C$41)</f>
        <v/>
      </c>
      <c r="Q93" s="52">
        <f>O93-P93</f>
        <v/>
      </c>
      <c r="R93" s="50">
        <f>IF(A93&gt;Inputs!$C$62,"",AD93*Inputs!$C$16*(Inputs!$C$9 + Inputs!$C$10*Inputs!$C$11 + Inputs!$C$12)*(1 + VLOOKUP(Inputs!$C$15,Lookups!$A$2:$B$20,2,TRUE)*(Scale!$B$9/IF(Scale!$B$8=0,1,Scale!$B$8)) + Inputs!$C$52))</f>
        <v/>
      </c>
      <c r="S93" s="50">
        <f>IF(A93=1,Scale!$B$13, W92)</f>
        <v/>
      </c>
      <c r="T93" s="50">
        <f>J93*Inputs!$C$16*(Inputs!$C$19 + Inputs!$C$20*Inputs!$C$21 + 1/Inputs!$C$18)</f>
        <v/>
      </c>
      <c r="U93" s="50">
        <f>MAX(0, (R93*(1+Inputs!$C$74)) - (S93 - T93))</f>
        <v/>
      </c>
      <c r="V93" s="50">
        <f>IF(A93&lt;=Inputs!$C$73,0,INDEX(U:U,ROW()-Inputs!$C$73))</f>
        <v/>
      </c>
      <c r="W93" s="50">
        <f>S93 - T93 + V93</f>
        <v/>
      </c>
      <c r="X93" s="52">
        <f>V93*Inputs!$C$17</f>
        <v/>
      </c>
      <c r="Y93" s="52">
        <f>IF(A93&gt;Inputs!$C$62,"",C93*AE93)</f>
        <v/>
      </c>
      <c r="Z93" s="52">
        <f>IF(A93=1,Inputs!$C$72,AA92)</f>
        <v/>
      </c>
      <c r="AA93" s="52">
        <f>Z93 + M93 - N93 - P93 - X93 - Y93</f>
        <v/>
      </c>
      <c r="AB93" s="53">
        <f>IF(AA93&lt;0,1,0)</f>
        <v/>
      </c>
      <c r="AC93" s="54">
        <f>IF(AD93=0,0,R93/(AD93*Inputs!$C$16))</f>
        <v/>
      </c>
      <c r="AD93" s="53">
        <f>IF(A93&gt;Inputs!$C$62,"",B93+C93)</f>
        <v/>
      </c>
      <c r="AE93" s="56">
        <f>IF(A93&gt;Inputs!$C$62,"", Inputs!$C$65*(1+Inputs!$C$89*POWER(MIN(1,IF(Inputs!$C$88=0,0,B93/Inputs!$C$88)),Inputs!$C$90)))</f>
        <v/>
      </c>
      <c r="AF93" s="52">
        <f>IF(A93&gt;Inputs!$C$62,"",IF(A93=1,Inputs!$C$86,MIN(Inputs!$C$86,Inputs!$C$87*M92)))</f>
        <v/>
      </c>
      <c r="AG93" s="51">
        <f>IF(A93&gt;Inputs!$C$62,"",MIN(0.5,MAX(0, Inputs!$C$67*L93 + Inputs!$C$68*(1-K93) + Inputs!$C$69*Inputs!$C$10)))</f>
        <v/>
      </c>
      <c r="AH93" s="51">
        <f>IF(A93&gt;Inputs!$C$62,"",INDEX(CapacityPlan!$G$7:$G$266,A93))</f>
        <v/>
      </c>
      <c r="AI93" s="54">
        <f>IF(A93&gt;Inputs!$C$62,"",INDEX(CapacityPlan!$J$7:$J$266,A93))</f>
        <v/>
      </c>
      <c r="AJ93" s="51">
        <f>IF(A93&gt;Inputs!$C$62,"",IF(I93=0,"",G93/I93))</f>
        <v/>
      </c>
    </row>
    <row r="94" ht="16" customHeight="1">
      <c r="A94" s="15" t="n">
        <v>72</v>
      </c>
      <c r="B94" s="50">
        <f>IF(A94&gt;Inputs!$C$62,"",IF(Inputs!$C$80=1,INDEX(Cohorts!$B$67:$B$326,A94),IF(A94=1,Inputs!$C$63,F93)))</f>
        <v/>
      </c>
      <c r="C94" s="50">
        <f>IF(A94&gt;Inputs!$C$62,"",IF(Inputs!$C$85=0,Inputs!$C$64,MIN(Inputs!$C$91,IF(AE94=0,0,AF94/AE94))))</f>
        <v/>
      </c>
      <c r="D94" s="51">
        <f>IF(A94&gt;Inputs!$C$62,"",IF(Inputs!$C$80=1,INDEX(Cohorts!$G$67:$G$326,A94),MAX(0, Inputs!$C$66 + Inputs!$C$67*L94 + Inputs!$C$68*(1-K94) + Inputs!$C$69*Inputs!$C$10)))</f>
        <v/>
      </c>
      <c r="E94" s="50">
        <f>IF(A94&gt;Inputs!$C$62,"",IF(Inputs!$C$80=1,INDEX(Cohorts!$H$67:$H$326,A94),D94*AD94))</f>
        <v/>
      </c>
      <c r="F94" s="50">
        <f>IF(A94&gt;Inputs!$C$62,"",IF(Inputs!$C$80=1,INDEX(Cohorts!$I$67:$I$326,A94),AD94-E94))</f>
        <v/>
      </c>
      <c r="G94" s="50">
        <f>IF(A94&gt;Inputs!$C$62,"",AD94)</f>
        <v/>
      </c>
      <c r="H94" s="50">
        <f>IF(A94&gt;Inputs!$C$62,"",INDEX(CapacityPlan!$E$7:$E$266,A94))</f>
        <v/>
      </c>
      <c r="I94" s="50">
        <f>IF(A94&gt;Inputs!$C$62,"",INDEX(CapacityPlan!$I$7:$I$266,A94))</f>
        <v/>
      </c>
      <c r="J94" s="50">
        <f>IF(A94&gt;Inputs!$C$62,"",IF(G94&gt;I94,I94,G94))</f>
        <v/>
      </c>
      <c r="K94" s="51">
        <f>IF(A94&gt;Inputs!$C$62,"",IF(G94=0,1,J94/G94))</f>
        <v/>
      </c>
      <c r="L94" s="51">
        <f>IF((Inputs!$C$36 + UnitEconomics!$B$12*Inputs!$C$37 + Inputs!$C$10*Inputs!$C$38 + Inputs!$C$70*(1-K94))&gt;1,1,(Inputs!$C$36 + UnitEconomics!$B$12*Inputs!$C$37 + Inputs!$C$10*Inputs!$C$38 + Inputs!$C$70*(1-K94)))</f>
        <v/>
      </c>
      <c r="M94" s="52">
        <f>IF(A94&gt;Inputs!$C$62,"",J94*Inputs!$C$7*(1-Inputs!$C$8)*(1-L94))</f>
        <v/>
      </c>
      <c r="N94" s="52">
        <f>IF(A94&gt;Inputs!$C$62,"",J94*UnitEconomics!$B$32*AI94 + (G94-J94)*Inputs!$C$71)</f>
        <v/>
      </c>
      <c r="O94" s="52">
        <f>M94-N94</f>
        <v/>
      </c>
      <c r="P94" s="52">
        <f>IF(A94&gt;Inputs!$C$62,"",Inputs!$C$40 + H94*Inputs!$C$41)</f>
        <v/>
      </c>
      <c r="Q94" s="52">
        <f>O94-P94</f>
        <v/>
      </c>
      <c r="R94" s="50">
        <f>IF(A94&gt;Inputs!$C$62,"",AD94*Inputs!$C$16*(Inputs!$C$9 + Inputs!$C$10*Inputs!$C$11 + Inputs!$C$12)*(1 + VLOOKUP(Inputs!$C$15,Lookups!$A$2:$B$20,2,TRUE)*(Scale!$B$9/IF(Scale!$B$8=0,1,Scale!$B$8)) + Inputs!$C$52))</f>
        <v/>
      </c>
      <c r="S94" s="50">
        <f>IF(A94=1,Scale!$B$13, W93)</f>
        <v/>
      </c>
      <c r="T94" s="50">
        <f>J94*Inputs!$C$16*(Inputs!$C$19 + Inputs!$C$20*Inputs!$C$21 + 1/Inputs!$C$18)</f>
        <v/>
      </c>
      <c r="U94" s="50">
        <f>MAX(0, (R94*(1+Inputs!$C$74)) - (S94 - T94))</f>
        <v/>
      </c>
      <c r="V94" s="50">
        <f>IF(A94&lt;=Inputs!$C$73,0,INDEX(U:U,ROW()-Inputs!$C$73))</f>
        <v/>
      </c>
      <c r="W94" s="50">
        <f>S94 - T94 + V94</f>
        <v/>
      </c>
      <c r="X94" s="52">
        <f>V94*Inputs!$C$17</f>
        <v/>
      </c>
      <c r="Y94" s="52">
        <f>IF(A94&gt;Inputs!$C$62,"",C94*AE94)</f>
        <v/>
      </c>
      <c r="Z94" s="52">
        <f>IF(A94=1,Inputs!$C$72,AA93)</f>
        <v/>
      </c>
      <c r="AA94" s="52">
        <f>Z94 + M94 - N94 - P94 - X94 - Y94</f>
        <v/>
      </c>
      <c r="AB94" s="53">
        <f>IF(AA94&lt;0,1,0)</f>
        <v/>
      </c>
      <c r="AC94" s="54">
        <f>IF(AD94=0,0,R94/(AD94*Inputs!$C$16))</f>
        <v/>
      </c>
      <c r="AD94" s="53">
        <f>IF(A94&gt;Inputs!$C$62,"",B94+C94)</f>
        <v/>
      </c>
      <c r="AE94" s="56">
        <f>IF(A94&gt;Inputs!$C$62,"", Inputs!$C$65*(1+Inputs!$C$89*POWER(MIN(1,IF(Inputs!$C$88=0,0,B94/Inputs!$C$88)),Inputs!$C$90)))</f>
        <v/>
      </c>
      <c r="AF94" s="52">
        <f>IF(A94&gt;Inputs!$C$62,"",IF(A94=1,Inputs!$C$86,MIN(Inputs!$C$86,Inputs!$C$87*M93)))</f>
        <v/>
      </c>
      <c r="AG94" s="51">
        <f>IF(A94&gt;Inputs!$C$62,"",MIN(0.5,MAX(0, Inputs!$C$67*L94 + Inputs!$C$68*(1-K94) + Inputs!$C$69*Inputs!$C$10)))</f>
        <v/>
      </c>
      <c r="AH94" s="51">
        <f>IF(A94&gt;Inputs!$C$62,"",INDEX(CapacityPlan!$G$7:$G$266,A94))</f>
        <v/>
      </c>
      <c r="AI94" s="54">
        <f>IF(A94&gt;Inputs!$C$62,"",INDEX(CapacityPlan!$J$7:$J$266,A94))</f>
        <v/>
      </c>
      <c r="AJ94" s="51">
        <f>IF(A94&gt;Inputs!$C$62,"",IF(I94=0,"",G94/I94))</f>
        <v/>
      </c>
    </row>
    <row r="95" ht="16" customHeight="1">
      <c r="A95" s="15" t="n">
        <v>73</v>
      </c>
      <c r="B95" s="50">
        <f>IF(A95&gt;Inputs!$C$62,"",IF(Inputs!$C$80=1,INDEX(Cohorts!$B$67:$B$326,A95),IF(A95=1,Inputs!$C$63,F94)))</f>
        <v/>
      </c>
      <c r="C95" s="50">
        <f>IF(A95&gt;Inputs!$C$62,"",IF(Inputs!$C$85=0,Inputs!$C$64,MIN(Inputs!$C$91,IF(AE95=0,0,AF95/AE95))))</f>
        <v/>
      </c>
      <c r="D95" s="51">
        <f>IF(A95&gt;Inputs!$C$62,"",IF(Inputs!$C$80=1,INDEX(Cohorts!$G$67:$G$326,A95),MAX(0, Inputs!$C$66 + Inputs!$C$67*L95 + Inputs!$C$68*(1-K95) + Inputs!$C$69*Inputs!$C$10)))</f>
        <v/>
      </c>
      <c r="E95" s="50">
        <f>IF(A95&gt;Inputs!$C$62,"",IF(Inputs!$C$80=1,INDEX(Cohorts!$H$67:$H$326,A95),D95*AD95))</f>
        <v/>
      </c>
      <c r="F95" s="50">
        <f>IF(A95&gt;Inputs!$C$62,"",IF(Inputs!$C$80=1,INDEX(Cohorts!$I$67:$I$326,A95),AD95-E95))</f>
        <v/>
      </c>
      <c r="G95" s="50">
        <f>IF(A95&gt;Inputs!$C$62,"",AD95)</f>
        <v/>
      </c>
      <c r="H95" s="50">
        <f>IF(A95&gt;Inputs!$C$62,"",INDEX(CapacityPlan!$E$7:$E$266,A95))</f>
        <v/>
      </c>
      <c r="I95" s="50">
        <f>IF(A95&gt;Inputs!$C$62,"",INDEX(CapacityPlan!$I$7:$I$266,A95))</f>
        <v/>
      </c>
      <c r="J95" s="50">
        <f>IF(A95&gt;Inputs!$C$62,"",IF(G95&gt;I95,I95,G95))</f>
        <v/>
      </c>
      <c r="K95" s="51">
        <f>IF(A95&gt;Inputs!$C$62,"",IF(G95=0,1,J95/G95))</f>
        <v/>
      </c>
      <c r="L95" s="51">
        <f>IF((Inputs!$C$36 + UnitEconomics!$B$12*Inputs!$C$37 + Inputs!$C$10*Inputs!$C$38 + Inputs!$C$70*(1-K95))&gt;1,1,(Inputs!$C$36 + UnitEconomics!$B$12*Inputs!$C$37 + Inputs!$C$10*Inputs!$C$38 + Inputs!$C$70*(1-K95)))</f>
        <v/>
      </c>
      <c r="M95" s="52">
        <f>IF(A95&gt;Inputs!$C$62,"",J95*Inputs!$C$7*(1-Inputs!$C$8)*(1-L95))</f>
        <v/>
      </c>
      <c r="N95" s="52">
        <f>IF(A95&gt;Inputs!$C$62,"",J95*UnitEconomics!$B$32*AI95 + (G95-J95)*Inputs!$C$71)</f>
        <v/>
      </c>
      <c r="O95" s="52">
        <f>M95-N95</f>
        <v/>
      </c>
      <c r="P95" s="52">
        <f>IF(A95&gt;Inputs!$C$62,"",Inputs!$C$40 + H95*Inputs!$C$41)</f>
        <v/>
      </c>
      <c r="Q95" s="52">
        <f>O95-P95</f>
        <v/>
      </c>
      <c r="R95" s="50">
        <f>IF(A95&gt;Inputs!$C$62,"",AD95*Inputs!$C$16*(Inputs!$C$9 + Inputs!$C$10*Inputs!$C$11 + Inputs!$C$12)*(1 + VLOOKUP(Inputs!$C$15,Lookups!$A$2:$B$20,2,TRUE)*(Scale!$B$9/IF(Scale!$B$8=0,1,Scale!$B$8)) + Inputs!$C$52))</f>
        <v/>
      </c>
      <c r="S95" s="50">
        <f>IF(A95=1,Scale!$B$13, W94)</f>
        <v/>
      </c>
      <c r="T95" s="50">
        <f>J95*Inputs!$C$16*(Inputs!$C$19 + Inputs!$C$20*Inputs!$C$21 + 1/Inputs!$C$18)</f>
        <v/>
      </c>
      <c r="U95" s="50">
        <f>MAX(0, (R95*(1+Inputs!$C$74)) - (S95 - T95))</f>
        <v/>
      </c>
      <c r="V95" s="50">
        <f>IF(A95&lt;=Inputs!$C$73,0,INDEX(U:U,ROW()-Inputs!$C$73))</f>
        <v/>
      </c>
      <c r="W95" s="50">
        <f>S95 - T95 + V95</f>
        <v/>
      </c>
      <c r="X95" s="52">
        <f>V95*Inputs!$C$17</f>
        <v/>
      </c>
      <c r="Y95" s="52">
        <f>IF(A95&gt;Inputs!$C$62,"",C95*AE95)</f>
        <v/>
      </c>
      <c r="Z95" s="52">
        <f>IF(A95=1,Inputs!$C$72,AA94)</f>
        <v/>
      </c>
      <c r="AA95" s="52">
        <f>Z95 + M95 - N95 - P95 - X95 - Y95</f>
        <v/>
      </c>
      <c r="AB95" s="53">
        <f>IF(AA95&lt;0,1,0)</f>
        <v/>
      </c>
      <c r="AC95" s="54">
        <f>IF(AD95=0,0,R95/(AD95*Inputs!$C$16))</f>
        <v/>
      </c>
      <c r="AD95" s="53">
        <f>IF(A95&gt;Inputs!$C$62,"",B95+C95)</f>
        <v/>
      </c>
      <c r="AE95" s="56">
        <f>IF(A95&gt;Inputs!$C$62,"", Inputs!$C$65*(1+Inputs!$C$89*POWER(MIN(1,IF(Inputs!$C$88=0,0,B95/Inputs!$C$88)),Inputs!$C$90)))</f>
        <v/>
      </c>
      <c r="AF95" s="52">
        <f>IF(A95&gt;Inputs!$C$62,"",IF(A95=1,Inputs!$C$86,MIN(Inputs!$C$86,Inputs!$C$87*M94)))</f>
        <v/>
      </c>
      <c r="AG95" s="51">
        <f>IF(A95&gt;Inputs!$C$62,"",MIN(0.5,MAX(0, Inputs!$C$67*L95 + Inputs!$C$68*(1-K95) + Inputs!$C$69*Inputs!$C$10)))</f>
        <v/>
      </c>
      <c r="AH95" s="51">
        <f>IF(A95&gt;Inputs!$C$62,"",INDEX(CapacityPlan!$G$7:$G$266,A95))</f>
        <v/>
      </c>
      <c r="AI95" s="54">
        <f>IF(A95&gt;Inputs!$C$62,"",INDEX(CapacityPlan!$J$7:$J$266,A95))</f>
        <v/>
      </c>
      <c r="AJ95" s="51">
        <f>IF(A95&gt;Inputs!$C$62,"",IF(I95=0,"",G95/I95))</f>
        <v/>
      </c>
    </row>
    <row r="96" ht="16" customHeight="1">
      <c r="A96" s="15" t="n">
        <v>74</v>
      </c>
      <c r="B96" s="50">
        <f>IF(A96&gt;Inputs!$C$62,"",IF(Inputs!$C$80=1,INDEX(Cohorts!$B$67:$B$326,A96),IF(A96=1,Inputs!$C$63,F95)))</f>
        <v/>
      </c>
      <c r="C96" s="50">
        <f>IF(A96&gt;Inputs!$C$62,"",IF(Inputs!$C$85=0,Inputs!$C$64,MIN(Inputs!$C$91,IF(AE96=0,0,AF96/AE96))))</f>
        <v/>
      </c>
      <c r="D96" s="51">
        <f>IF(A96&gt;Inputs!$C$62,"",IF(Inputs!$C$80=1,INDEX(Cohorts!$G$67:$G$326,A96),MAX(0, Inputs!$C$66 + Inputs!$C$67*L96 + Inputs!$C$68*(1-K96) + Inputs!$C$69*Inputs!$C$10)))</f>
        <v/>
      </c>
      <c r="E96" s="50">
        <f>IF(A96&gt;Inputs!$C$62,"",IF(Inputs!$C$80=1,INDEX(Cohorts!$H$67:$H$326,A96),D96*AD96))</f>
        <v/>
      </c>
      <c r="F96" s="50">
        <f>IF(A96&gt;Inputs!$C$62,"",IF(Inputs!$C$80=1,INDEX(Cohorts!$I$67:$I$326,A96),AD96-E96))</f>
        <v/>
      </c>
      <c r="G96" s="50">
        <f>IF(A96&gt;Inputs!$C$62,"",AD96)</f>
        <v/>
      </c>
      <c r="H96" s="50">
        <f>IF(A96&gt;Inputs!$C$62,"",INDEX(CapacityPlan!$E$7:$E$266,A96))</f>
        <v/>
      </c>
      <c r="I96" s="50">
        <f>IF(A96&gt;Inputs!$C$62,"",INDEX(CapacityPlan!$I$7:$I$266,A96))</f>
        <v/>
      </c>
      <c r="J96" s="50">
        <f>IF(A96&gt;Inputs!$C$62,"",IF(G96&gt;I96,I96,G96))</f>
        <v/>
      </c>
      <c r="K96" s="51">
        <f>IF(A96&gt;Inputs!$C$62,"",IF(G96=0,1,J96/G96))</f>
        <v/>
      </c>
      <c r="L96" s="51">
        <f>IF((Inputs!$C$36 + UnitEconomics!$B$12*Inputs!$C$37 + Inputs!$C$10*Inputs!$C$38 + Inputs!$C$70*(1-K96))&gt;1,1,(Inputs!$C$36 + UnitEconomics!$B$12*Inputs!$C$37 + Inputs!$C$10*Inputs!$C$38 + Inputs!$C$70*(1-K96)))</f>
        <v/>
      </c>
      <c r="M96" s="52">
        <f>IF(A96&gt;Inputs!$C$62,"",J96*Inputs!$C$7*(1-Inputs!$C$8)*(1-L96))</f>
        <v/>
      </c>
      <c r="N96" s="52">
        <f>IF(A96&gt;Inputs!$C$62,"",J96*UnitEconomics!$B$32*AI96 + (G96-J96)*Inputs!$C$71)</f>
        <v/>
      </c>
      <c r="O96" s="52">
        <f>M96-N96</f>
        <v/>
      </c>
      <c r="P96" s="52">
        <f>IF(A96&gt;Inputs!$C$62,"",Inputs!$C$40 + H96*Inputs!$C$41)</f>
        <v/>
      </c>
      <c r="Q96" s="52">
        <f>O96-P96</f>
        <v/>
      </c>
      <c r="R96" s="50">
        <f>IF(A96&gt;Inputs!$C$62,"",AD96*Inputs!$C$16*(Inputs!$C$9 + Inputs!$C$10*Inputs!$C$11 + Inputs!$C$12)*(1 + VLOOKUP(Inputs!$C$15,Lookups!$A$2:$B$20,2,TRUE)*(Scale!$B$9/IF(Scale!$B$8=0,1,Scale!$B$8)) + Inputs!$C$52))</f>
        <v/>
      </c>
      <c r="S96" s="50">
        <f>IF(A96=1,Scale!$B$13, W95)</f>
        <v/>
      </c>
      <c r="T96" s="50">
        <f>J96*Inputs!$C$16*(Inputs!$C$19 + Inputs!$C$20*Inputs!$C$21 + 1/Inputs!$C$18)</f>
        <v/>
      </c>
      <c r="U96" s="50">
        <f>MAX(0, (R96*(1+Inputs!$C$74)) - (S96 - T96))</f>
        <v/>
      </c>
      <c r="V96" s="50">
        <f>IF(A96&lt;=Inputs!$C$73,0,INDEX(U:U,ROW()-Inputs!$C$73))</f>
        <v/>
      </c>
      <c r="W96" s="50">
        <f>S96 - T96 + V96</f>
        <v/>
      </c>
      <c r="X96" s="52">
        <f>V96*Inputs!$C$17</f>
        <v/>
      </c>
      <c r="Y96" s="52">
        <f>IF(A96&gt;Inputs!$C$62,"",C96*AE96)</f>
        <v/>
      </c>
      <c r="Z96" s="52">
        <f>IF(A96=1,Inputs!$C$72,AA95)</f>
        <v/>
      </c>
      <c r="AA96" s="52">
        <f>Z96 + M96 - N96 - P96 - X96 - Y96</f>
        <v/>
      </c>
      <c r="AB96" s="53">
        <f>IF(AA96&lt;0,1,0)</f>
        <v/>
      </c>
      <c r="AC96" s="54">
        <f>IF(AD96=0,0,R96/(AD96*Inputs!$C$16))</f>
        <v/>
      </c>
      <c r="AD96" s="53">
        <f>IF(A96&gt;Inputs!$C$62,"",B96+C96)</f>
        <v/>
      </c>
      <c r="AE96" s="56">
        <f>IF(A96&gt;Inputs!$C$62,"", Inputs!$C$65*(1+Inputs!$C$89*POWER(MIN(1,IF(Inputs!$C$88=0,0,B96/Inputs!$C$88)),Inputs!$C$90)))</f>
        <v/>
      </c>
      <c r="AF96" s="52">
        <f>IF(A96&gt;Inputs!$C$62,"",IF(A96=1,Inputs!$C$86,MIN(Inputs!$C$86,Inputs!$C$87*M95)))</f>
        <v/>
      </c>
      <c r="AG96" s="51">
        <f>IF(A96&gt;Inputs!$C$62,"",MIN(0.5,MAX(0, Inputs!$C$67*L96 + Inputs!$C$68*(1-K96) + Inputs!$C$69*Inputs!$C$10)))</f>
        <v/>
      </c>
      <c r="AH96" s="51">
        <f>IF(A96&gt;Inputs!$C$62,"",INDEX(CapacityPlan!$G$7:$G$266,A96))</f>
        <v/>
      </c>
      <c r="AI96" s="54">
        <f>IF(A96&gt;Inputs!$C$62,"",INDEX(CapacityPlan!$J$7:$J$266,A96))</f>
        <v/>
      </c>
      <c r="AJ96" s="51">
        <f>IF(A96&gt;Inputs!$C$62,"",IF(I96=0,"",G96/I96))</f>
        <v/>
      </c>
    </row>
    <row r="97" ht="16" customHeight="1">
      <c r="A97" s="15" t="n">
        <v>75</v>
      </c>
      <c r="B97" s="50">
        <f>IF(A97&gt;Inputs!$C$62,"",IF(Inputs!$C$80=1,INDEX(Cohorts!$B$67:$B$326,A97),IF(A97=1,Inputs!$C$63,F96)))</f>
        <v/>
      </c>
      <c r="C97" s="50">
        <f>IF(A97&gt;Inputs!$C$62,"",IF(Inputs!$C$85=0,Inputs!$C$64,MIN(Inputs!$C$91,IF(AE97=0,0,AF97/AE97))))</f>
        <v/>
      </c>
      <c r="D97" s="51">
        <f>IF(A97&gt;Inputs!$C$62,"",IF(Inputs!$C$80=1,INDEX(Cohorts!$G$67:$G$326,A97),MAX(0, Inputs!$C$66 + Inputs!$C$67*L97 + Inputs!$C$68*(1-K97) + Inputs!$C$69*Inputs!$C$10)))</f>
        <v/>
      </c>
      <c r="E97" s="50">
        <f>IF(A97&gt;Inputs!$C$62,"",IF(Inputs!$C$80=1,INDEX(Cohorts!$H$67:$H$326,A97),D97*AD97))</f>
        <v/>
      </c>
      <c r="F97" s="50">
        <f>IF(A97&gt;Inputs!$C$62,"",IF(Inputs!$C$80=1,INDEX(Cohorts!$I$67:$I$326,A97),AD97-E97))</f>
        <v/>
      </c>
      <c r="G97" s="50">
        <f>IF(A97&gt;Inputs!$C$62,"",AD97)</f>
        <v/>
      </c>
      <c r="H97" s="50">
        <f>IF(A97&gt;Inputs!$C$62,"",INDEX(CapacityPlan!$E$7:$E$266,A97))</f>
        <v/>
      </c>
      <c r="I97" s="50">
        <f>IF(A97&gt;Inputs!$C$62,"",INDEX(CapacityPlan!$I$7:$I$266,A97))</f>
        <v/>
      </c>
      <c r="J97" s="50">
        <f>IF(A97&gt;Inputs!$C$62,"",IF(G97&gt;I97,I97,G97))</f>
        <v/>
      </c>
      <c r="K97" s="51">
        <f>IF(A97&gt;Inputs!$C$62,"",IF(G97=0,1,J97/G97))</f>
        <v/>
      </c>
      <c r="L97" s="51">
        <f>IF((Inputs!$C$36 + UnitEconomics!$B$12*Inputs!$C$37 + Inputs!$C$10*Inputs!$C$38 + Inputs!$C$70*(1-K97))&gt;1,1,(Inputs!$C$36 + UnitEconomics!$B$12*Inputs!$C$37 + Inputs!$C$10*Inputs!$C$38 + Inputs!$C$70*(1-K97)))</f>
        <v/>
      </c>
      <c r="M97" s="52">
        <f>IF(A97&gt;Inputs!$C$62,"",J97*Inputs!$C$7*(1-Inputs!$C$8)*(1-L97))</f>
        <v/>
      </c>
      <c r="N97" s="52">
        <f>IF(A97&gt;Inputs!$C$62,"",J97*UnitEconomics!$B$32*AI97 + (G97-J97)*Inputs!$C$71)</f>
        <v/>
      </c>
      <c r="O97" s="52">
        <f>M97-N97</f>
        <v/>
      </c>
      <c r="P97" s="52">
        <f>IF(A97&gt;Inputs!$C$62,"",Inputs!$C$40 + H97*Inputs!$C$41)</f>
        <v/>
      </c>
      <c r="Q97" s="52">
        <f>O97-P97</f>
        <v/>
      </c>
      <c r="R97" s="50">
        <f>IF(A97&gt;Inputs!$C$62,"",AD97*Inputs!$C$16*(Inputs!$C$9 + Inputs!$C$10*Inputs!$C$11 + Inputs!$C$12)*(1 + VLOOKUP(Inputs!$C$15,Lookups!$A$2:$B$20,2,TRUE)*(Scale!$B$9/IF(Scale!$B$8=0,1,Scale!$B$8)) + Inputs!$C$52))</f>
        <v/>
      </c>
      <c r="S97" s="50">
        <f>IF(A97=1,Scale!$B$13, W96)</f>
        <v/>
      </c>
      <c r="T97" s="50">
        <f>J97*Inputs!$C$16*(Inputs!$C$19 + Inputs!$C$20*Inputs!$C$21 + 1/Inputs!$C$18)</f>
        <v/>
      </c>
      <c r="U97" s="50">
        <f>MAX(0, (R97*(1+Inputs!$C$74)) - (S97 - T97))</f>
        <v/>
      </c>
      <c r="V97" s="50">
        <f>IF(A97&lt;=Inputs!$C$73,0,INDEX(U:U,ROW()-Inputs!$C$73))</f>
        <v/>
      </c>
      <c r="W97" s="50">
        <f>S97 - T97 + V97</f>
        <v/>
      </c>
      <c r="X97" s="52">
        <f>V97*Inputs!$C$17</f>
        <v/>
      </c>
      <c r="Y97" s="52">
        <f>IF(A97&gt;Inputs!$C$62,"",C97*AE97)</f>
        <v/>
      </c>
      <c r="Z97" s="52">
        <f>IF(A97=1,Inputs!$C$72,AA96)</f>
        <v/>
      </c>
      <c r="AA97" s="52">
        <f>Z97 + M97 - N97 - P97 - X97 - Y97</f>
        <v/>
      </c>
      <c r="AB97" s="53">
        <f>IF(AA97&lt;0,1,0)</f>
        <v/>
      </c>
      <c r="AC97" s="54">
        <f>IF(AD97=0,0,R97/(AD97*Inputs!$C$16))</f>
        <v/>
      </c>
      <c r="AD97" s="53">
        <f>IF(A97&gt;Inputs!$C$62,"",B97+C97)</f>
        <v/>
      </c>
      <c r="AE97" s="56">
        <f>IF(A97&gt;Inputs!$C$62,"", Inputs!$C$65*(1+Inputs!$C$89*POWER(MIN(1,IF(Inputs!$C$88=0,0,B97/Inputs!$C$88)),Inputs!$C$90)))</f>
        <v/>
      </c>
      <c r="AF97" s="52">
        <f>IF(A97&gt;Inputs!$C$62,"",IF(A97=1,Inputs!$C$86,MIN(Inputs!$C$86,Inputs!$C$87*M96)))</f>
        <v/>
      </c>
      <c r="AG97" s="51">
        <f>IF(A97&gt;Inputs!$C$62,"",MIN(0.5,MAX(0, Inputs!$C$67*L97 + Inputs!$C$68*(1-K97) + Inputs!$C$69*Inputs!$C$10)))</f>
        <v/>
      </c>
      <c r="AH97" s="51">
        <f>IF(A97&gt;Inputs!$C$62,"",INDEX(CapacityPlan!$G$7:$G$266,A97))</f>
        <v/>
      </c>
      <c r="AI97" s="54">
        <f>IF(A97&gt;Inputs!$C$62,"",INDEX(CapacityPlan!$J$7:$J$266,A97))</f>
        <v/>
      </c>
      <c r="AJ97" s="51">
        <f>IF(A97&gt;Inputs!$C$62,"",IF(I97=0,"",G97/I97))</f>
        <v/>
      </c>
    </row>
    <row r="98" ht="16" customHeight="1">
      <c r="A98" s="15" t="n">
        <v>76</v>
      </c>
      <c r="B98" s="50">
        <f>IF(A98&gt;Inputs!$C$62,"",IF(Inputs!$C$80=1,INDEX(Cohorts!$B$67:$B$326,A98),IF(A98=1,Inputs!$C$63,F97)))</f>
        <v/>
      </c>
      <c r="C98" s="50">
        <f>IF(A98&gt;Inputs!$C$62,"",IF(Inputs!$C$85=0,Inputs!$C$64,MIN(Inputs!$C$91,IF(AE98=0,0,AF98/AE98))))</f>
        <v/>
      </c>
      <c r="D98" s="51">
        <f>IF(A98&gt;Inputs!$C$62,"",IF(Inputs!$C$80=1,INDEX(Cohorts!$G$67:$G$326,A98),MAX(0, Inputs!$C$66 + Inputs!$C$67*L98 + Inputs!$C$68*(1-K98) + Inputs!$C$69*Inputs!$C$10)))</f>
        <v/>
      </c>
      <c r="E98" s="50">
        <f>IF(A98&gt;Inputs!$C$62,"",IF(Inputs!$C$80=1,INDEX(Cohorts!$H$67:$H$326,A98),D98*AD98))</f>
        <v/>
      </c>
      <c r="F98" s="50">
        <f>IF(A98&gt;Inputs!$C$62,"",IF(Inputs!$C$80=1,INDEX(Cohorts!$I$67:$I$326,A98),AD98-E98))</f>
        <v/>
      </c>
      <c r="G98" s="50">
        <f>IF(A98&gt;Inputs!$C$62,"",AD98)</f>
        <v/>
      </c>
      <c r="H98" s="50">
        <f>IF(A98&gt;Inputs!$C$62,"",INDEX(CapacityPlan!$E$7:$E$266,A98))</f>
        <v/>
      </c>
      <c r="I98" s="50">
        <f>IF(A98&gt;Inputs!$C$62,"",INDEX(CapacityPlan!$I$7:$I$266,A98))</f>
        <v/>
      </c>
      <c r="J98" s="50">
        <f>IF(A98&gt;Inputs!$C$62,"",IF(G98&gt;I98,I98,G98))</f>
        <v/>
      </c>
      <c r="K98" s="51">
        <f>IF(A98&gt;Inputs!$C$62,"",IF(G98=0,1,J98/G98))</f>
        <v/>
      </c>
      <c r="L98" s="51">
        <f>IF((Inputs!$C$36 + UnitEconomics!$B$12*Inputs!$C$37 + Inputs!$C$10*Inputs!$C$38 + Inputs!$C$70*(1-K98))&gt;1,1,(Inputs!$C$36 + UnitEconomics!$B$12*Inputs!$C$37 + Inputs!$C$10*Inputs!$C$38 + Inputs!$C$70*(1-K98)))</f>
        <v/>
      </c>
      <c r="M98" s="52">
        <f>IF(A98&gt;Inputs!$C$62,"",J98*Inputs!$C$7*(1-Inputs!$C$8)*(1-L98))</f>
        <v/>
      </c>
      <c r="N98" s="52">
        <f>IF(A98&gt;Inputs!$C$62,"",J98*UnitEconomics!$B$32*AI98 + (G98-J98)*Inputs!$C$71)</f>
        <v/>
      </c>
      <c r="O98" s="52">
        <f>M98-N98</f>
        <v/>
      </c>
      <c r="P98" s="52">
        <f>IF(A98&gt;Inputs!$C$62,"",Inputs!$C$40 + H98*Inputs!$C$41)</f>
        <v/>
      </c>
      <c r="Q98" s="52">
        <f>O98-P98</f>
        <v/>
      </c>
      <c r="R98" s="50">
        <f>IF(A98&gt;Inputs!$C$62,"",AD98*Inputs!$C$16*(Inputs!$C$9 + Inputs!$C$10*Inputs!$C$11 + Inputs!$C$12)*(1 + VLOOKUP(Inputs!$C$15,Lookups!$A$2:$B$20,2,TRUE)*(Scale!$B$9/IF(Scale!$B$8=0,1,Scale!$B$8)) + Inputs!$C$52))</f>
        <v/>
      </c>
      <c r="S98" s="50">
        <f>IF(A98=1,Scale!$B$13, W97)</f>
        <v/>
      </c>
      <c r="T98" s="50">
        <f>J98*Inputs!$C$16*(Inputs!$C$19 + Inputs!$C$20*Inputs!$C$21 + 1/Inputs!$C$18)</f>
        <v/>
      </c>
      <c r="U98" s="50">
        <f>MAX(0, (R98*(1+Inputs!$C$74)) - (S98 - T98))</f>
        <v/>
      </c>
      <c r="V98" s="50">
        <f>IF(A98&lt;=Inputs!$C$73,0,INDEX(U:U,ROW()-Inputs!$C$73))</f>
        <v/>
      </c>
      <c r="W98" s="50">
        <f>S98 - T98 + V98</f>
        <v/>
      </c>
      <c r="X98" s="52">
        <f>V98*Inputs!$C$17</f>
        <v/>
      </c>
      <c r="Y98" s="52">
        <f>IF(A98&gt;Inputs!$C$62,"",C98*AE98)</f>
        <v/>
      </c>
      <c r="Z98" s="52">
        <f>IF(A98=1,Inputs!$C$72,AA97)</f>
        <v/>
      </c>
      <c r="AA98" s="52">
        <f>Z98 + M98 - N98 - P98 - X98 - Y98</f>
        <v/>
      </c>
      <c r="AB98" s="53">
        <f>IF(AA98&lt;0,1,0)</f>
        <v/>
      </c>
      <c r="AC98" s="54">
        <f>IF(AD98=0,0,R98/(AD98*Inputs!$C$16))</f>
        <v/>
      </c>
      <c r="AD98" s="53">
        <f>IF(A98&gt;Inputs!$C$62,"",B98+C98)</f>
        <v/>
      </c>
      <c r="AE98" s="56">
        <f>IF(A98&gt;Inputs!$C$62,"", Inputs!$C$65*(1+Inputs!$C$89*POWER(MIN(1,IF(Inputs!$C$88=0,0,B98/Inputs!$C$88)),Inputs!$C$90)))</f>
        <v/>
      </c>
      <c r="AF98" s="52">
        <f>IF(A98&gt;Inputs!$C$62,"",IF(A98=1,Inputs!$C$86,MIN(Inputs!$C$86,Inputs!$C$87*M97)))</f>
        <v/>
      </c>
      <c r="AG98" s="51">
        <f>IF(A98&gt;Inputs!$C$62,"",MIN(0.5,MAX(0, Inputs!$C$67*L98 + Inputs!$C$68*(1-K98) + Inputs!$C$69*Inputs!$C$10)))</f>
        <v/>
      </c>
      <c r="AH98" s="51">
        <f>IF(A98&gt;Inputs!$C$62,"",INDEX(CapacityPlan!$G$7:$G$266,A98))</f>
        <v/>
      </c>
      <c r="AI98" s="54">
        <f>IF(A98&gt;Inputs!$C$62,"",INDEX(CapacityPlan!$J$7:$J$266,A98))</f>
        <v/>
      </c>
      <c r="AJ98" s="51">
        <f>IF(A98&gt;Inputs!$C$62,"",IF(I98=0,"",G98/I98))</f>
        <v/>
      </c>
    </row>
    <row r="99" ht="16" customHeight="1">
      <c r="A99" s="15" t="n">
        <v>77</v>
      </c>
      <c r="B99" s="50">
        <f>IF(A99&gt;Inputs!$C$62,"",IF(Inputs!$C$80=1,INDEX(Cohorts!$B$67:$B$326,A99),IF(A99=1,Inputs!$C$63,F98)))</f>
        <v/>
      </c>
      <c r="C99" s="50">
        <f>IF(A99&gt;Inputs!$C$62,"",IF(Inputs!$C$85=0,Inputs!$C$64,MIN(Inputs!$C$91,IF(AE99=0,0,AF99/AE99))))</f>
        <v/>
      </c>
      <c r="D99" s="51">
        <f>IF(A99&gt;Inputs!$C$62,"",IF(Inputs!$C$80=1,INDEX(Cohorts!$G$67:$G$326,A99),MAX(0, Inputs!$C$66 + Inputs!$C$67*L99 + Inputs!$C$68*(1-K99) + Inputs!$C$69*Inputs!$C$10)))</f>
        <v/>
      </c>
      <c r="E99" s="50">
        <f>IF(A99&gt;Inputs!$C$62,"",IF(Inputs!$C$80=1,INDEX(Cohorts!$H$67:$H$326,A99),D99*AD99))</f>
        <v/>
      </c>
      <c r="F99" s="50">
        <f>IF(A99&gt;Inputs!$C$62,"",IF(Inputs!$C$80=1,INDEX(Cohorts!$I$67:$I$326,A99),AD99-E99))</f>
        <v/>
      </c>
      <c r="G99" s="50">
        <f>IF(A99&gt;Inputs!$C$62,"",AD99)</f>
        <v/>
      </c>
      <c r="H99" s="50">
        <f>IF(A99&gt;Inputs!$C$62,"",INDEX(CapacityPlan!$E$7:$E$266,A99))</f>
        <v/>
      </c>
      <c r="I99" s="50">
        <f>IF(A99&gt;Inputs!$C$62,"",INDEX(CapacityPlan!$I$7:$I$266,A99))</f>
        <v/>
      </c>
      <c r="J99" s="50">
        <f>IF(A99&gt;Inputs!$C$62,"",IF(G99&gt;I99,I99,G99))</f>
        <v/>
      </c>
      <c r="K99" s="51">
        <f>IF(A99&gt;Inputs!$C$62,"",IF(G99=0,1,J99/G99))</f>
        <v/>
      </c>
      <c r="L99" s="51">
        <f>IF((Inputs!$C$36 + UnitEconomics!$B$12*Inputs!$C$37 + Inputs!$C$10*Inputs!$C$38 + Inputs!$C$70*(1-K99))&gt;1,1,(Inputs!$C$36 + UnitEconomics!$B$12*Inputs!$C$37 + Inputs!$C$10*Inputs!$C$38 + Inputs!$C$70*(1-K99)))</f>
        <v/>
      </c>
      <c r="M99" s="52">
        <f>IF(A99&gt;Inputs!$C$62,"",J99*Inputs!$C$7*(1-Inputs!$C$8)*(1-L99))</f>
        <v/>
      </c>
      <c r="N99" s="52">
        <f>IF(A99&gt;Inputs!$C$62,"",J99*UnitEconomics!$B$32*AI99 + (G99-J99)*Inputs!$C$71)</f>
        <v/>
      </c>
      <c r="O99" s="52">
        <f>M99-N99</f>
        <v/>
      </c>
      <c r="P99" s="52">
        <f>IF(A99&gt;Inputs!$C$62,"",Inputs!$C$40 + H99*Inputs!$C$41)</f>
        <v/>
      </c>
      <c r="Q99" s="52">
        <f>O99-P99</f>
        <v/>
      </c>
      <c r="R99" s="50">
        <f>IF(A99&gt;Inputs!$C$62,"",AD99*Inputs!$C$16*(Inputs!$C$9 + Inputs!$C$10*Inputs!$C$11 + Inputs!$C$12)*(1 + VLOOKUP(Inputs!$C$15,Lookups!$A$2:$B$20,2,TRUE)*(Scale!$B$9/IF(Scale!$B$8=0,1,Scale!$B$8)) + Inputs!$C$52))</f>
        <v/>
      </c>
      <c r="S99" s="50">
        <f>IF(A99=1,Scale!$B$13, W98)</f>
        <v/>
      </c>
      <c r="T99" s="50">
        <f>J99*Inputs!$C$16*(Inputs!$C$19 + Inputs!$C$20*Inputs!$C$21 + 1/Inputs!$C$18)</f>
        <v/>
      </c>
      <c r="U99" s="50">
        <f>MAX(0, (R99*(1+Inputs!$C$74)) - (S99 - T99))</f>
        <v/>
      </c>
      <c r="V99" s="50">
        <f>IF(A99&lt;=Inputs!$C$73,0,INDEX(U:U,ROW()-Inputs!$C$73))</f>
        <v/>
      </c>
      <c r="W99" s="50">
        <f>S99 - T99 + V99</f>
        <v/>
      </c>
      <c r="X99" s="52">
        <f>V99*Inputs!$C$17</f>
        <v/>
      </c>
      <c r="Y99" s="52">
        <f>IF(A99&gt;Inputs!$C$62,"",C99*AE99)</f>
        <v/>
      </c>
      <c r="Z99" s="52">
        <f>IF(A99=1,Inputs!$C$72,AA98)</f>
        <v/>
      </c>
      <c r="AA99" s="52">
        <f>Z99 + M99 - N99 - P99 - X99 - Y99</f>
        <v/>
      </c>
      <c r="AB99" s="53">
        <f>IF(AA99&lt;0,1,0)</f>
        <v/>
      </c>
      <c r="AC99" s="54">
        <f>IF(AD99=0,0,R99/(AD99*Inputs!$C$16))</f>
        <v/>
      </c>
      <c r="AD99" s="53">
        <f>IF(A99&gt;Inputs!$C$62,"",B99+C99)</f>
        <v/>
      </c>
      <c r="AE99" s="56">
        <f>IF(A99&gt;Inputs!$C$62,"", Inputs!$C$65*(1+Inputs!$C$89*POWER(MIN(1,IF(Inputs!$C$88=0,0,B99/Inputs!$C$88)),Inputs!$C$90)))</f>
        <v/>
      </c>
      <c r="AF99" s="52">
        <f>IF(A99&gt;Inputs!$C$62,"",IF(A99=1,Inputs!$C$86,MIN(Inputs!$C$86,Inputs!$C$87*M98)))</f>
        <v/>
      </c>
      <c r="AG99" s="51">
        <f>IF(A99&gt;Inputs!$C$62,"",MIN(0.5,MAX(0, Inputs!$C$67*L99 + Inputs!$C$68*(1-K99) + Inputs!$C$69*Inputs!$C$10)))</f>
        <v/>
      </c>
      <c r="AH99" s="51">
        <f>IF(A99&gt;Inputs!$C$62,"",INDEX(CapacityPlan!$G$7:$G$266,A99))</f>
        <v/>
      </c>
      <c r="AI99" s="54">
        <f>IF(A99&gt;Inputs!$C$62,"",INDEX(CapacityPlan!$J$7:$J$266,A99))</f>
        <v/>
      </c>
      <c r="AJ99" s="51">
        <f>IF(A99&gt;Inputs!$C$62,"",IF(I99=0,"",G99/I99))</f>
        <v/>
      </c>
    </row>
    <row r="100" ht="16" customHeight="1">
      <c r="A100" s="15" t="n">
        <v>78</v>
      </c>
      <c r="B100" s="50">
        <f>IF(A100&gt;Inputs!$C$62,"",IF(Inputs!$C$80=1,INDEX(Cohorts!$B$67:$B$326,A100),IF(A100=1,Inputs!$C$63,F99)))</f>
        <v/>
      </c>
      <c r="C100" s="50">
        <f>IF(A100&gt;Inputs!$C$62,"",IF(Inputs!$C$85=0,Inputs!$C$64,MIN(Inputs!$C$91,IF(AE100=0,0,AF100/AE100))))</f>
        <v/>
      </c>
      <c r="D100" s="51">
        <f>IF(A100&gt;Inputs!$C$62,"",IF(Inputs!$C$80=1,INDEX(Cohorts!$G$67:$G$326,A100),MAX(0, Inputs!$C$66 + Inputs!$C$67*L100 + Inputs!$C$68*(1-K100) + Inputs!$C$69*Inputs!$C$10)))</f>
        <v/>
      </c>
      <c r="E100" s="50">
        <f>IF(A100&gt;Inputs!$C$62,"",IF(Inputs!$C$80=1,INDEX(Cohorts!$H$67:$H$326,A100),D100*AD100))</f>
        <v/>
      </c>
      <c r="F100" s="50">
        <f>IF(A100&gt;Inputs!$C$62,"",IF(Inputs!$C$80=1,INDEX(Cohorts!$I$67:$I$326,A100),AD100-E100))</f>
        <v/>
      </c>
      <c r="G100" s="50">
        <f>IF(A100&gt;Inputs!$C$62,"",AD100)</f>
        <v/>
      </c>
      <c r="H100" s="50">
        <f>IF(A100&gt;Inputs!$C$62,"",INDEX(CapacityPlan!$E$7:$E$266,A100))</f>
        <v/>
      </c>
      <c r="I100" s="50">
        <f>IF(A100&gt;Inputs!$C$62,"",INDEX(CapacityPlan!$I$7:$I$266,A100))</f>
        <v/>
      </c>
      <c r="J100" s="50">
        <f>IF(A100&gt;Inputs!$C$62,"",IF(G100&gt;I100,I100,G100))</f>
        <v/>
      </c>
      <c r="K100" s="51">
        <f>IF(A100&gt;Inputs!$C$62,"",IF(G100=0,1,J100/G100))</f>
        <v/>
      </c>
      <c r="L100" s="51">
        <f>IF((Inputs!$C$36 + UnitEconomics!$B$12*Inputs!$C$37 + Inputs!$C$10*Inputs!$C$38 + Inputs!$C$70*(1-K100))&gt;1,1,(Inputs!$C$36 + UnitEconomics!$B$12*Inputs!$C$37 + Inputs!$C$10*Inputs!$C$38 + Inputs!$C$70*(1-K100)))</f>
        <v/>
      </c>
      <c r="M100" s="52">
        <f>IF(A100&gt;Inputs!$C$62,"",J100*Inputs!$C$7*(1-Inputs!$C$8)*(1-L100))</f>
        <v/>
      </c>
      <c r="N100" s="52">
        <f>IF(A100&gt;Inputs!$C$62,"",J100*UnitEconomics!$B$32*AI100 + (G100-J100)*Inputs!$C$71)</f>
        <v/>
      </c>
      <c r="O100" s="52">
        <f>M100-N100</f>
        <v/>
      </c>
      <c r="P100" s="52">
        <f>IF(A100&gt;Inputs!$C$62,"",Inputs!$C$40 + H100*Inputs!$C$41)</f>
        <v/>
      </c>
      <c r="Q100" s="52">
        <f>O100-P100</f>
        <v/>
      </c>
      <c r="R100" s="50">
        <f>IF(A100&gt;Inputs!$C$62,"",AD100*Inputs!$C$16*(Inputs!$C$9 + Inputs!$C$10*Inputs!$C$11 + Inputs!$C$12)*(1 + VLOOKUP(Inputs!$C$15,Lookups!$A$2:$B$20,2,TRUE)*(Scale!$B$9/IF(Scale!$B$8=0,1,Scale!$B$8)) + Inputs!$C$52))</f>
        <v/>
      </c>
      <c r="S100" s="50">
        <f>IF(A100=1,Scale!$B$13, W99)</f>
        <v/>
      </c>
      <c r="T100" s="50">
        <f>J100*Inputs!$C$16*(Inputs!$C$19 + Inputs!$C$20*Inputs!$C$21 + 1/Inputs!$C$18)</f>
        <v/>
      </c>
      <c r="U100" s="50">
        <f>MAX(0, (R100*(1+Inputs!$C$74)) - (S100 - T100))</f>
        <v/>
      </c>
      <c r="V100" s="50">
        <f>IF(A100&lt;=Inputs!$C$73,0,INDEX(U:U,ROW()-Inputs!$C$73))</f>
        <v/>
      </c>
      <c r="W100" s="50">
        <f>S100 - T100 + V100</f>
        <v/>
      </c>
      <c r="X100" s="52">
        <f>V100*Inputs!$C$17</f>
        <v/>
      </c>
      <c r="Y100" s="52">
        <f>IF(A100&gt;Inputs!$C$62,"",C100*AE100)</f>
        <v/>
      </c>
      <c r="Z100" s="52">
        <f>IF(A100=1,Inputs!$C$72,AA99)</f>
        <v/>
      </c>
      <c r="AA100" s="52">
        <f>Z100 + M100 - N100 - P100 - X100 - Y100</f>
        <v/>
      </c>
      <c r="AB100" s="53">
        <f>IF(AA100&lt;0,1,0)</f>
        <v/>
      </c>
      <c r="AC100" s="54">
        <f>IF(AD100=0,0,R100/(AD100*Inputs!$C$16))</f>
        <v/>
      </c>
      <c r="AD100" s="53">
        <f>IF(A100&gt;Inputs!$C$62,"",B100+C100)</f>
        <v/>
      </c>
      <c r="AE100" s="56">
        <f>IF(A100&gt;Inputs!$C$62,"", Inputs!$C$65*(1+Inputs!$C$89*POWER(MIN(1,IF(Inputs!$C$88=0,0,B100/Inputs!$C$88)),Inputs!$C$90)))</f>
        <v/>
      </c>
      <c r="AF100" s="52">
        <f>IF(A100&gt;Inputs!$C$62,"",IF(A100=1,Inputs!$C$86,MIN(Inputs!$C$86,Inputs!$C$87*M99)))</f>
        <v/>
      </c>
      <c r="AG100" s="51">
        <f>IF(A100&gt;Inputs!$C$62,"",MIN(0.5,MAX(0, Inputs!$C$67*L100 + Inputs!$C$68*(1-K100) + Inputs!$C$69*Inputs!$C$10)))</f>
        <v/>
      </c>
      <c r="AH100" s="51">
        <f>IF(A100&gt;Inputs!$C$62,"",INDEX(CapacityPlan!$G$7:$G$266,A100))</f>
        <v/>
      </c>
      <c r="AI100" s="54">
        <f>IF(A100&gt;Inputs!$C$62,"",INDEX(CapacityPlan!$J$7:$J$266,A100))</f>
        <v/>
      </c>
      <c r="AJ100" s="51">
        <f>IF(A100&gt;Inputs!$C$62,"",IF(I100=0,"",G100/I100))</f>
        <v/>
      </c>
    </row>
    <row r="101" ht="16" customHeight="1">
      <c r="A101" s="15" t="n">
        <v>79</v>
      </c>
      <c r="B101" s="50">
        <f>IF(A101&gt;Inputs!$C$62,"",IF(Inputs!$C$80=1,INDEX(Cohorts!$B$67:$B$326,A101),IF(A101=1,Inputs!$C$63,F100)))</f>
        <v/>
      </c>
      <c r="C101" s="50">
        <f>IF(A101&gt;Inputs!$C$62,"",IF(Inputs!$C$85=0,Inputs!$C$64,MIN(Inputs!$C$91,IF(AE101=0,0,AF101/AE101))))</f>
        <v/>
      </c>
      <c r="D101" s="51">
        <f>IF(A101&gt;Inputs!$C$62,"",IF(Inputs!$C$80=1,INDEX(Cohorts!$G$67:$G$326,A101),MAX(0, Inputs!$C$66 + Inputs!$C$67*L101 + Inputs!$C$68*(1-K101) + Inputs!$C$69*Inputs!$C$10)))</f>
        <v/>
      </c>
      <c r="E101" s="50">
        <f>IF(A101&gt;Inputs!$C$62,"",IF(Inputs!$C$80=1,INDEX(Cohorts!$H$67:$H$326,A101),D101*AD101))</f>
        <v/>
      </c>
      <c r="F101" s="50">
        <f>IF(A101&gt;Inputs!$C$62,"",IF(Inputs!$C$80=1,INDEX(Cohorts!$I$67:$I$326,A101),AD101-E101))</f>
        <v/>
      </c>
      <c r="G101" s="50">
        <f>IF(A101&gt;Inputs!$C$62,"",AD101)</f>
        <v/>
      </c>
      <c r="H101" s="50">
        <f>IF(A101&gt;Inputs!$C$62,"",INDEX(CapacityPlan!$E$7:$E$266,A101))</f>
        <v/>
      </c>
      <c r="I101" s="50">
        <f>IF(A101&gt;Inputs!$C$62,"",INDEX(CapacityPlan!$I$7:$I$266,A101))</f>
        <v/>
      </c>
      <c r="J101" s="50">
        <f>IF(A101&gt;Inputs!$C$62,"",IF(G101&gt;I101,I101,G101))</f>
        <v/>
      </c>
      <c r="K101" s="51">
        <f>IF(A101&gt;Inputs!$C$62,"",IF(G101=0,1,J101/G101))</f>
        <v/>
      </c>
      <c r="L101" s="51">
        <f>IF((Inputs!$C$36 + UnitEconomics!$B$12*Inputs!$C$37 + Inputs!$C$10*Inputs!$C$38 + Inputs!$C$70*(1-K101))&gt;1,1,(Inputs!$C$36 + UnitEconomics!$B$12*Inputs!$C$37 + Inputs!$C$10*Inputs!$C$38 + Inputs!$C$70*(1-K101)))</f>
        <v/>
      </c>
      <c r="M101" s="52">
        <f>IF(A101&gt;Inputs!$C$62,"",J101*Inputs!$C$7*(1-Inputs!$C$8)*(1-L101))</f>
        <v/>
      </c>
      <c r="N101" s="52">
        <f>IF(A101&gt;Inputs!$C$62,"",J101*UnitEconomics!$B$32*AI101 + (G101-J101)*Inputs!$C$71)</f>
        <v/>
      </c>
      <c r="O101" s="52">
        <f>M101-N101</f>
        <v/>
      </c>
      <c r="P101" s="52">
        <f>IF(A101&gt;Inputs!$C$62,"",Inputs!$C$40 + H101*Inputs!$C$41)</f>
        <v/>
      </c>
      <c r="Q101" s="52">
        <f>O101-P101</f>
        <v/>
      </c>
      <c r="R101" s="50">
        <f>IF(A101&gt;Inputs!$C$62,"",AD101*Inputs!$C$16*(Inputs!$C$9 + Inputs!$C$10*Inputs!$C$11 + Inputs!$C$12)*(1 + VLOOKUP(Inputs!$C$15,Lookups!$A$2:$B$20,2,TRUE)*(Scale!$B$9/IF(Scale!$B$8=0,1,Scale!$B$8)) + Inputs!$C$52))</f>
        <v/>
      </c>
      <c r="S101" s="50">
        <f>IF(A101=1,Scale!$B$13, W100)</f>
        <v/>
      </c>
      <c r="T101" s="50">
        <f>J101*Inputs!$C$16*(Inputs!$C$19 + Inputs!$C$20*Inputs!$C$21 + 1/Inputs!$C$18)</f>
        <v/>
      </c>
      <c r="U101" s="50">
        <f>MAX(0, (R101*(1+Inputs!$C$74)) - (S101 - T101))</f>
        <v/>
      </c>
      <c r="V101" s="50">
        <f>IF(A101&lt;=Inputs!$C$73,0,INDEX(U:U,ROW()-Inputs!$C$73))</f>
        <v/>
      </c>
      <c r="W101" s="50">
        <f>S101 - T101 + V101</f>
        <v/>
      </c>
      <c r="X101" s="52">
        <f>V101*Inputs!$C$17</f>
        <v/>
      </c>
      <c r="Y101" s="52">
        <f>IF(A101&gt;Inputs!$C$62,"",C101*AE101)</f>
        <v/>
      </c>
      <c r="Z101" s="52">
        <f>IF(A101=1,Inputs!$C$72,AA100)</f>
        <v/>
      </c>
      <c r="AA101" s="52">
        <f>Z101 + M101 - N101 - P101 - X101 - Y101</f>
        <v/>
      </c>
      <c r="AB101" s="53">
        <f>IF(AA101&lt;0,1,0)</f>
        <v/>
      </c>
      <c r="AC101" s="54">
        <f>IF(AD101=0,0,R101/(AD101*Inputs!$C$16))</f>
        <v/>
      </c>
      <c r="AD101" s="53">
        <f>IF(A101&gt;Inputs!$C$62,"",B101+C101)</f>
        <v/>
      </c>
      <c r="AE101" s="56">
        <f>IF(A101&gt;Inputs!$C$62,"", Inputs!$C$65*(1+Inputs!$C$89*POWER(MIN(1,IF(Inputs!$C$88=0,0,B101/Inputs!$C$88)),Inputs!$C$90)))</f>
        <v/>
      </c>
      <c r="AF101" s="52">
        <f>IF(A101&gt;Inputs!$C$62,"",IF(A101=1,Inputs!$C$86,MIN(Inputs!$C$86,Inputs!$C$87*M100)))</f>
        <v/>
      </c>
      <c r="AG101" s="51">
        <f>IF(A101&gt;Inputs!$C$62,"",MIN(0.5,MAX(0, Inputs!$C$67*L101 + Inputs!$C$68*(1-K101) + Inputs!$C$69*Inputs!$C$10)))</f>
        <v/>
      </c>
      <c r="AH101" s="51">
        <f>IF(A101&gt;Inputs!$C$62,"",INDEX(CapacityPlan!$G$7:$G$266,A101))</f>
        <v/>
      </c>
      <c r="AI101" s="54">
        <f>IF(A101&gt;Inputs!$C$62,"",INDEX(CapacityPlan!$J$7:$J$266,A101))</f>
        <v/>
      </c>
      <c r="AJ101" s="51">
        <f>IF(A101&gt;Inputs!$C$62,"",IF(I101=0,"",G101/I101))</f>
        <v/>
      </c>
    </row>
    <row r="102" ht="16" customHeight="1">
      <c r="A102" s="15" t="n">
        <v>80</v>
      </c>
      <c r="B102" s="50">
        <f>IF(A102&gt;Inputs!$C$62,"",IF(Inputs!$C$80=1,INDEX(Cohorts!$B$67:$B$326,A102),IF(A102=1,Inputs!$C$63,F101)))</f>
        <v/>
      </c>
      <c r="C102" s="50">
        <f>IF(A102&gt;Inputs!$C$62,"",IF(Inputs!$C$85=0,Inputs!$C$64,MIN(Inputs!$C$91,IF(AE102=0,0,AF102/AE102))))</f>
        <v/>
      </c>
      <c r="D102" s="51">
        <f>IF(A102&gt;Inputs!$C$62,"",IF(Inputs!$C$80=1,INDEX(Cohorts!$G$67:$G$326,A102),MAX(0, Inputs!$C$66 + Inputs!$C$67*L102 + Inputs!$C$68*(1-K102) + Inputs!$C$69*Inputs!$C$10)))</f>
        <v/>
      </c>
      <c r="E102" s="50">
        <f>IF(A102&gt;Inputs!$C$62,"",IF(Inputs!$C$80=1,INDEX(Cohorts!$H$67:$H$326,A102),D102*AD102))</f>
        <v/>
      </c>
      <c r="F102" s="50">
        <f>IF(A102&gt;Inputs!$C$62,"",IF(Inputs!$C$80=1,INDEX(Cohorts!$I$67:$I$326,A102),AD102-E102))</f>
        <v/>
      </c>
      <c r="G102" s="50">
        <f>IF(A102&gt;Inputs!$C$62,"",AD102)</f>
        <v/>
      </c>
      <c r="H102" s="50">
        <f>IF(A102&gt;Inputs!$C$62,"",INDEX(CapacityPlan!$E$7:$E$266,A102))</f>
        <v/>
      </c>
      <c r="I102" s="50">
        <f>IF(A102&gt;Inputs!$C$62,"",INDEX(CapacityPlan!$I$7:$I$266,A102))</f>
        <v/>
      </c>
      <c r="J102" s="50">
        <f>IF(A102&gt;Inputs!$C$62,"",IF(G102&gt;I102,I102,G102))</f>
        <v/>
      </c>
      <c r="K102" s="51">
        <f>IF(A102&gt;Inputs!$C$62,"",IF(G102=0,1,J102/G102))</f>
        <v/>
      </c>
      <c r="L102" s="51">
        <f>IF((Inputs!$C$36 + UnitEconomics!$B$12*Inputs!$C$37 + Inputs!$C$10*Inputs!$C$38 + Inputs!$C$70*(1-K102))&gt;1,1,(Inputs!$C$36 + UnitEconomics!$B$12*Inputs!$C$37 + Inputs!$C$10*Inputs!$C$38 + Inputs!$C$70*(1-K102)))</f>
        <v/>
      </c>
      <c r="M102" s="52">
        <f>IF(A102&gt;Inputs!$C$62,"",J102*Inputs!$C$7*(1-Inputs!$C$8)*(1-L102))</f>
        <v/>
      </c>
      <c r="N102" s="52">
        <f>IF(A102&gt;Inputs!$C$62,"",J102*UnitEconomics!$B$32*AI102 + (G102-J102)*Inputs!$C$71)</f>
        <v/>
      </c>
      <c r="O102" s="52">
        <f>M102-N102</f>
        <v/>
      </c>
      <c r="P102" s="52">
        <f>IF(A102&gt;Inputs!$C$62,"",Inputs!$C$40 + H102*Inputs!$C$41)</f>
        <v/>
      </c>
      <c r="Q102" s="52">
        <f>O102-P102</f>
        <v/>
      </c>
      <c r="R102" s="50">
        <f>IF(A102&gt;Inputs!$C$62,"",AD102*Inputs!$C$16*(Inputs!$C$9 + Inputs!$C$10*Inputs!$C$11 + Inputs!$C$12)*(1 + VLOOKUP(Inputs!$C$15,Lookups!$A$2:$B$20,2,TRUE)*(Scale!$B$9/IF(Scale!$B$8=0,1,Scale!$B$8)) + Inputs!$C$52))</f>
        <v/>
      </c>
      <c r="S102" s="50">
        <f>IF(A102=1,Scale!$B$13, W101)</f>
        <v/>
      </c>
      <c r="T102" s="50">
        <f>J102*Inputs!$C$16*(Inputs!$C$19 + Inputs!$C$20*Inputs!$C$21 + 1/Inputs!$C$18)</f>
        <v/>
      </c>
      <c r="U102" s="50">
        <f>MAX(0, (R102*(1+Inputs!$C$74)) - (S102 - T102))</f>
        <v/>
      </c>
      <c r="V102" s="50">
        <f>IF(A102&lt;=Inputs!$C$73,0,INDEX(U:U,ROW()-Inputs!$C$73))</f>
        <v/>
      </c>
      <c r="W102" s="50">
        <f>S102 - T102 + V102</f>
        <v/>
      </c>
      <c r="X102" s="52">
        <f>V102*Inputs!$C$17</f>
        <v/>
      </c>
      <c r="Y102" s="52">
        <f>IF(A102&gt;Inputs!$C$62,"",C102*AE102)</f>
        <v/>
      </c>
      <c r="Z102" s="52">
        <f>IF(A102=1,Inputs!$C$72,AA101)</f>
        <v/>
      </c>
      <c r="AA102" s="52">
        <f>Z102 + M102 - N102 - P102 - X102 - Y102</f>
        <v/>
      </c>
      <c r="AB102" s="53">
        <f>IF(AA102&lt;0,1,0)</f>
        <v/>
      </c>
      <c r="AC102" s="54">
        <f>IF(AD102=0,0,R102/(AD102*Inputs!$C$16))</f>
        <v/>
      </c>
      <c r="AD102" s="53">
        <f>IF(A102&gt;Inputs!$C$62,"",B102+C102)</f>
        <v/>
      </c>
      <c r="AE102" s="56">
        <f>IF(A102&gt;Inputs!$C$62,"", Inputs!$C$65*(1+Inputs!$C$89*POWER(MIN(1,IF(Inputs!$C$88=0,0,B102/Inputs!$C$88)),Inputs!$C$90)))</f>
        <v/>
      </c>
      <c r="AF102" s="52">
        <f>IF(A102&gt;Inputs!$C$62,"",IF(A102=1,Inputs!$C$86,MIN(Inputs!$C$86,Inputs!$C$87*M101)))</f>
        <v/>
      </c>
      <c r="AG102" s="51">
        <f>IF(A102&gt;Inputs!$C$62,"",MIN(0.5,MAX(0, Inputs!$C$67*L102 + Inputs!$C$68*(1-K102) + Inputs!$C$69*Inputs!$C$10)))</f>
        <v/>
      </c>
      <c r="AH102" s="51">
        <f>IF(A102&gt;Inputs!$C$62,"",INDEX(CapacityPlan!$G$7:$G$266,A102))</f>
        <v/>
      </c>
      <c r="AI102" s="54">
        <f>IF(A102&gt;Inputs!$C$62,"",INDEX(CapacityPlan!$J$7:$J$266,A102))</f>
        <v/>
      </c>
      <c r="AJ102" s="51">
        <f>IF(A102&gt;Inputs!$C$62,"",IF(I102=0,"",G102/I102))</f>
        <v/>
      </c>
    </row>
    <row r="103" ht="16" customHeight="1">
      <c r="A103" s="15" t="n">
        <v>81</v>
      </c>
      <c r="B103" s="50">
        <f>IF(A103&gt;Inputs!$C$62,"",IF(Inputs!$C$80=1,INDEX(Cohorts!$B$67:$B$326,A103),IF(A103=1,Inputs!$C$63,F102)))</f>
        <v/>
      </c>
      <c r="C103" s="50">
        <f>IF(A103&gt;Inputs!$C$62,"",IF(Inputs!$C$85=0,Inputs!$C$64,MIN(Inputs!$C$91,IF(AE103=0,0,AF103/AE103))))</f>
        <v/>
      </c>
      <c r="D103" s="51">
        <f>IF(A103&gt;Inputs!$C$62,"",IF(Inputs!$C$80=1,INDEX(Cohorts!$G$67:$G$326,A103),MAX(0, Inputs!$C$66 + Inputs!$C$67*L103 + Inputs!$C$68*(1-K103) + Inputs!$C$69*Inputs!$C$10)))</f>
        <v/>
      </c>
      <c r="E103" s="50">
        <f>IF(A103&gt;Inputs!$C$62,"",IF(Inputs!$C$80=1,INDEX(Cohorts!$H$67:$H$326,A103),D103*AD103))</f>
        <v/>
      </c>
      <c r="F103" s="50">
        <f>IF(A103&gt;Inputs!$C$62,"",IF(Inputs!$C$80=1,INDEX(Cohorts!$I$67:$I$326,A103),AD103-E103))</f>
        <v/>
      </c>
      <c r="G103" s="50">
        <f>IF(A103&gt;Inputs!$C$62,"",AD103)</f>
        <v/>
      </c>
      <c r="H103" s="50">
        <f>IF(A103&gt;Inputs!$C$62,"",INDEX(CapacityPlan!$E$7:$E$266,A103))</f>
        <v/>
      </c>
      <c r="I103" s="50">
        <f>IF(A103&gt;Inputs!$C$62,"",INDEX(CapacityPlan!$I$7:$I$266,A103))</f>
        <v/>
      </c>
      <c r="J103" s="50">
        <f>IF(A103&gt;Inputs!$C$62,"",IF(G103&gt;I103,I103,G103))</f>
        <v/>
      </c>
      <c r="K103" s="51">
        <f>IF(A103&gt;Inputs!$C$62,"",IF(G103=0,1,J103/G103))</f>
        <v/>
      </c>
      <c r="L103" s="51">
        <f>IF((Inputs!$C$36 + UnitEconomics!$B$12*Inputs!$C$37 + Inputs!$C$10*Inputs!$C$38 + Inputs!$C$70*(1-K103))&gt;1,1,(Inputs!$C$36 + UnitEconomics!$B$12*Inputs!$C$37 + Inputs!$C$10*Inputs!$C$38 + Inputs!$C$70*(1-K103)))</f>
        <v/>
      </c>
      <c r="M103" s="52">
        <f>IF(A103&gt;Inputs!$C$62,"",J103*Inputs!$C$7*(1-Inputs!$C$8)*(1-L103))</f>
        <v/>
      </c>
      <c r="N103" s="52">
        <f>IF(A103&gt;Inputs!$C$62,"",J103*UnitEconomics!$B$32*AI103 + (G103-J103)*Inputs!$C$71)</f>
        <v/>
      </c>
      <c r="O103" s="52">
        <f>M103-N103</f>
        <v/>
      </c>
      <c r="P103" s="52">
        <f>IF(A103&gt;Inputs!$C$62,"",Inputs!$C$40 + H103*Inputs!$C$41)</f>
        <v/>
      </c>
      <c r="Q103" s="52">
        <f>O103-P103</f>
        <v/>
      </c>
      <c r="R103" s="50">
        <f>IF(A103&gt;Inputs!$C$62,"",AD103*Inputs!$C$16*(Inputs!$C$9 + Inputs!$C$10*Inputs!$C$11 + Inputs!$C$12)*(1 + VLOOKUP(Inputs!$C$15,Lookups!$A$2:$B$20,2,TRUE)*(Scale!$B$9/IF(Scale!$B$8=0,1,Scale!$B$8)) + Inputs!$C$52))</f>
        <v/>
      </c>
      <c r="S103" s="50">
        <f>IF(A103=1,Scale!$B$13, W102)</f>
        <v/>
      </c>
      <c r="T103" s="50">
        <f>J103*Inputs!$C$16*(Inputs!$C$19 + Inputs!$C$20*Inputs!$C$21 + 1/Inputs!$C$18)</f>
        <v/>
      </c>
      <c r="U103" s="50">
        <f>MAX(0, (R103*(1+Inputs!$C$74)) - (S103 - T103))</f>
        <v/>
      </c>
      <c r="V103" s="50">
        <f>IF(A103&lt;=Inputs!$C$73,0,INDEX(U:U,ROW()-Inputs!$C$73))</f>
        <v/>
      </c>
      <c r="W103" s="50">
        <f>S103 - T103 + V103</f>
        <v/>
      </c>
      <c r="X103" s="52">
        <f>V103*Inputs!$C$17</f>
        <v/>
      </c>
      <c r="Y103" s="52">
        <f>IF(A103&gt;Inputs!$C$62,"",C103*AE103)</f>
        <v/>
      </c>
      <c r="Z103" s="52">
        <f>IF(A103=1,Inputs!$C$72,AA102)</f>
        <v/>
      </c>
      <c r="AA103" s="52">
        <f>Z103 + M103 - N103 - P103 - X103 - Y103</f>
        <v/>
      </c>
      <c r="AB103" s="53">
        <f>IF(AA103&lt;0,1,0)</f>
        <v/>
      </c>
      <c r="AC103" s="54">
        <f>IF(AD103=0,0,R103/(AD103*Inputs!$C$16))</f>
        <v/>
      </c>
      <c r="AD103" s="53">
        <f>IF(A103&gt;Inputs!$C$62,"",B103+C103)</f>
        <v/>
      </c>
      <c r="AE103" s="56">
        <f>IF(A103&gt;Inputs!$C$62,"", Inputs!$C$65*(1+Inputs!$C$89*POWER(MIN(1,IF(Inputs!$C$88=0,0,B103/Inputs!$C$88)),Inputs!$C$90)))</f>
        <v/>
      </c>
      <c r="AF103" s="52">
        <f>IF(A103&gt;Inputs!$C$62,"",IF(A103=1,Inputs!$C$86,MIN(Inputs!$C$86,Inputs!$C$87*M102)))</f>
        <v/>
      </c>
      <c r="AG103" s="51">
        <f>IF(A103&gt;Inputs!$C$62,"",MIN(0.5,MAX(0, Inputs!$C$67*L103 + Inputs!$C$68*(1-K103) + Inputs!$C$69*Inputs!$C$10)))</f>
        <v/>
      </c>
      <c r="AH103" s="51">
        <f>IF(A103&gt;Inputs!$C$62,"",INDEX(CapacityPlan!$G$7:$G$266,A103))</f>
        <v/>
      </c>
      <c r="AI103" s="54">
        <f>IF(A103&gt;Inputs!$C$62,"",INDEX(CapacityPlan!$J$7:$J$266,A103))</f>
        <v/>
      </c>
      <c r="AJ103" s="51">
        <f>IF(A103&gt;Inputs!$C$62,"",IF(I103=0,"",G103/I103))</f>
        <v/>
      </c>
    </row>
    <row r="104" ht="16" customHeight="1">
      <c r="A104" s="15" t="n">
        <v>82</v>
      </c>
      <c r="B104" s="50">
        <f>IF(A104&gt;Inputs!$C$62,"",IF(Inputs!$C$80=1,INDEX(Cohorts!$B$67:$B$326,A104),IF(A104=1,Inputs!$C$63,F103)))</f>
        <v/>
      </c>
      <c r="C104" s="50">
        <f>IF(A104&gt;Inputs!$C$62,"",IF(Inputs!$C$85=0,Inputs!$C$64,MIN(Inputs!$C$91,IF(AE104=0,0,AF104/AE104))))</f>
        <v/>
      </c>
      <c r="D104" s="51">
        <f>IF(A104&gt;Inputs!$C$62,"",IF(Inputs!$C$80=1,INDEX(Cohorts!$G$67:$G$326,A104),MAX(0, Inputs!$C$66 + Inputs!$C$67*L104 + Inputs!$C$68*(1-K104) + Inputs!$C$69*Inputs!$C$10)))</f>
        <v/>
      </c>
      <c r="E104" s="50">
        <f>IF(A104&gt;Inputs!$C$62,"",IF(Inputs!$C$80=1,INDEX(Cohorts!$H$67:$H$326,A104),D104*AD104))</f>
        <v/>
      </c>
      <c r="F104" s="50">
        <f>IF(A104&gt;Inputs!$C$62,"",IF(Inputs!$C$80=1,INDEX(Cohorts!$I$67:$I$326,A104),AD104-E104))</f>
        <v/>
      </c>
      <c r="G104" s="50">
        <f>IF(A104&gt;Inputs!$C$62,"",AD104)</f>
        <v/>
      </c>
      <c r="H104" s="50">
        <f>IF(A104&gt;Inputs!$C$62,"",INDEX(CapacityPlan!$E$7:$E$266,A104))</f>
        <v/>
      </c>
      <c r="I104" s="50">
        <f>IF(A104&gt;Inputs!$C$62,"",INDEX(CapacityPlan!$I$7:$I$266,A104))</f>
        <v/>
      </c>
      <c r="J104" s="50">
        <f>IF(A104&gt;Inputs!$C$62,"",IF(G104&gt;I104,I104,G104))</f>
        <v/>
      </c>
      <c r="K104" s="51">
        <f>IF(A104&gt;Inputs!$C$62,"",IF(G104=0,1,J104/G104))</f>
        <v/>
      </c>
      <c r="L104" s="51">
        <f>IF((Inputs!$C$36 + UnitEconomics!$B$12*Inputs!$C$37 + Inputs!$C$10*Inputs!$C$38 + Inputs!$C$70*(1-K104))&gt;1,1,(Inputs!$C$36 + UnitEconomics!$B$12*Inputs!$C$37 + Inputs!$C$10*Inputs!$C$38 + Inputs!$C$70*(1-K104)))</f>
        <v/>
      </c>
      <c r="M104" s="52">
        <f>IF(A104&gt;Inputs!$C$62,"",J104*Inputs!$C$7*(1-Inputs!$C$8)*(1-L104))</f>
        <v/>
      </c>
      <c r="N104" s="52">
        <f>IF(A104&gt;Inputs!$C$62,"",J104*UnitEconomics!$B$32*AI104 + (G104-J104)*Inputs!$C$71)</f>
        <v/>
      </c>
      <c r="O104" s="52">
        <f>M104-N104</f>
        <v/>
      </c>
      <c r="P104" s="52">
        <f>IF(A104&gt;Inputs!$C$62,"",Inputs!$C$40 + H104*Inputs!$C$41)</f>
        <v/>
      </c>
      <c r="Q104" s="52">
        <f>O104-P104</f>
        <v/>
      </c>
      <c r="R104" s="50">
        <f>IF(A104&gt;Inputs!$C$62,"",AD104*Inputs!$C$16*(Inputs!$C$9 + Inputs!$C$10*Inputs!$C$11 + Inputs!$C$12)*(1 + VLOOKUP(Inputs!$C$15,Lookups!$A$2:$B$20,2,TRUE)*(Scale!$B$9/IF(Scale!$B$8=0,1,Scale!$B$8)) + Inputs!$C$52))</f>
        <v/>
      </c>
      <c r="S104" s="50">
        <f>IF(A104=1,Scale!$B$13, W103)</f>
        <v/>
      </c>
      <c r="T104" s="50">
        <f>J104*Inputs!$C$16*(Inputs!$C$19 + Inputs!$C$20*Inputs!$C$21 + 1/Inputs!$C$18)</f>
        <v/>
      </c>
      <c r="U104" s="50">
        <f>MAX(0, (R104*(1+Inputs!$C$74)) - (S104 - T104))</f>
        <v/>
      </c>
      <c r="V104" s="50">
        <f>IF(A104&lt;=Inputs!$C$73,0,INDEX(U:U,ROW()-Inputs!$C$73))</f>
        <v/>
      </c>
      <c r="W104" s="50">
        <f>S104 - T104 + V104</f>
        <v/>
      </c>
      <c r="X104" s="52">
        <f>V104*Inputs!$C$17</f>
        <v/>
      </c>
      <c r="Y104" s="52">
        <f>IF(A104&gt;Inputs!$C$62,"",C104*AE104)</f>
        <v/>
      </c>
      <c r="Z104" s="52">
        <f>IF(A104=1,Inputs!$C$72,AA103)</f>
        <v/>
      </c>
      <c r="AA104" s="52">
        <f>Z104 + M104 - N104 - P104 - X104 - Y104</f>
        <v/>
      </c>
      <c r="AB104" s="53">
        <f>IF(AA104&lt;0,1,0)</f>
        <v/>
      </c>
      <c r="AC104" s="54">
        <f>IF(AD104=0,0,R104/(AD104*Inputs!$C$16))</f>
        <v/>
      </c>
      <c r="AD104" s="53">
        <f>IF(A104&gt;Inputs!$C$62,"",B104+C104)</f>
        <v/>
      </c>
      <c r="AE104" s="56">
        <f>IF(A104&gt;Inputs!$C$62,"", Inputs!$C$65*(1+Inputs!$C$89*POWER(MIN(1,IF(Inputs!$C$88=0,0,B104/Inputs!$C$88)),Inputs!$C$90)))</f>
        <v/>
      </c>
      <c r="AF104" s="52">
        <f>IF(A104&gt;Inputs!$C$62,"",IF(A104=1,Inputs!$C$86,MIN(Inputs!$C$86,Inputs!$C$87*M103)))</f>
        <v/>
      </c>
      <c r="AG104" s="51">
        <f>IF(A104&gt;Inputs!$C$62,"",MIN(0.5,MAX(0, Inputs!$C$67*L104 + Inputs!$C$68*(1-K104) + Inputs!$C$69*Inputs!$C$10)))</f>
        <v/>
      </c>
      <c r="AH104" s="51">
        <f>IF(A104&gt;Inputs!$C$62,"",INDEX(CapacityPlan!$G$7:$G$266,A104))</f>
        <v/>
      </c>
      <c r="AI104" s="54">
        <f>IF(A104&gt;Inputs!$C$62,"",INDEX(CapacityPlan!$J$7:$J$266,A104))</f>
        <v/>
      </c>
      <c r="AJ104" s="51">
        <f>IF(A104&gt;Inputs!$C$62,"",IF(I104=0,"",G104/I104))</f>
        <v/>
      </c>
    </row>
    <row r="105" ht="16" customHeight="1">
      <c r="A105" s="15" t="n">
        <v>83</v>
      </c>
      <c r="B105" s="50">
        <f>IF(A105&gt;Inputs!$C$62,"",IF(Inputs!$C$80=1,INDEX(Cohorts!$B$67:$B$326,A105),IF(A105=1,Inputs!$C$63,F104)))</f>
        <v/>
      </c>
      <c r="C105" s="50">
        <f>IF(A105&gt;Inputs!$C$62,"",IF(Inputs!$C$85=0,Inputs!$C$64,MIN(Inputs!$C$91,IF(AE105=0,0,AF105/AE105))))</f>
        <v/>
      </c>
      <c r="D105" s="51">
        <f>IF(A105&gt;Inputs!$C$62,"",IF(Inputs!$C$80=1,INDEX(Cohorts!$G$67:$G$326,A105),MAX(0, Inputs!$C$66 + Inputs!$C$67*L105 + Inputs!$C$68*(1-K105) + Inputs!$C$69*Inputs!$C$10)))</f>
        <v/>
      </c>
      <c r="E105" s="50">
        <f>IF(A105&gt;Inputs!$C$62,"",IF(Inputs!$C$80=1,INDEX(Cohorts!$H$67:$H$326,A105),D105*AD105))</f>
        <v/>
      </c>
      <c r="F105" s="50">
        <f>IF(A105&gt;Inputs!$C$62,"",IF(Inputs!$C$80=1,INDEX(Cohorts!$I$67:$I$326,A105),AD105-E105))</f>
        <v/>
      </c>
      <c r="G105" s="50">
        <f>IF(A105&gt;Inputs!$C$62,"",AD105)</f>
        <v/>
      </c>
      <c r="H105" s="50">
        <f>IF(A105&gt;Inputs!$C$62,"",INDEX(CapacityPlan!$E$7:$E$266,A105))</f>
        <v/>
      </c>
      <c r="I105" s="50">
        <f>IF(A105&gt;Inputs!$C$62,"",INDEX(CapacityPlan!$I$7:$I$266,A105))</f>
        <v/>
      </c>
      <c r="J105" s="50">
        <f>IF(A105&gt;Inputs!$C$62,"",IF(G105&gt;I105,I105,G105))</f>
        <v/>
      </c>
      <c r="K105" s="51">
        <f>IF(A105&gt;Inputs!$C$62,"",IF(G105=0,1,J105/G105))</f>
        <v/>
      </c>
      <c r="L105" s="51">
        <f>IF((Inputs!$C$36 + UnitEconomics!$B$12*Inputs!$C$37 + Inputs!$C$10*Inputs!$C$38 + Inputs!$C$70*(1-K105))&gt;1,1,(Inputs!$C$36 + UnitEconomics!$B$12*Inputs!$C$37 + Inputs!$C$10*Inputs!$C$38 + Inputs!$C$70*(1-K105)))</f>
        <v/>
      </c>
      <c r="M105" s="52">
        <f>IF(A105&gt;Inputs!$C$62,"",J105*Inputs!$C$7*(1-Inputs!$C$8)*(1-L105))</f>
        <v/>
      </c>
      <c r="N105" s="52">
        <f>IF(A105&gt;Inputs!$C$62,"",J105*UnitEconomics!$B$32*AI105 + (G105-J105)*Inputs!$C$71)</f>
        <v/>
      </c>
      <c r="O105" s="52">
        <f>M105-N105</f>
        <v/>
      </c>
      <c r="P105" s="52">
        <f>IF(A105&gt;Inputs!$C$62,"",Inputs!$C$40 + H105*Inputs!$C$41)</f>
        <v/>
      </c>
      <c r="Q105" s="52">
        <f>O105-P105</f>
        <v/>
      </c>
      <c r="R105" s="50">
        <f>IF(A105&gt;Inputs!$C$62,"",AD105*Inputs!$C$16*(Inputs!$C$9 + Inputs!$C$10*Inputs!$C$11 + Inputs!$C$12)*(1 + VLOOKUP(Inputs!$C$15,Lookups!$A$2:$B$20,2,TRUE)*(Scale!$B$9/IF(Scale!$B$8=0,1,Scale!$B$8)) + Inputs!$C$52))</f>
        <v/>
      </c>
      <c r="S105" s="50">
        <f>IF(A105=1,Scale!$B$13, W104)</f>
        <v/>
      </c>
      <c r="T105" s="50">
        <f>J105*Inputs!$C$16*(Inputs!$C$19 + Inputs!$C$20*Inputs!$C$21 + 1/Inputs!$C$18)</f>
        <v/>
      </c>
      <c r="U105" s="50">
        <f>MAX(0, (R105*(1+Inputs!$C$74)) - (S105 - T105))</f>
        <v/>
      </c>
      <c r="V105" s="50">
        <f>IF(A105&lt;=Inputs!$C$73,0,INDEX(U:U,ROW()-Inputs!$C$73))</f>
        <v/>
      </c>
      <c r="W105" s="50">
        <f>S105 - T105 + V105</f>
        <v/>
      </c>
      <c r="X105" s="52">
        <f>V105*Inputs!$C$17</f>
        <v/>
      </c>
      <c r="Y105" s="52">
        <f>IF(A105&gt;Inputs!$C$62,"",C105*AE105)</f>
        <v/>
      </c>
      <c r="Z105" s="52">
        <f>IF(A105=1,Inputs!$C$72,AA104)</f>
        <v/>
      </c>
      <c r="AA105" s="52">
        <f>Z105 + M105 - N105 - P105 - X105 - Y105</f>
        <v/>
      </c>
      <c r="AB105" s="53">
        <f>IF(AA105&lt;0,1,0)</f>
        <v/>
      </c>
      <c r="AC105" s="54">
        <f>IF(AD105=0,0,R105/(AD105*Inputs!$C$16))</f>
        <v/>
      </c>
      <c r="AD105" s="53">
        <f>IF(A105&gt;Inputs!$C$62,"",B105+C105)</f>
        <v/>
      </c>
      <c r="AE105" s="56">
        <f>IF(A105&gt;Inputs!$C$62,"", Inputs!$C$65*(1+Inputs!$C$89*POWER(MIN(1,IF(Inputs!$C$88=0,0,B105/Inputs!$C$88)),Inputs!$C$90)))</f>
        <v/>
      </c>
      <c r="AF105" s="52">
        <f>IF(A105&gt;Inputs!$C$62,"",IF(A105=1,Inputs!$C$86,MIN(Inputs!$C$86,Inputs!$C$87*M104)))</f>
        <v/>
      </c>
      <c r="AG105" s="51">
        <f>IF(A105&gt;Inputs!$C$62,"",MIN(0.5,MAX(0, Inputs!$C$67*L105 + Inputs!$C$68*(1-K105) + Inputs!$C$69*Inputs!$C$10)))</f>
        <v/>
      </c>
      <c r="AH105" s="51">
        <f>IF(A105&gt;Inputs!$C$62,"",INDEX(CapacityPlan!$G$7:$G$266,A105))</f>
        <v/>
      </c>
      <c r="AI105" s="54">
        <f>IF(A105&gt;Inputs!$C$62,"",INDEX(CapacityPlan!$J$7:$J$266,A105))</f>
        <v/>
      </c>
      <c r="AJ105" s="51">
        <f>IF(A105&gt;Inputs!$C$62,"",IF(I105=0,"",G105/I105))</f>
        <v/>
      </c>
    </row>
    <row r="106" ht="16" customHeight="1">
      <c r="A106" s="15" t="n">
        <v>84</v>
      </c>
      <c r="B106" s="50">
        <f>IF(A106&gt;Inputs!$C$62,"",IF(Inputs!$C$80=1,INDEX(Cohorts!$B$67:$B$326,A106),IF(A106=1,Inputs!$C$63,F105)))</f>
        <v/>
      </c>
      <c r="C106" s="50">
        <f>IF(A106&gt;Inputs!$C$62,"",IF(Inputs!$C$85=0,Inputs!$C$64,MIN(Inputs!$C$91,IF(AE106=0,0,AF106/AE106))))</f>
        <v/>
      </c>
      <c r="D106" s="51">
        <f>IF(A106&gt;Inputs!$C$62,"",IF(Inputs!$C$80=1,INDEX(Cohorts!$G$67:$G$326,A106),MAX(0, Inputs!$C$66 + Inputs!$C$67*L106 + Inputs!$C$68*(1-K106) + Inputs!$C$69*Inputs!$C$10)))</f>
        <v/>
      </c>
      <c r="E106" s="50">
        <f>IF(A106&gt;Inputs!$C$62,"",IF(Inputs!$C$80=1,INDEX(Cohorts!$H$67:$H$326,A106),D106*AD106))</f>
        <v/>
      </c>
      <c r="F106" s="50">
        <f>IF(A106&gt;Inputs!$C$62,"",IF(Inputs!$C$80=1,INDEX(Cohorts!$I$67:$I$326,A106),AD106-E106))</f>
        <v/>
      </c>
      <c r="G106" s="50">
        <f>IF(A106&gt;Inputs!$C$62,"",AD106)</f>
        <v/>
      </c>
      <c r="H106" s="50">
        <f>IF(A106&gt;Inputs!$C$62,"",INDEX(CapacityPlan!$E$7:$E$266,A106))</f>
        <v/>
      </c>
      <c r="I106" s="50">
        <f>IF(A106&gt;Inputs!$C$62,"",INDEX(CapacityPlan!$I$7:$I$266,A106))</f>
        <v/>
      </c>
      <c r="J106" s="50">
        <f>IF(A106&gt;Inputs!$C$62,"",IF(G106&gt;I106,I106,G106))</f>
        <v/>
      </c>
      <c r="K106" s="51">
        <f>IF(A106&gt;Inputs!$C$62,"",IF(G106=0,1,J106/G106))</f>
        <v/>
      </c>
      <c r="L106" s="51">
        <f>IF((Inputs!$C$36 + UnitEconomics!$B$12*Inputs!$C$37 + Inputs!$C$10*Inputs!$C$38 + Inputs!$C$70*(1-K106))&gt;1,1,(Inputs!$C$36 + UnitEconomics!$B$12*Inputs!$C$37 + Inputs!$C$10*Inputs!$C$38 + Inputs!$C$70*(1-K106)))</f>
        <v/>
      </c>
      <c r="M106" s="52">
        <f>IF(A106&gt;Inputs!$C$62,"",J106*Inputs!$C$7*(1-Inputs!$C$8)*(1-L106))</f>
        <v/>
      </c>
      <c r="N106" s="52">
        <f>IF(A106&gt;Inputs!$C$62,"",J106*UnitEconomics!$B$32*AI106 + (G106-J106)*Inputs!$C$71)</f>
        <v/>
      </c>
      <c r="O106" s="52">
        <f>M106-N106</f>
        <v/>
      </c>
      <c r="P106" s="52">
        <f>IF(A106&gt;Inputs!$C$62,"",Inputs!$C$40 + H106*Inputs!$C$41)</f>
        <v/>
      </c>
      <c r="Q106" s="52">
        <f>O106-P106</f>
        <v/>
      </c>
      <c r="R106" s="50">
        <f>IF(A106&gt;Inputs!$C$62,"",AD106*Inputs!$C$16*(Inputs!$C$9 + Inputs!$C$10*Inputs!$C$11 + Inputs!$C$12)*(1 + VLOOKUP(Inputs!$C$15,Lookups!$A$2:$B$20,2,TRUE)*(Scale!$B$9/IF(Scale!$B$8=0,1,Scale!$B$8)) + Inputs!$C$52))</f>
        <v/>
      </c>
      <c r="S106" s="50">
        <f>IF(A106=1,Scale!$B$13, W105)</f>
        <v/>
      </c>
      <c r="T106" s="50">
        <f>J106*Inputs!$C$16*(Inputs!$C$19 + Inputs!$C$20*Inputs!$C$21 + 1/Inputs!$C$18)</f>
        <v/>
      </c>
      <c r="U106" s="50">
        <f>MAX(0, (R106*(1+Inputs!$C$74)) - (S106 - T106))</f>
        <v/>
      </c>
      <c r="V106" s="50">
        <f>IF(A106&lt;=Inputs!$C$73,0,INDEX(U:U,ROW()-Inputs!$C$73))</f>
        <v/>
      </c>
      <c r="W106" s="50">
        <f>S106 - T106 + V106</f>
        <v/>
      </c>
      <c r="X106" s="52">
        <f>V106*Inputs!$C$17</f>
        <v/>
      </c>
      <c r="Y106" s="52">
        <f>IF(A106&gt;Inputs!$C$62,"",C106*AE106)</f>
        <v/>
      </c>
      <c r="Z106" s="52">
        <f>IF(A106=1,Inputs!$C$72,AA105)</f>
        <v/>
      </c>
      <c r="AA106" s="52">
        <f>Z106 + M106 - N106 - P106 - X106 - Y106</f>
        <v/>
      </c>
      <c r="AB106" s="53">
        <f>IF(AA106&lt;0,1,0)</f>
        <v/>
      </c>
      <c r="AC106" s="54">
        <f>IF(AD106=0,0,R106/(AD106*Inputs!$C$16))</f>
        <v/>
      </c>
      <c r="AD106" s="53">
        <f>IF(A106&gt;Inputs!$C$62,"",B106+C106)</f>
        <v/>
      </c>
      <c r="AE106" s="56">
        <f>IF(A106&gt;Inputs!$C$62,"", Inputs!$C$65*(1+Inputs!$C$89*POWER(MIN(1,IF(Inputs!$C$88=0,0,B106/Inputs!$C$88)),Inputs!$C$90)))</f>
        <v/>
      </c>
      <c r="AF106" s="52">
        <f>IF(A106&gt;Inputs!$C$62,"",IF(A106=1,Inputs!$C$86,MIN(Inputs!$C$86,Inputs!$C$87*M105)))</f>
        <v/>
      </c>
      <c r="AG106" s="51">
        <f>IF(A106&gt;Inputs!$C$62,"",MIN(0.5,MAX(0, Inputs!$C$67*L106 + Inputs!$C$68*(1-K106) + Inputs!$C$69*Inputs!$C$10)))</f>
        <v/>
      </c>
      <c r="AH106" s="51">
        <f>IF(A106&gt;Inputs!$C$62,"",INDEX(CapacityPlan!$G$7:$G$266,A106))</f>
        <v/>
      </c>
      <c r="AI106" s="54">
        <f>IF(A106&gt;Inputs!$C$62,"",INDEX(CapacityPlan!$J$7:$J$266,A106))</f>
        <v/>
      </c>
      <c r="AJ106" s="51">
        <f>IF(A106&gt;Inputs!$C$62,"",IF(I106=0,"",G106/I106))</f>
        <v/>
      </c>
    </row>
    <row r="107" ht="16" customHeight="1">
      <c r="A107" s="15" t="n">
        <v>85</v>
      </c>
      <c r="B107" s="50">
        <f>IF(A107&gt;Inputs!$C$62,"",IF(Inputs!$C$80=1,INDEX(Cohorts!$B$67:$B$326,A107),IF(A107=1,Inputs!$C$63,F106)))</f>
        <v/>
      </c>
      <c r="C107" s="50">
        <f>IF(A107&gt;Inputs!$C$62,"",IF(Inputs!$C$85=0,Inputs!$C$64,MIN(Inputs!$C$91,IF(AE107=0,0,AF107/AE107))))</f>
        <v/>
      </c>
      <c r="D107" s="51">
        <f>IF(A107&gt;Inputs!$C$62,"",IF(Inputs!$C$80=1,INDEX(Cohorts!$G$67:$G$326,A107),MAX(0, Inputs!$C$66 + Inputs!$C$67*L107 + Inputs!$C$68*(1-K107) + Inputs!$C$69*Inputs!$C$10)))</f>
        <v/>
      </c>
      <c r="E107" s="50">
        <f>IF(A107&gt;Inputs!$C$62,"",IF(Inputs!$C$80=1,INDEX(Cohorts!$H$67:$H$326,A107),D107*AD107))</f>
        <v/>
      </c>
      <c r="F107" s="50">
        <f>IF(A107&gt;Inputs!$C$62,"",IF(Inputs!$C$80=1,INDEX(Cohorts!$I$67:$I$326,A107),AD107-E107))</f>
        <v/>
      </c>
      <c r="G107" s="50">
        <f>IF(A107&gt;Inputs!$C$62,"",AD107)</f>
        <v/>
      </c>
      <c r="H107" s="50">
        <f>IF(A107&gt;Inputs!$C$62,"",INDEX(CapacityPlan!$E$7:$E$266,A107))</f>
        <v/>
      </c>
      <c r="I107" s="50">
        <f>IF(A107&gt;Inputs!$C$62,"",INDEX(CapacityPlan!$I$7:$I$266,A107))</f>
        <v/>
      </c>
      <c r="J107" s="50">
        <f>IF(A107&gt;Inputs!$C$62,"",IF(G107&gt;I107,I107,G107))</f>
        <v/>
      </c>
      <c r="K107" s="51">
        <f>IF(A107&gt;Inputs!$C$62,"",IF(G107=0,1,J107/G107))</f>
        <v/>
      </c>
      <c r="L107" s="51">
        <f>IF((Inputs!$C$36 + UnitEconomics!$B$12*Inputs!$C$37 + Inputs!$C$10*Inputs!$C$38 + Inputs!$C$70*(1-K107))&gt;1,1,(Inputs!$C$36 + UnitEconomics!$B$12*Inputs!$C$37 + Inputs!$C$10*Inputs!$C$38 + Inputs!$C$70*(1-K107)))</f>
        <v/>
      </c>
      <c r="M107" s="52">
        <f>IF(A107&gt;Inputs!$C$62,"",J107*Inputs!$C$7*(1-Inputs!$C$8)*(1-L107))</f>
        <v/>
      </c>
      <c r="N107" s="52">
        <f>IF(A107&gt;Inputs!$C$62,"",J107*UnitEconomics!$B$32*AI107 + (G107-J107)*Inputs!$C$71)</f>
        <v/>
      </c>
      <c r="O107" s="52">
        <f>M107-N107</f>
        <v/>
      </c>
      <c r="P107" s="52">
        <f>IF(A107&gt;Inputs!$C$62,"",Inputs!$C$40 + H107*Inputs!$C$41)</f>
        <v/>
      </c>
      <c r="Q107" s="52">
        <f>O107-P107</f>
        <v/>
      </c>
      <c r="R107" s="50">
        <f>IF(A107&gt;Inputs!$C$62,"",AD107*Inputs!$C$16*(Inputs!$C$9 + Inputs!$C$10*Inputs!$C$11 + Inputs!$C$12)*(1 + VLOOKUP(Inputs!$C$15,Lookups!$A$2:$B$20,2,TRUE)*(Scale!$B$9/IF(Scale!$B$8=0,1,Scale!$B$8)) + Inputs!$C$52))</f>
        <v/>
      </c>
      <c r="S107" s="50">
        <f>IF(A107=1,Scale!$B$13, W106)</f>
        <v/>
      </c>
      <c r="T107" s="50">
        <f>J107*Inputs!$C$16*(Inputs!$C$19 + Inputs!$C$20*Inputs!$C$21 + 1/Inputs!$C$18)</f>
        <v/>
      </c>
      <c r="U107" s="50">
        <f>MAX(0, (R107*(1+Inputs!$C$74)) - (S107 - T107))</f>
        <v/>
      </c>
      <c r="V107" s="50">
        <f>IF(A107&lt;=Inputs!$C$73,0,INDEX(U:U,ROW()-Inputs!$C$73))</f>
        <v/>
      </c>
      <c r="W107" s="50">
        <f>S107 - T107 + V107</f>
        <v/>
      </c>
      <c r="X107" s="52">
        <f>V107*Inputs!$C$17</f>
        <v/>
      </c>
      <c r="Y107" s="52">
        <f>IF(A107&gt;Inputs!$C$62,"",C107*AE107)</f>
        <v/>
      </c>
      <c r="Z107" s="52">
        <f>IF(A107=1,Inputs!$C$72,AA106)</f>
        <v/>
      </c>
      <c r="AA107" s="52">
        <f>Z107 + M107 - N107 - P107 - X107 - Y107</f>
        <v/>
      </c>
      <c r="AB107" s="53">
        <f>IF(AA107&lt;0,1,0)</f>
        <v/>
      </c>
      <c r="AC107" s="54">
        <f>IF(AD107=0,0,R107/(AD107*Inputs!$C$16))</f>
        <v/>
      </c>
      <c r="AD107" s="53">
        <f>IF(A107&gt;Inputs!$C$62,"",B107+C107)</f>
        <v/>
      </c>
      <c r="AE107" s="56">
        <f>IF(A107&gt;Inputs!$C$62,"", Inputs!$C$65*(1+Inputs!$C$89*POWER(MIN(1,IF(Inputs!$C$88=0,0,B107/Inputs!$C$88)),Inputs!$C$90)))</f>
        <v/>
      </c>
      <c r="AF107" s="52">
        <f>IF(A107&gt;Inputs!$C$62,"",IF(A107=1,Inputs!$C$86,MIN(Inputs!$C$86,Inputs!$C$87*M106)))</f>
        <v/>
      </c>
      <c r="AG107" s="51">
        <f>IF(A107&gt;Inputs!$C$62,"",MIN(0.5,MAX(0, Inputs!$C$67*L107 + Inputs!$C$68*(1-K107) + Inputs!$C$69*Inputs!$C$10)))</f>
        <v/>
      </c>
      <c r="AH107" s="51">
        <f>IF(A107&gt;Inputs!$C$62,"",INDEX(CapacityPlan!$G$7:$G$266,A107))</f>
        <v/>
      </c>
      <c r="AI107" s="54">
        <f>IF(A107&gt;Inputs!$C$62,"",INDEX(CapacityPlan!$J$7:$J$266,A107))</f>
        <v/>
      </c>
      <c r="AJ107" s="51">
        <f>IF(A107&gt;Inputs!$C$62,"",IF(I107=0,"",G107/I107))</f>
        <v/>
      </c>
    </row>
    <row r="108" ht="16" customHeight="1">
      <c r="A108" s="15" t="n">
        <v>86</v>
      </c>
      <c r="B108" s="50">
        <f>IF(A108&gt;Inputs!$C$62,"",IF(Inputs!$C$80=1,INDEX(Cohorts!$B$67:$B$326,A108),IF(A108=1,Inputs!$C$63,F107)))</f>
        <v/>
      </c>
      <c r="C108" s="50">
        <f>IF(A108&gt;Inputs!$C$62,"",IF(Inputs!$C$85=0,Inputs!$C$64,MIN(Inputs!$C$91,IF(AE108=0,0,AF108/AE108))))</f>
        <v/>
      </c>
      <c r="D108" s="51">
        <f>IF(A108&gt;Inputs!$C$62,"",IF(Inputs!$C$80=1,INDEX(Cohorts!$G$67:$G$326,A108),MAX(0, Inputs!$C$66 + Inputs!$C$67*L108 + Inputs!$C$68*(1-K108) + Inputs!$C$69*Inputs!$C$10)))</f>
        <v/>
      </c>
      <c r="E108" s="50">
        <f>IF(A108&gt;Inputs!$C$62,"",IF(Inputs!$C$80=1,INDEX(Cohorts!$H$67:$H$326,A108),D108*AD108))</f>
        <v/>
      </c>
      <c r="F108" s="50">
        <f>IF(A108&gt;Inputs!$C$62,"",IF(Inputs!$C$80=1,INDEX(Cohorts!$I$67:$I$326,A108),AD108-E108))</f>
        <v/>
      </c>
      <c r="G108" s="50">
        <f>IF(A108&gt;Inputs!$C$62,"",AD108)</f>
        <v/>
      </c>
      <c r="H108" s="50">
        <f>IF(A108&gt;Inputs!$C$62,"",INDEX(CapacityPlan!$E$7:$E$266,A108))</f>
        <v/>
      </c>
      <c r="I108" s="50">
        <f>IF(A108&gt;Inputs!$C$62,"",INDEX(CapacityPlan!$I$7:$I$266,A108))</f>
        <v/>
      </c>
      <c r="J108" s="50">
        <f>IF(A108&gt;Inputs!$C$62,"",IF(G108&gt;I108,I108,G108))</f>
        <v/>
      </c>
      <c r="K108" s="51">
        <f>IF(A108&gt;Inputs!$C$62,"",IF(G108=0,1,J108/G108))</f>
        <v/>
      </c>
      <c r="L108" s="51">
        <f>IF((Inputs!$C$36 + UnitEconomics!$B$12*Inputs!$C$37 + Inputs!$C$10*Inputs!$C$38 + Inputs!$C$70*(1-K108))&gt;1,1,(Inputs!$C$36 + UnitEconomics!$B$12*Inputs!$C$37 + Inputs!$C$10*Inputs!$C$38 + Inputs!$C$70*(1-K108)))</f>
        <v/>
      </c>
      <c r="M108" s="52">
        <f>IF(A108&gt;Inputs!$C$62,"",J108*Inputs!$C$7*(1-Inputs!$C$8)*(1-L108))</f>
        <v/>
      </c>
      <c r="N108" s="52">
        <f>IF(A108&gt;Inputs!$C$62,"",J108*UnitEconomics!$B$32*AI108 + (G108-J108)*Inputs!$C$71)</f>
        <v/>
      </c>
      <c r="O108" s="52">
        <f>M108-N108</f>
        <v/>
      </c>
      <c r="P108" s="52">
        <f>IF(A108&gt;Inputs!$C$62,"",Inputs!$C$40 + H108*Inputs!$C$41)</f>
        <v/>
      </c>
      <c r="Q108" s="52">
        <f>O108-P108</f>
        <v/>
      </c>
      <c r="R108" s="50">
        <f>IF(A108&gt;Inputs!$C$62,"",AD108*Inputs!$C$16*(Inputs!$C$9 + Inputs!$C$10*Inputs!$C$11 + Inputs!$C$12)*(1 + VLOOKUP(Inputs!$C$15,Lookups!$A$2:$B$20,2,TRUE)*(Scale!$B$9/IF(Scale!$B$8=0,1,Scale!$B$8)) + Inputs!$C$52))</f>
        <v/>
      </c>
      <c r="S108" s="50">
        <f>IF(A108=1,Scale!$B$13, W107)</f>
        <v/>
      </c>
      <c r="T108" s="50">
        <f>J108*Inputs!$C$16*(Inputs!$C$19 + Inputs!$C$20*Inputs!$C$21 + 1/Inputs!$C$18)</f>
        <v/>
      </c>
      <c r="U108" s="50">
        <f>MAX(0, (R108*(1+Inputs!$C$74)) - (S108 - T108))</f>
        <v/>
      </c>
      <c r="V108" s="50">
        <f>IF(A108&lt;=Inputs!$C$73,0,INDEX(U:U,ROW()-Inputs!$C$73))</f>
        <v/>
      </c>
      <c r="W108" s="50">
        <f>S108 - T108 + V108</f>
        <v/>
      </c>
      <c r="X108" s="52">
        <f>V108*Inputs!$C$17</f>
        <v/>
      </c>
      <c r="Y108" s="52">
        <f>IF(A108&gt;Inputs!$C$62,"",C108*AE108)</f>
        <v/>
      </c>
      <c r="Z108" s="52">
        <f>IF(A108=1,Inputs!$C$72,AA107)</f>
        <v/>
      </c>
      <c r="AA108" s="52">
        <f>Z108 + M108 - N108 - P108 - X108 - Y108</f>
        <v/>
      </c>
      <c r="AB108" s="53">
        <f>IF(AA108&lt;0,1,0)</f>
        <v/>
      </c>
      <c r="AC108" s="54">
        <f>IF(AD108=0,0,R108/(AD108*Inputs!$C$16))</f>
        <v/>
      </c>
      <c r="AD108" s="53">
        <f>IF(A108&gt;Inputs!$C$62,"",B108+C108)</f>
        <v/>
      </c>
      <c r="AE108" s="56">
        <f>IF(A108&gt;Inputs!$C$62,"", Inputs!$C$65*(1+Inputs!$C$89*POWER(MIN(1,IF(Inputs!$C$88=0,0,B108/Inputs!$C$88)),Inputs!$C$90)))</f>
        <v/>
      </c>
      <c r="AF108" s="52">
        <f>IF(A108&gt;Inputs!$C$62,"",IF(A108=1,Inputs!$C$86,MIN(Inputs!$C$86,Inputs!$C$87*M107)))</f>
        <v/>
      </c>
      <c r="AG108" s="51">
        <f>IF(A108&gt;Inputs!$C$62,"",MIN(0.5,MAX(0, Inputs!$C$67*L108 + Inputs!$C$68*(1-K108) + Inputs!$C$69*Inputs!$C$10)))</f>
        <v/>
      </c>
      <c r="AH108" s="51">
        <f>IF(A108&gt;Inputs!$C$62,"",INDEX(CapacityPlan!$G$7:$G$266,A108))</f>
        <v/>
      </c>
      <c r="AI108" s="54">
        <f>IF(A108&gt;Inputs!$C$62,"",INDEX(CapacityPlan!$J$7:$J$266,A108))</f>
        <v/>
      </c>
      <c r="AJ108" s="51">
        <f>IF(A108&gt;Inputs!$C$62,"",IF(I108=0,"",G108/I108))</f>
        <v/>
      </c>
    </row>
    <row r="109" ht="16" customHeight="1">
      <c r="A109" s="15" t="n">
        <v>87</v>
      </c>
      <c r="B109" s="50">
        <f>IF(A109&gt;Inputs!$C$62,"",IF(Inputs!$C$80=1,INDEX(Cohorts!$B$67:$B$326,A109),IF(A109=1,Inputs!$C$63,F108)))</f>
        <v/>
      </c>
      <c r="C109" s="50">
        <f>IF(A109&gt;Inputs!$C$62,"",IF(Inputs!$C$85=0,Inputs!$C$64,MIN(Inputs!$C$91,IF(AE109=0,0,AF109/AE109))))</f>
        <v/>
      </c>
      <c r="D109" s="51">
        <f>IF(A109&gt;Inputs!$C$62,"",IF(Inputs!$C$80=1,INDEX(Cohorts!$G$67:$G$326,A109),MAX(0, Inputs!$C$66 + Inputs!$C$67*L109 + Inputs!$C$68*(1-K109) + Inputs!$C$69*Inputs!$C$10)))</f>
        <v/>
      </c>
      <c r="E109" s="50">
        <f>IF(A109&gt;Inputs!$C$62,"",IF(Inputs!$C$80=1,INDEX(Cohorts!$H$67:$H$326,A109),D109*AD109))</f>
        <v/>
      </c>
      <c r="F109" s="50">
        <f>IF(A109&gt;Inputs!$C$62,"",IF(Inputs!$C$80=1,INDEX(Cohorts!$I$67:$I$326,A109),AD109-E109))</f>
        <v/>
      </c>
      <c r="G109" s="50">
        <f>IF(A109&gt;Inputs!$C$62,"",AD109)</f>
        <v/>
      </c>
      <c r="H109" s="50">
        <f>IF(A109&gt;Inputs!$C$62,"",INDEX(CapacityPlan!$E$7:$E$266,A109))</f>
        <v/>
      </c>
      <c r="I109" s="50">
        <f>IF(A109&gt;Inputs!$C$62,"",INDEX(CapacityPlan!$I$7:$I$266,A109))</f>
        <v/>
      </c>
      <c r="J109" s="50">
        <f>IF(A109&gt;Inputs!$C$62,"",IF(G109&gt;I109,I109,G109))</f>
        <v/>
      </c>
      <c r="K109" s="51">
        <f>IF(A109&gt;Inputs!$C$62,"",IF(G109=0,1,J109/G109))</f>
        <v/>
      </c>
      <c r="L109" s="51">
        <f>IF((Inputs!$C$36 + UnitEconomics!$B$12*Inputs!$C$37 + Inputs!$C$10*Inputs!$C$38 + Inputs!$C$70*(1-K109))&gt;1,1,(Inputs!$C$36 + UnitEconomics!$B$12*Inputs!$C$37 + Inputs!$C$10*Inputs!$C$38 + Inputs!$C$70*(1-K109)))</f>
        <v/>
      </c>
      <c r="M109" s="52">
        <f>IF(A109&gt;Inputs!$C$62,"",J109*Inputs!$C$7*(1-Inputs!$C$8)*(1-L109))</f>
        <v/>
      </c>
      <c r="N109" s="52">
        <f>IF(A109&gt;Inputs!$C$62,"",J109*UnitEconomics!$B$32*AI109 + (G109-J109)*Inputs!$C$71)</f>
        <v/>
      </c>
      <c r="O109" s="52">
        <f>M109-N109</f>
        <v/>
      </c>
      <c r="P109" s="52">
        <f>IF(A109&gt;Inputs!$C$62,"",Inputs!$C$40 + H109*Inputs!$C$41)</f>
        <v/>
      </c>
      <c r="Q109" s="52">
        <f>O109-P109</f>
        <v/>
      </c>
      <c r="R109" s="50">
        <f>IF(A109&gt;Inputs!$C$62,"",AD109*Inputs!$C$16*(Inputs!$C$9 + Inputs!$C$10*Inputs!$C$11 + Inputs!$C$12)*(1 + VLOOKUP(Inputs!$C$15,Lookups!$A$2:$B$20,2,TRUE)*(Scale!$B$9/IF(Scale!$B$8=0,1,Scale!$B$8)) + Inputs!$C$52))</f>
        <v/>
      </c>
      <c r="S109" s="50">
        <f>IF(A109=1,Scale!$B$13, W108)</f>
        <v/>
      </c>
      <c r="T109" s="50">
        <f>J109*Inputs!$C$16*(Inputs!$C$19 + Inputs!$C$20*Inputs!$C$21 + 1/Inputs!$C$18)</f>
        <v/>
      </c>
      <c r="U109" s="50">
        <f>MAX(0, (R109*(1+Inputs!$C$74)) - (S109 - T109))</f>
        <v/>
      </c>
      <c r="V109" s="50">
        <f>IF(A109&lt;=Inputs!$C$73,0,INDEX(U:U,ROW()-Inputs!$C$73))</f>
        <v/>
      </c>
      <c r="W109" s="50">
        <f>S109 - T109 + V109</f>
        <v/>
      </c>
      <c r="X109" s="52">
        <f>V109*Inputs!$C$17</f>
        <v/>
      </c>
      <c r="Y109" s="52">
        <f>IF(A109&gt;Inputs!$C$62,"",C109*AE109)</f>
        <v/>
      </c>
      <c r="Z109" s="52">
        <f>IF(A109=1,Inputs!$C$72,AA108)</f>
        <v/>
      </c>
      <c r="AA109" s="52">
        <f>Z109 + M109 - N109 - P109 - X109 - Y109</f>
        <v/>
      </c>
      <c r="AB109" s="53">
        <f>IF(AA109&lt;0,1,0)</f>
        <v/>
      </c>
      <c r="AC109" s="54">
        <f>IF(AD109=0,0,R109/(AD109*Inputs!$C$16))</f>
        <v/>
      </c>
      <c r="AD109" s="53">
        <f>IF(A109&gt;Inputs!$C$62,"",B109+C109)</f>
        <v/>
      </c>
      <c r="AE109" s="56">
        <f>IF(A109&gt;Inputs!$C$62,"", Inputs!$C$65*(1+Inputs!$C$89*POWER(MIN(1,IF(Inputs!$C$88=0,0,B109/Inputs!$C$88)),Inputs!$C$90)))</f>
        <v/>
      </c>
      <c r="AF109" s="52">
        <f>IF(A109&gt;Inputs!$C$62,"",IF(A109=1,Inputs!$C$86,MIN(Inputs!$C$86,Inputs!$C$87*M108)))</f>
        <v/>
      </c>
      <c r="AG109" s="51">
        <f>IF(A109&gt;Inputs!$C$62,"",MIN(0.5,MAX(0, Inputs!$C$67*L109 + Inputs!$C$68*(1-K109) + Inputs!$C$69*Inputs!$C$10)))</f>
        <v/>
      </c>
      <c r="AH109" s="51">
        <f>IF(A109&gt;Inputs!$C$62,"",INDEX(CapacityPlan!$G$7:$G$266,A109))</f>
        <v/>
      </c>
      <c r="AI109" s="54">
        <f>IF(A109&gt;Inputs!$C$62,"",INDEX(CapacityPlan!$J$7:$J$266,A109))</f>
        <v/>
      </c>
      <c r="AJ109" s="51">
        <f>IF(A109&gt;Inputs!$C$62,"",IF(I109=0,"",G109/I109))</f>
        <v/>
      </c>
    </row>
    <row r="110" ht="16" customHeight="1">
      <c r="A110" s="15" t="n">
        <v>88</v>
      </c>
      <c r="B110" s="50">
        <f>IF(A110&gt;Inputs!$C$62,"",IF(Inputs!$C$80=1,INDEX(Cohorts!$B$67:$B$326,A110),IF(A110=1,Inputs!$C$63,F109)))</f>
        <v/>
      </c>
      <c r="C110" s="50">
        <f>IF(A110&gt;Inputs!$C$62,"",IF(Inputs!$C$85=0,Inputs!$C$64,MIN(Inputs!$C$91,IF(AE110=0,0,AF110/AE110))))</f>
        <v/>
      </c>
      <c r="D110" s="51">
        <f>IF(A110&gt;Inputs!$C$62,"",IF(Inputs!$C$80=1,INDEX(Cohorts!$G$67:$G$326,A110),MAX(0, Inputs!$C$66 + Inputs!$C$67*L110 + Inputs!$C$68*(1-K110) + Inputs!$C$69*Inputs!$C$10)))</f>
        <v/>
      </c>
      <c r="E110" s="50">
        <f>IF(A110&gt;Inputs!$C$62,"",IF(Inputs!$C$80=1,INDEX(Cohorts!$H$67:$H$326,A110),D110*AD110))</f>
        <v/>
      </c>
      <c r="F110" s="50">
        <f>IF(A110&gt;Inputs!$C$62,"",IF(Inputs!$C$80=1,INDEX(Cohorts!$I$67:$I$326,A110),AD110-E110))</f>
        <v/>
      </c>
      <c r="G110" s="50">
        <f>IF(A110&gt;Inputs!$C$62,"",AD110)</f>
        <v/>
      </c>
      <c r="H110" s="50">
        <f>IF(A110&gt;Inputs!$C$62,"",INDEX(CapacityPlan!$E$7:$E$266,A110))</f>
        <v/>
      </c>
      <c r="I110" s="50">
        <f>IF(A110&gt;Inputs!$C$62,"",INDEX(CapacityPlan!$I$7:$I$266,A110))</f>
        <v/>
      </c>
      <c r="J110" s="50">
        <f>IF(A110&gt;Inputs!$C$62,"",IF(G110&gt;I110,I110,G110))</f>
        <v/>
      </c>
      <c r="K110" s="51">
        <f>IF(A110&gt;Inputs!$C$62,"",IF(G110=0,1,J110/G110))</f>
        <v/>
      </c>
      <c r="L110" s="51">
        <f>IF((Inputs!$C$36 + UnitEconomics!$B$12*Inputs!$C$37 + Inputs!$C$10*Inputs!$C$38 + Inputs!$C$70*(1-K110))&gt;1,1,(Inputs!$C$36 + UnitEconomics!$B$12*Inputs!$C$37 + Inputs!$C$10*Inputs!$C$38 + Inputs!$C$70*(1-K110)))</f>
        <v/>
      </c>
      <c r="M110" s="52">
        <f>IF(A110&gt;Inputs!$C$62,"",J110*Inputs!$C$7*(1-Inputs!$C$8)*(1-L110))</f>
        <v/>
      </c>
      <c r="N110" s="52">
        <f>IF(A110&gt;Inputs!$C$62,"",J110*UnitEconomics!$B$32*AI110 + (G110-J110)*Inputs!$C$71)</f>
        <v/>
      </c>
      <c r="O110" s="52">
        <f>M110-N110</f>
        <v/>
      </c>
      <c r="P110" s="52">
        <f>IF(A110&gt;Inputs!$C$62,"",Inputs!$C$40 + H110*Inputs!$C$41)</f>
        <v/>
      </c>
      <c r="Q110" s="52">
        <f>O110-P110</f>
        <v/>
      </c>
      <c r="R110" s="50">
        <f>IF(A110&gt;Inputs!$C$62,"",AD110*Inputs!$C$16*(Inputs!$C$9 + Inputs!$C$10*Inputs!$C$11 + Inputs!$C$12)*(1 + VLOOKUP(Inputs!$C$15,Lookups!$A$2:$B$20,2,TRUE)*(Scale!$B$9/IF(Scale!$B$8=0,1,Scale!$B$8)) + Inputs!$C$52))</f>
        <v/>
      </c>
      <c r="S110" s="50">
        <f>IF(A110=1,Scale!$B$13, W109)</f>
        <v/>
      </c>
      <c r="T110" s="50">
        <f>J110*Inputs!$C$16*(Inputs!$C$19 + Inputs!$C$20*Inputs!$C$21 + 1/Inputs!$C$18)</f>
        <v/>
      </c>
      <c r="U110" s="50">
        <f>MAX(0, (R110*(1+Inputs!$C$74)) - (S110 - T110))</f>
        <v/>
      </c>
      <c r="V110" s="50">
        <f>IF(A110&lt;=Inputs!$C$73,0,INDEX(U:U,ROW()-Inputs!$C$73))</f>
        <v/>
      </c>
      <c r="W110" s="50">
        <f>S110 - T110 + V110</f>
        <v/>
      </c>
      <c r="X110" s="52">
        <f>V110*Inputs!$C$17</f>
        <v/>
      </c>
      <c r="Y110" s="52">
        <f>IF(A110&gt;Inputs!$C$62,"",C110*AE110)</f>
        <v/>
      </c>
      <c r="Z110" s="52">
        <f>IF(A110=1,Inputs!$C$72,AA109)</f>
        <v/>
      </c>
      <c r="AA110" s="52">
        <f>Z110 + M110 - N110 - P110 - X110 - Y110</f>
        <v/>
      </c>
      <c r="AB110" s="53">
        <f>IF(AA110&lt;0,1,0)</f>
        <v/>
      </c>
      <c r="AC110" s="54">
        <f>IF(AD110=0,0,R110/(AD110*Inputs!$C$16))</f>
        <v/>
      </c>
      <c r="AD110" s="53">
        <f>IF(A110&gt;Inputs!$C$62,"",B110+C110)</f>
        <v/>
      </c>
      <c r="AE110" s="56">
        <f>IF(A110&gt;Inputs!$C$62,"", Inputs!$C$65*(1+Inputs!$C$89*POWER(MIN(1,IF(Inputs!$C$88=0,0,B110/Inputs!$C$88)),Inputs!$C$90)))</f>
        <v/>
      </c>
      <c r="AF110" s="52">
        <f>IF(A110&gt;Inputs!$C$62,"",IF(A110=1,Inputs!$C$86,MIN(Inputs!$C$86,Inputs!$C$87*M109)))</f>
        <v/>
      </c>
      <c r="AG110" s="51">
        <f>IF(A110&gt;Inputs!$C$62,"",MIN(0.5,MAX(0, Inputs!$C$67*L110 + Inputs!$C$68*(1-K110) + Inputs!$C$69*Inputs!$C$10)))</f>
        <v/>
      </c>
      <c r="AH110" s="51">
        <f>IF(A110&gt;Inputs!$C$62,"",INDEX(CapacityPlan!$G$7:$G$266,A110))</f>
        <v/>
      </c>
      <c r="AI110" s="54">
        <f>IF(A110&gt;Inputs!$C$62,"",INDEX(CapacityPlan!$J$7:$J$266,A110))</f>
        <v/>
      </c>
      <c r="AJ110" s="51">
        <f>IF(A110&gt;Inputs!$C$62,"",IF(I110=0,"",G110/I110))</f>
        <v/>
      </c>
    </row>
    <row r="111" ht="16" customHeight="1">
      <c r="A111" s="15" t="n">
        <v>89</v>
      </c>
      <c r="B111" s="50">
        <f>IF(A111&gt;Inputs!$C$62,"",IF(Inputs!$C$80=1,INDEX(Cohorts!$B$67:$B$326,A111),IF(A111=1,Inputs!$C$63,F110)))</f>
        <v/>
      </c>
      <c r="C111" s="50">
        <f>IF(A111&gt;Inputs!$C$62,"",IF(Inputs!$C$85=0,Inputs!$C$64,MIN(Inputs!$C$91,IF(AE111=0,0,AF111/AE111))))</f>
        <v/>
      </c>
      <c r="D111" s="51">
        <f>IF(A111&gt;Inputs!$C$62,"",IF(Inputs!$C$80=1,INDEX(Cohorts!$G$67:$G$326,A111),MAX(0, Inputs!$C$66 + Inputs!$C$67*L111 + Inputs!$C$68*(1-K111) + Inputs!$C$69*Inputs!$C$10)))</f>
        <v/>
      </c>
      <c r="E111" s="50">
        <f>IF(A111&gt;Inputs!$C$62,"",IF(Inputs!$C$80=1,INDEX(Cohorts!$H$67:$H$326,A111),D111*AD111))</f>
        <v/>
      </c>
      <c r="F111" s="50">
        <f>IF(A111&gt;Inputs!$C$62,"",IF(Inputs!$C$80=1,INDEX(Cohorts!$I$67:$I$326,A111),AD111-E111))</f>
        <v/>
      </c>
      <c r="G111" s="50">
        <f>IF(A111&gt;Inputs!$C$62,"",AD111)</f>
        <v/>
      </c>
      <c r="H111" s="50">
        <f>IF(A111&gt;Inputs!$C$62,"",INDEX(CapacityPlan!$E$7:$E$266,A111))</f>
        <v/>
      </c>
      <c r="I111" s="50">
        <f>IF(A111&gt;Inputs!$C$62,"",INDEX(CapacityPlan!$I$7:$I$266,A111))</f>
        <v/>
      </c>
      <c r="J111" s="50">
        <f>IF(A111&gt;Inputs!$C$62,"",IF(G111&gt;I111,I111,G111))</f>
        <v/>
      </c>
      <c r="K111" s="51">
        <f>IF(A111&gt;Inputs!$C$62,"",IF(G111=0,1,J111/G111))</f>
        <v/>
      </c>
      <c r="L111" s="51">
        <f>IF((Inputs!$C$36 + UnitEconomics!$B$12*Inputs!$C$37 + Inputs!$C$10*Inputs!$C$38 + Inputs!$C$70*(1-K111))&gt;1,1,(Inputs!$C$36 + UnitEconomics!$B$12*Inputs!$C$37 + Inputs!$C$10*Inputs!$C$38 + Inputs!$C$70*(1-K111)))</f>
        <v/>
      </c>
      <c r="M111" s="52">
        <f>IF(A111&gt;Inputs!$C$62,"",J111*Inputs!$C$7*(1-Inputs!$C$8)*(1-L111))</f>
        <v/>
      </c>
      <c r="N111" s="52">
        <f>IF(A111&gt;Inputs!$C$62,"",J111*UnitEconomics!$B$32*AI111 + (G111-J111)*Inputs!$C$71)</f>
        <v/>
      </c>
      <c r="O111" s="52">
        <f>M111-N111</f>
        <v/>
      </c>
      <c r="P111" s="52">
        <f>IF(A111&gt;Inputs!$C$62,"",Inputs!$C$40 + H111*Inputs!$C$41)</f>
        <v/>
      </c>
      <c r="Q111" s="52">
        <f>O111-P111</f>
        <v/>
      </c>
      <c r="R111" s="50">
        <f>IF(A111&gt;Inputs!$C$62,"",AD111*Inputs!$C$16*(Inputs!$C$9 + Inputs!$C$10*Inputs!$C$11 + Inputs!$C$12)*(1 + VLOOKUP(Inputs!$C$15,Lookups!$A$2:$B$20,2,TRUE)*(Scale!$B$9/IF(Scale!$B$8=0,1,Scale!$B$8)) + Inputs!$C$52))</f>
        <v/>
      </c>
      <c r="S111" s="50">
        <f>IF(A111=1,Scale!$B$13, W110)</f>
        <v/>
      </c>
      <c r="T111" s="50">
        <f>J111*Inputs!$C$16*(Inputs!$C$19 + Inputs!$C$20*Inputs!$C$21 + 1/Inputs!$C$18)</f>
        <v/>
      </c>
      <c r="U111" s="50">
        <f>MAX(0, (R111*(1+Inputs!$C$74)) - (S111 - T111))</f>
        <v/>
      </c>
      <c r="V111" s="50">
        <f>IF(A111&lt;=Inputs!$C$73,0,INDEX(U:U,ROW()-Inputs!$C$73))</f>
        <v/>
      </c>
      <c r="W111" s="50">
        <f>S111 - T111 + V111</f>
        <v/>
      </c>
      <c r="X111" s="52">
        <f>V111*Inputs!$C$17</f>
        <v/>
      </c>
      <c r="Y111" s="52">
        <f>IF(A111&gt;Inputs!$C$62,"",C111*AE111)</f>
        <v/>
      </c>
      <c r="Z111" s="52">
        <f>IF(A111=1,Inputs!$C$72,AA110)</f>
        <v/>
      </c>
      <c r="AA111" s="52">
        <f>Z111 + M111 - N111 - P111 - X111 - Y111</f>
        <v/>
      </c>
      <c r="AB111" s="53">
        <f>IF(AA111&lt;0,1,0)</f>
        <v/>
      </c>
      <c r="AC111" s="54">
        <f>IF(AD111=0,0,R111/(AD111*Inputs!$C$16))</f>
        <v/>
      </c>
      <c r="AD111" s="53">
        <f>IF(A111&gt;Inputs!$C$62,"",B111+C111)</f>
        <v/>
      </c>
      <c r="AE111" s="56">
        <f>IF(A111&gt;Inputs!$C$62,"", Inputs!$C$65*(1+Inputs!$C$89*POWER(MIN(1,IF(Inputs!$C$88=0,0,B111/Inputs!$C$88)),Inputs!$C$90)))</f>
        <v/>
      </c>
      <c r="AF111" s="52">
        <f>IF(A111&gt;Inputs!$C$62,"",IF(A111=1,Inputs!$C$86,MIN(Inputs!$C$86,Inputs!$C$87*M110)))</f>
        <v/>
      </c>
      <c r="AG111" s="51">
        <f>IF(A111&gt;Inputs!$C$62,"",MIN(0.5,MAX(0, Inputs!$C$67*L111 + Inputs!$C$68*(1-K111) + Inputs!$C$69*Inputs!$C$10)))</f>
        <v/>
      </c>
      <c r="AH111" s="51">
        <f>IF(A111&gt;Inputs!$C$62,"",INDEX(CapacityPlan!$G$7:$G$266,A111))</f>
        <v/>
      </c>
      <c r="AI111" s="54">
        <f>IF(A111&gt;Inputs!$C$62,"",INDEX(CapacityPlan!$J$7:$J$266,A111))</f>
        <v/>
      </c>
      <c r="AJ111" s="51">
        <f>IF(A111&gt;Inputs!$C$62,"",IF(I111=0,"",G111/I111))</f>
        <v/>
      </c>
    </row>
    <row r="112" ht="16" customHeight="1">
      <c r="A112" s="15" t="n">
        <v>90</v>
      </c>
      <c r="B112" s="50">
        <f>IF(A112&gt;Inputs!$C$62,"",IF(Inputs!$C$80=1,INDEX(Cohorts!$B$67:$B$326,A112),IF(A112=1,Inputs!$C$63,F111)))</f>
        <v/>
      </c>
      <c r="C112" s="50">
        <f>IF(A112&gt;Inputs!$C$62,"",IF(Inputs!$C$85=0,Inputs!$C$64,MIN(Inputs!$C$91,IF(AE112=0,0,AF112/AE112))))</f>
        <v/>
      </c>
      <c r="D112" s="51">
        <f>IF(A112&gt;Inputs!$C$62,"",IF(Inputs!$C$80=1,INDEX(Cohorts!$G$67:$G$326,A112),MAX(0, Inputs!$C$66 + Inputs!$C$67*L112 + Inputs!$C$68*(1-K112) + Inputs!$C$69*Inputs!$C$10)))</f>
        <v/>
      </c>
      <c r="E112" s="50">
        <f>IF(A112&gt;Inputs!$C$62,"",IF(Inputs!$C$80=1,INDEX(Cohorts!$H$67:$H$326,A112),D112*AD112))</f>
        <v/>
      </c>
      <c r="F112" s="50">
        <f>IF(A112&gt;Inputs!$C$62,"",IF(Inputs!$C$80=1,INDEX(Cohorts!$I$67:$I$326,A112),AD112-E112))</f>
        <v/>
      </c>
      <c r="G112" s="50">
        <f>IF(A112&gt;Inputs!$C$62,"",AD112)</f>
        <v/>
      </c>
      <c r="H112" s="50">
        <f>IF(A112&gt;Inputs!$C$62,"",INDEX(CapacityPlan!$E$7:$E$266,A112))</f>
        <v/>
      </c>
      <c r="I112" s="50">
        <f>IF(A112&gt;Inputs!$C$62,"",INDEX(CapacityPlan!$I$7:$I$266,A112))</f>
        <v/>
      </c>
      <c r="J112" s="50">
        <f>IF(A112&gt;Inputs!$C$62,"",IF(G112&gt;I112,I112,G112))</f>
        <v/>
      </c>
      <c r="K112" s="51">
        <f>IF(A112&gt;Inputs!$C$62,"",IF(G112=0,1,J112/G112))</f>
        <v/>
      </c>
      <c r="L112" s="51">
        <f>IF((Inputs!$C$36 + UnitEconomics!$B$12*Inputs!$C$37 + Inputs!$C$10*Inputs!$C$38 + Inputs!$C$70*(1-K112))&gt;1,1,(Inputs!$C$36 + UnitEconomics!$B$12*Inputs!$C$37 + Inputs!$C$10*Inputs!$C$38 + Inputs!$C$70*(1-K112)))</f>
        <v/>
      </c>
      <c r="M112" s="52">
        <f>IF(A112&gt;Inputs!$C$62,"",J112*Inputs!$C$7*(1-Inputs!$C$8)*(1-L112))</f>
        <v/>
      </c>
      <c r="N112" s="52">
        <f>IF(A112&gt;Inputs!$C$62,"",J112*UnitEconomics!$B$32*AI112 + (G112-J112)*Inputs!$C$71)</f>
        <v/>
      </c>
      <c r="O112" s="52">
        <f>M112-N112</f>
        <v/>
      </c>
      <c r="P112" s="52">
        <f>IF(A112&gt;Inputs!$C$62,"",Inputs!$C$40 + H112*Inputs!$C$41)</f>
        <v/>
      </c>
      <c r="Q112" s="52">
        <f>O112-P112</f>
        <v/>
      </c>
      <c r="R112" s="50">
        <f>IF(A112&gt;Inputs!$C$62,"",AD112*Inputs!$C$16*(Inputs!$C$9 + Inputs!$C$10*Inputs!$C$11 + Inputs!$C$12)*(1 + VLOOKUP(Inputs!$C$15,Lookups!$A$2:$B$20,2,TRUE)*(Scale!$B$9/IF(Scale!$B$8=0,1,Scale!$B$8)) + Inputs!$C$52))</f>
        <v/>
      </c>
      <c r="S112" s="50">
        <f>IF(A112=1,Scale!$B$13, W111)</f>
        <v/>
      </c>
      <c r="T112" s="50">
        <f>J112*Inputs!$C$16*(Inputs!$C$19 + Inputs!$C$20*Inputs!$C$21 + 1/Inputs!$C$18)</f>
        <v/>
      </c>
      <c r="U112" s="50">
        <f>MAX(0, (R112*(1+Inputs!$C$74)) - (S112 - T112))</f>
        <v/>
      </c>
      <c r="V112" s="50">
        <f>IF(A112&lt;=Inputs!$C$73,0,INDEX(U:U,ROW()-Inputs!$C$73))</f>
        <v/>
      </c>
      <c r="W112" s="50">
        <f>S112 - T112 + V112</f>
        <v/>
      </c>
      <c r="X112" s="52">
        <f>V112*Inputs!$C$17</f>
        <v/>
      </c>
      <c r="Y112" s="52">
        <f>IF(A112&gt;Inputs!$C$62,"",C112*AE112)</f>
        <v/>
      </c>
      <c r="Z112" s="52">
        <f>IF(A112=1,Inputs!$C$72,AA111)</f>
        <v/>
      </c>
      <c r="AA112" s="52">
        <f>Z112 + M112 - N112 - P112 - X112 - Y112</f>
        <v/>
      </c>
      <c r="AB112" s="53">
        <f>IF(AA112&lt;0,1,0)</f>
        <v/>
      </c>
      <c r="AC112" s="54">
        <f>IF(AD112=0,0,R112/(AD112*Inputs!$C$16))</f>
        <v/>
      </c>
      <c r="AD112" s="53">
        <f>IF(A112&gt;Inputs!$C$62,"",B112+C112)</f>
        <v/>
      </c>
      <c r="AE112" s="56">
        <f>IF(A112&gt;Inputs!$C$62,"", Inputs!$C$65*(1+Inputs!$C$89*POWER(MIN(1,IF(Inputs!$C$88=0,0,B112/Inputs!$C$88)),Inputs!$C$90)))</f>
        <v/>
      </c>
      <c r="AF112" s="52">
        <f>IF(A112&gt;Inputs!$C$62,"",IF(A112=1,Inputs!$C$86,MIN(Inputs!$C$86,Inputs!$C$87*M111)))</f>
        <v/>
      </c>
      <c r="AG112" s="51">
        <f>IF(A112&gt;Inputs!$C$62,"",MIN(0.5,MAX(0, Inputs!$C$67*L112 + Inputs!$C$68*(1-K112) + Inputs!$C$69*Inputs!$C$10)))</f>
        <v/>
      </c>
      <c r="AH112" s="51">
        <f>IF(A112&gt;Inputs!$C$62,"",INDEX(CapacityPlan!$G$7:$G$266,A112))</f>
        <v/>
      </c>
      <c r="AI112" s="54">
        <f>IF(A112&gt;Inputs!$C$62,"",INDEX(CapacityPlan!$J$7:$J$266,A112))</f>
        <v/>
      </c>
      <c r="AJ112" s="51">
        <f>IF(A112&gt;Inputs!$C$62,"",IF(I112=0,"",G112/I112))</f>
        <v/>
      </c>
    </row>
    <row r="113" ht="16" customHeight="1">
      <c r="A113" s="15" t="n">
        <v>91</v>
      </c>
      <c r="B113" s="50">
        <f>IF(A113&gt;Inputs!$C$62,"",IF(Inputs!$C$80=1,INDEX(Cohorts!$B$67:$B$326,A113),IF(A113=1,Inputs!$C$63,F112)))</f>
        <v/>
      </c>
      <c r="C113" s="50">
        <f>IF(A113&gt;Inputs!$C$62,"",IF(Inputs!$C$85=0,Inputs!$C$64,MIN(Inputs!$C$91,IF(AE113=0,0,AF113/AE113))))</f>
        <v/>
      </c>
      <c r="D113" s="51">
        <f>IF(A113&gt;Inputs!$C$62,"",IF(Inputs!$C$80=1,INDEX(Cohorts!$G$67:$G$326,A113),MAX(0, Inputs!$C$66 + Inputs!$C$67*L113 + Inputs!$C$68*(1-K113) + Inputs!$C$69*Inputs!$C$10)))</f>
        <v/>
      </c>
      <c r="E113" s="50">
        <f>IF(A113&gt;Inputs!$C$62,"",IF(Inputs!$C$80=1,INDEX(Cohorts!$H$67:$H$326,A113),D113*AD113))</f>
        <v/>
      </c>
      <c r="F113" s="50">
        <f>IF(A113&gt;Inputs!$C$62,"",IF(Inputs!$C$80=1,INDEX(Cohorts!$I$67:$I$326,A113),AD113-E113))</f>
        <v/>
      </c>
      <c r="G113" s="50">
        <f>IF(A113&gt;Inputs!$C$62,"",AD113)</f>
        <v/>
      </c>
      <c r="H113" s="50">
        <f>IF(A113&gt;Inputs!$C$62,"",INDEX(CapacityPlan!$E$7:$E$266,A113))</f>
        <v/>
      </c>
      <c r="I113" s="50">
        <f>IF(A113&gt;Inputs!$C$62,"",INDEX(CapacityPlan!$I$7:$I$266,A113))</f>
        <v/>
      </c>
      <c r="J113" s="50">
        <f>IF(A113&gt;Inputs!$C$62,"",IF(G113&gt;I113,I113,G113))</f>
        <v/>
      </c>
      <c r="K113" s="51">
        <f>IF(A113&gt;Inputs!$C$62,"",IF(G113=0,1,J113/G113))</f>
        <v/>
      </c>
      <c r="L113" s="51">
        <f>IF((Inputs!$C$36 + UnitEconomics!$B$12*Inputs!$C$37 + Inputs!$C$10*Inputs!$C$38 + Inputs!$C$70*(1-K113))&gt;1,1,(Inputs!$C$36 + UnitEconomics!$B$12*Inputs!$C$37 + Inputs!$C$10*Inputs!$C$38 + Inputs!$C$70*(1-K113)))</f>
        <v/>
      </c>
      <c r="M113" s="52">
        <f>IF(A113&gt;Inputs!$C$62,"",J113*Inputs!$C$7*(1-Inputs!$C$8)*(1-L113))</f>
        <v/>
      </c>
      <c r="N113" s="52">
        <f>IF(A113&gt;Inputs!$C$62,"",J113*UnitEconomics!$B$32*AI113 + (G113-J113)*Inputs!$C$71)</f>
        <v/>
      </c>
      <c r="O113" s="52">
        <f>M113-N113</f>
        <v/>
      </c>
      <c r="P113" s="52">
        <f>IF(A113&gt;Inputs!$C$62,"",Inputs!$C$40 + H113*Inputs!$C$41)</f>
        <v/>
      </c>
      <c r="Q113" s="52">
        <f>O113-P113</f>
        <v/>
      </c>
      <c r="R113" s="50">
        <f>IF(A113&gt;Inputs!$C$62,"",AD113*Inputs!$C$16*(Inputs!$C$9 + Inputs!$C$10*Inputs!$C$11 + Inputs!$C$12)*(1 + VLOOKUP(Inputs!$C$15,Lookups!$A$2:$B$20,2,TRUE)*(Scale!$B$9/IF(Scale!$B$8=0,1,Scale!$B$8)) + Inputs!$C$52))</f>
        <v/>
      </c>
      <c r="S113" s="50">
        <f>IF(A113=1,Scale!$B$13, W112)</f>
        <v/>
      </c>
      <c r="T113" s="50">
        <f>J113*Inputs!$C$16*(Inputs!$C$19 + Inputs!$C$20*Inputs!$C$21 + 1/Inputs!$C$18)</f>
        <v/>
      </c>
      <c r="U113" s="50">
        <f>MAX(0, (R113*(1+Inputs!$C$74)) - (S113 - T113))</f>
        <v/>
      </c>
      <c r="V113" s="50">
        <f>IF(A113&lt;=Inputs!$C$73,0,INDEX(U:U,ROW()-Inputs!$C$73))</f>
        <v/>
      </c>
      <c r="W113" s="50">
        <f>S113 - T113 + V113</f>
        <v/>
      </c>
      <c r="X113" s="52">
        <f>V113*Inputs!$C$17</f>
        <v/>
      </c>
      <c r="Y113" s="52">
        <f>IF(A113&gt;Inputs!$C$62,"",C113*AE113)</f>
        <v/>
      </c>
      <c r="Z113" s="52">
        <f>IF(A113=1,Inputs!$C$72,AA112)</f>
        <v/>
      </c>
      <c r="AA113" s="52">
        <f>Z113 + M113 - N113 - P113 - X113 - Y113</f>
        <v/>
      </c>
      <c r="AB113" s="53">
        <f>IF(AA113&lt;0,1,0)</f>
        <v/>
      </c>
      <c r="AC113" s="54">
        <f>IF(AD113=0,0,R113/(AD113*Inputs!$C$16))</f>
        <v/>
      </c>
      <c r="AD113" s="53">
        <f>IF(A113&gt;Inputs!$C$62,"",B113+C113)</f>
        <v/>
      </c>
      <c r="AE113" s="56">
        <f>IF(A113&gt;Inputs!$C$62,"", Inputs!$C$65*(1+Inputs!$C$89*POWER(MIN(1,IF(Inputs!$C$88=0,0,B113/Inputs!$C$88)),Inputs!$C$90)))</f>
        <v/>
      </c>
      <c r="AF113" s="52">
        <f>IF(A113&gt;Inputs!$C$62,"",IF(A113=1,Inputs!$C$86,MIN(Inputs!$C$86,Inputs!$C$87*M112)))</f>
        <v/>
      </c>
      <c r="AG113" s="51">
        <f>IF(A113&gt;Inputs!$C$62,"",MIN(0.5,MAX(0, Inputs!$C$67*L113 + Inputs!$C$68*(1-K113) + Inputs!$C$69*Inputs!$C$10)))</f>
        <v/>
      </c>
      <c r="AH113" s="51">
        <f>IF(A113&gt;Inputs!$C$62,"",INDEX(CapacityPlan!$G$7:$G$266,A113))</f>
        <v/>
      </c>
      <c r="AI113" s="54">
        <f>IF(A113&gt;Inputs!$C$62,"",INDEX(CapacityPlan!$J$7:$J$266,A113))</f>
        <v/>
      </c>
      <c r="AJ113" s="51">
        <f>IF(A113&gt;Inputs!$C$62,"",IF(I113=0,"",G113/I113))</f>
        <v/>
      </c>
    </row>
    <row r="114" ht="16" customHeight="1">
      <c r="A114" s="15" t="n">
        <v>92</v>
      </c>
      <c r="B114" s="50">
        <f>IF(A114&gt;Inputs!$C$62,"",IF(Inputs!$C$80=1,INDEX(Cohorts!$B$67:$B$326,A114),IF(A114=1,Inputs!$C$63,F113)))</f>
        <v/>
      </c>
      <c r="C114" s="50">
        <f>IF(A114&gt;Inputs!$C$62,"",IF(Inputs!$C$85=0,Inputs!$C$64,MIN(Inputs!$C$91,IF(AE114=0,0,AF114/AE114))))</f>
        <v/>
      </c>
      <c r="D114" s="51">
        <f>IF(A114&gt;Inputs!$C$62,"",IF(Inputs!$C$80=1,INDEX(Cohorts!$G$67:$G$326,A114),MAX(0, Inputs!$C$66 + Inputs!$C$67*L114 + Inputs!$C$68*(1-K114) + Inputs!$C$69*Inputs!$C$10)))</f>
        <v/>
      </c>
      <c r="E114" s="50">
        <f>IF(A114&gt;Inputs!$C$62,"",IF(Inputs!$C$80=1,INDEX(Cohorts!$H$67:$H$326,A114),D114*AD114))</f>
        <v/>
      </c>
      <c r="F114" s="50">
        <f>IF(A114&gt;Inputs!$C$62,"",IF(Inputs!$C$80=1,INDEX(Cohorts!$I$67:$I$326,A114),AD114-E114))</f>
        <v/>
      </c>
      <c r="G114" s="50">
        <f>IF(A114&gt;Inputs!$C$62,"",AD114)</f>
        <v/>
      </c>
      <c r="H114" s="50">
        <f>IF(A114&gt;Inputs!$C$62,"",INDEX(CapacityPlan!$E$7:$E$266,A114))</f>
        <v/>
      </c>
      <c r="I114" s="50">
        <f>IF(A114&gt;Inputs!$C$62,"",INDEX(CapacityPlan!$I$7:$I$266,A114))</f>
        <v/>
      </c>
      <c r="J114" s="50">
        <f>IF(A114&gt;Inputs!$C$62,"",IF(G114&gt;I114,I114,G114))</f>
        <v/>
      </c>
      <c r="K114" s="51">
        <f>IF(A114&gt;Inputs!$C$62,"",IF(G114=0,1,J114/G114))</f>
        <v/>
      </c>
      <c r="L114" s="51">
        <f>IF((Inputs!$C$36 + UnitEconomics!$B$12*Inputs!$C$37 + Inputs!$C$10*Inputs!$C$38 + Inputs!$C$70*(1-K114))&gt;1,1,(Inputs!$C$36 + UnitEconomics!$B$12*Inputs!$C$37 + Inputs!$C$10*Inputs!$C$38 + Inputs!$C$70*(1-K114)))</f>
        <v/>
      </c>
      <c r="M114" s="52">
        <f>IF(A114&gt;Inputs!$C$62,"",J114*Inputs!$C$7*(1-Inputs!$C$8)*(1-L114))</f>
        <v/>
      </c>
      <c r="N114" s="52">
        <f>IF(A114&gt;Inputs!$C$62,"",J114*UnitEconomics!$B$32*AI114 + (G114-J114)*Inputs!$C$71)</f>
        <v/>
      </c>
      <c r="O114" s="52">
        <f>M114-N114</f>
        <v/>
      </c>
      <c r="P114" s="52">
        <f>IF(A114&gt;Inputs!$C$62,"",Inputs!$C$40 + H114*Inputs!$C$41)</f>
        <v/>
      </c>
      <c r="Q114" s="52">
        <f>O114-P114</f>
        <v/>
      </c>
      <c r="R114" s="50">
        <f>IF(A114&gt;Inputs!$C$62,"",AD114*Inputs!$C$16*(Inputs!$C$9 + Inputs!$C$10*Inputs!$C$11 + Inputs!$C$12)*(1 + VLOOKUP(Inputs!$C$15,Lookups!$A$2:$B$20,2,TRUE)*(Scale!$B$9/IF(Scale!$B$8=0,1,Scale!$B$8)) + Inputs!$C$52))</f>
        <v/>
      </c>
      <c r="S114" s="50">
        <f>IF(A114=1,Scale!$B$13, W113)</f>
        <v/>
      </c>
      <c r="T114" s="50">
        <f>J114*Inputs!$C$16*(Inputs!$C$19 + Inputs!$C$20*Inputs!$C$21 + 1/Inputs!$C$18)</f>
        <v/>
      </c>
      <c r="U114" s="50">
        <f>MAX(0, (R114*(1+Inputs!$C$74)) - (S114 - T114))</f>
        <v/>
      </c>
      <c r="V114" s="50">
        <f>IF(A114&lt;=Inputs!$C$73,0,INDEX(U:U,ROW()-Inputs!$C$73))</f>
        <v/>
      </c>
      <c r="W114" s="50">
        <f>S114 - T114 + V114</f>
        <v/>
      </c>
      <c r="X114" s="52">
        <f>V114*Inputs!$C$17</f>
        <v/>
      </c>
      <c r="Y114" s="52">
        <f>IF(A114&gt;Inputs!$C$62,"",C114*AE114)</f>
        <v/>
      </c>
      <c r="Z114" s="52">
        <f>IF(A114=1,Inputs!$C$72,AA113)</f>
        <v/>
      </c>
      <c r="AA114" s="52">
        <f>Z114 + M114 - N114 - P114 - X114 - Y114</f>
        <v/>
      </c>
      <c r="AB114" s="53">
        <f>IF(AA114&lt;0,1,0)</f>
        <v/>
      </c>
      <c r="AC114" s="54">
        <f>IF(AD114=0,0,R114/(AD114*Inputs!$C$16))</f>
        <v/>
      </c>
      <c r="AD114" s="53">
        <f>IF(A114&gt;Inputs!$C$62,"",B114+C114)</f>
        <v/>
      </c>
      <c r="AE114" s="56">
        <f>IF(A114&gt;Inputs!$C$62,"", Inputs!$C$65*(1+Inputs!$C$89*POWER(MIN(1,IF(Inputs!$C$88=0,0,B114/Inputs!$C$88)),Inputs!$C$90)))</f>
        <v/>
      </c>
      <c r="AF114" s="52">
        <f>IF(A114&gt;Inputs!$C$62,"",IF(A114=1,Inputs!$C$86,MIN(Inputs!$C$86,Inputs!$C$87*M113)))</f>
        <v/>
      </c>
      <c r="AG114" s="51">
        <f>IF(A114&gt;Inputs!$C$62,"",MIN(0.5,MAX(0, Inputs!$C$67*L114 + Inputs!$C$68*(1-K114) + Inputs!$C$69*Inputs!$C$10)))</f>
        <v/>
      </c>
      <c r="AH114" s="51">
        <f>IF(A114&gt;Inputs!$C$62,"",INDEX(CapacityPlan!$G$7:$G$266,A114))</f>
        <v/>
      </c>
      <c r="AI114" s="54">
        <f>IF(A114&gt;Inputs!$C$62,"",INDEX(CapacityPlan!$J$7:$J$266,A114))</f>
        <v/>
      </c>
      <c r="AJ114" s="51">
        <f>IF(A114&gt;Inputs!$C$62,"",IF(I114=0,"",G114/I114))</f>
        <v/>
      </c>
    </row>
    <row r="115" ht="16" customHeight="1">
      <c r="A115" s="15" t="n">
        <v>93</v>
      </c>
      <c r="B115" s="50">
        <f>IF(A115&gt;Inputs!$C$62,"",IF(Inputs!$C$80=1,INDEX(Cohorts!$B$67:$B$326,A115),IF(A115=1,Inputs!$C$63,F114)))</f>
        <v/>
      </c>
      <c r="C115" s="50">
        <f>IF(A115&gt;Inputs!$C$62,"",IF(Inputs!$C$85=0,Inputs!$C$64,MIN(Inputs!$C$91,IF(AE115=0,0,AF115/AE115))))</f>
        <v/>
      </c>
      <c r="D115" s="51">
        <f>IF(A115&gt;Inputs!$C$62,"",IF(Inputs!$C$80=1,INDEX(Cohorts!$G$67:$G$326,A115),MAX(0, Inputs!$C$66 + Inputs!$C$67*L115 + Inputs!$C$68*(1-K115) + Inputs!$C$69*Inputs!$C$10)))</f>
        <v/>
      </c>
      <c r="E115" s="50">
        <f>IF(A115&gt;Inputs!$C$62,"",IF(Inputs!$C$80=1,INDEX(Cohorts!$H$67:$H$326,A115),D115*AD115))</f>
        <v/>
      </c>
      <c r="F115" s="50">
        <f>IF(A115&gt;Inputs!$C$62,"",IF(Inputs!$C$80=1,INDEX(Cohorts!$I$67:$I$326,A115),AD115-E115))</f>
        <v/>
      </c>
      <c r="G115" s="50">
        <f>IF(A115&gt;Inputs!$C$62,"",AD115)</f>
        <v/>
      </c>
      <c r="H115" s="50">
        <f>IF(A115&gt;Inputs!$C$62,"",INDEX(CapacityPlan!$E$7:$E$266,A115))</f>
        <v/>
      </c>
      <c r="I115" s="50">
        <f>IF(A115&gt;Inputs!$C$62,"",INDEX(CapacityPlan!$I$7:$I$266,A115))</f>
        <v/>
      </c>
      <c r="J115" s="50">
        <f>IF(A115&gt;Inputs!$C$62,"",IF(G115&gt;I115,I115,G115))</f>
        <v/>
      </c>
      <c r="K115" s="51">
        <f>IF(A115&gt;Inputs!$C$62,"",IF(G115=0,1,J115/G115))</f>
        <v/>
      </c>
      <c r="L115" s="51">
        <f>IF((Inputs!$C$36 + UnitEconomics!$B$12*Inputs!$C$37 + Inputs!$C$10*Inputs!$C$38 + Inputs!$C$70*(1-K115))&gt;1,1,(Inputs!$C$36 + UnitEconomics!$B$12*Inputs!$C$37 + Inputs!$C$10*Inputs!$C$38 + Inputs!$C$70*(1-K115)))</f>
        <v/>
      </c>
      <c r="M115" s="52">
        <f>IF(A115&gt;Inputs!$C$62,"",J115*Inputs!$C$7*(1-Inputs!$C$8)*(1-L115))</f>
        <v/>
      </c>
      <c r="N115" s="52">
        <f>IF(A115&gt;Inputs!$C$62,"",J115*UnitEconomics!$B$32*AI115 + (G115-J115)*Inputs!$C$71)</f>
        <v/>
      </c>
      <c r="O115" s="52">
        <f>M115-N115</f>
        <v/>
      </c>
      <c r="P115" s="52">
        <f>IF(A115&gt;Inputs!$C$62,"",Inputs!$C$40 + H115*Inputs!$C$41)</f>
        <v/>
      </c>
      <c r="Q115" s="52">
        <f>O115-P115</f>
        <v/>
      </c>
      <c r="R115" s="50">
        <f>IF(A115&gt;Inputs!$C$62,"",AD115*Inputs!$C$16*(Inputs!$C$9 + Inputs!$C$10*Inputs!$C$11 + Inputs!$C$12)*(1 + VLOOKUP(Inputs!$C$15,Lookups!$A$2:$B$20,2,TRUE)*(Scale!$B$9/IF(Scale!$B$8=0,1,Scale!$B$8)) + Inputs!$C$52))</f>
        <v/>
      </c>
      <c r="S115" s="50">
        <f>IF(A115=1,Scale!$B$13, W114)</f>
        <v/>
      </c>
      <c r="T115" s="50">
        <f>J115*Inputs!$C$16*(Inputs!$C$19 + Inputs!$C$20*Inputs!$C$21 + 1/Inputs!$C$18)</f>
        <v/>
      </c>
      <c r="U115" s="50">
        <f>MAX(0, (R115*(1+Inputs!$C$74)) - (S115 - T115))</f>
        <v/>
      </c>
      <c r="V115" s="50">
        <f>IF(A115&lt;=Inputs!$C$73,0,INDEX(U:U,ROW()-Inputs!$C$73))</f>
        <v/>
      </c>
      <c r="W115" s="50">
        <f>S115 - T115 + V115</f>
        <v/>
      </c>
      <c r="X115" s="52">
        <f>V115*Inputs!$C$17</f>
        <v/>
      </c>
      <c r="Y115" s="52">
        <f>IF(A115&gt;Inputs!$C$62,"",C115*AE115)</f>
        <v/>
      </c>
      <c r="Z115" s="52">
        <f>IF(A115=1,Inputs!$C$72,AA114)</f>
        <v/>
      </c>
      <c r="AA115" s="52">
        <f>Z115 + M115 - N115 - P115 - X115 - Y115</f>
        <v/>
      </c>
      <c r="AB115" s="53">
        <f>IF(AA115&lt;0,1,0)</f>
        <v/>
      </c>
      <c r="AC115" s="54">
        <f>IF(AD115=0,0,R115/(AD115*Inputs!$C$16))</f>
        <v/>
      </c>
      <c r="AD115" s="53">
        <f>IF(A115&gt;Inputs!$C$62,"",B115+C115)</f>
        <v/>
      </c>
      <c r="AE115" s="56">
        <f>IF(A115&gt;Inputs!$C$62,"", Inputs!$C$65*(1+Inputs!$C$89*POWER(MIN(1,IF(Inputs!$C$88=0,0,B115/Inputs!$C$88)),Inputs!$C$90)))</f>
        <v/>
      </c>
      <c r="AF115" s="52">
        <f>IF(A115&gt;Inputs!$C$62,"",IF(A115=1,Inputs!$C$86,MIN(Inputs!$C$86,Inputs!$C$87*M114)))</f>
        <v/>
      </c>
      <c r="AG115" s="51">
        <f>IF(A115&gt;Inputs!$C$62,"",MIN(0.5,MAX(0, Inputs!$C$67*L115 + Inputs!$C$68*(1-K115) + Inputs!$C$69*Inputs!$C$10)))</f>
        <v/>
      </c>
      <c r="AH115" s="51">
        <f>IF(A115&gt;Inputs!$C$62,"",INDEX(CapacityPlan!$G$7:$G$266,A115))</f>
        <v/>
      </c>
      <c r="AI115" s="54">
        <f>IF(A115&gt;Inputs!$C$62,"",INDEX(CapacityPlan!$J$7:$J$266,A115))</f>
        <v/>
      </c>
      <c r="AJ115" s="51">
        <f>IF(A115&gt;Inputs!$C$62,"",IF(I115=0,"",G115/I115))</f>
        <v/>
      </c>
    </row>
    <row r="116" ht="16" customHeight="1">
      <c r="A116" s="15" t="n">
        <v>94</v>
      </c>
      <c r="B116" s="50">
        <f>IF(A116&gt;Inputs!$C$62,"",IF(Inputs!$C$80=1,INDEX(Cohorts!$B$67:$B$326,A116),IF(A116=1,Inputs!$C$63,F115)))</f>
        <v/>
      </c>
      <c r="C116" s="50">
        <f>IF(A116&gt;Inputs!$C$62,"",IF(Inputs!$C$85=0,Inputs!$C$64,MIN(Inputs!$C$91,IF(AE116=0,0,AF116/AE116))))</f>
        <v/>
      </c>
      <c r="D116" s="51">
        <f>IF(A116&gt;Inputs!$C$62,"",IF(Inputs!$C$80=1,INDEX(Cohorts!$G$67:$G$326,A116),MAX(0, Inputs!$C$66 + Inputs!$C$67*L116 + Inputs!$C$68*(1-K116) + Inputs!$C$69*Inputs!$C$10)))</f>
        <v/>
      </c>
      <c r="E116" s="50">
        <f>IF(A116&gt;Inputs!$C$62,"",IF(Inputs!$C$80=1,INDEX(Cohorts!$H$67:$H$326,A116),D116*AD116))</f>
        <v/>
      </c>
      <c r="F116" s="50">
        <f>IF(A116&gt;Inputs!$C$62,"",IF(Inputs!$C$80=1,INDEX(Cohorts!$I$67:$I$326,A116),AD116-E116))</f>
        <v/>
      </c>
      <c r="G116" s="50">
        <f>IF(A116&gt;Inputs!$C$62,"",AD116)</f>
        <v/>
      </c>
      <c r="H116" s="50">
        <f>IF(A116&gt;Inputs!$C$62,"",INDEX(CapacityPlan!$E$7:$E$266,A116))</f>
        <v/>
      </c>
      <c r="I116" s="50">
        <f>IF(A116&gt;Inputs!$C$62,"",INDEX(CapacityPlan!$I$7:$I$266,A116))</f>
        <v/>
      </c>
      <c r="J116" s="50">
        <f>IF(A116&gt;Inputs!$C$62,"",IF(G116&gt;I116,I116,G116))</f>
        <v/>
      </c>
      <c r="K116" s="51">
        <f>IF(A116&gt;Inputs!$C$62,"",IF(G116=0,1,J116/G116))</f>
        <v/>
      </c>
      <c r="L116" s="51">
        <f>IF((Inputs!$C$36 + UnitEconomics!$B$12*Inputs!$C$37 + Inputs!$C$10*Inputs!$C$38 + Inputs!$C$70*(1-K116))&gt;1,1,(Inputs!$C$36 + UnitEconomics!$B$12*Inputs!$C$37 + Inputs!$C$10*Inputs!$C$38 + Inputs!$C$70*(1-K116)))</f>
        <v/>
      </c>
      <c r="M116" s="52">
        <f>IF(A116&gt;Inputs!$C$62,"",J116*Inputs!$C$7*(1-Inputs!$C$8)*(1-L116))</f>
        <v/>
      </c>
      <c r="N116" s="52">
        <f>IF(A116&gt;Inputs!$C$62,"",J116*UnitEconomics!$B$32*AI116 + (G116-J116)*Inputs!$C$71)</f>
        <v/>
      </c>
      <c r="O116" s="52">
        <f>M116-N116</f>
        <v/>
      </c>
      <c r="P116" s="52">
        <f>IF(A116&gt;Inputs!$C$62,"",Inputs!$C$40 + H116*Inputs!$C$41)</f>
        <v/>
      </c>
      <c r="Q116" s="52">
        <f>O116-P116</f>
        <v/>
      </c>
      <c r="R116" s="50">
        <f>IF(A116&gt;Inputs!$C$62,"",AD116*Inputs!$C$16*(Inputs!$C$9 + Inputs!$C$10*Inputs!$C$11 + Inputs!$C$12)*(1 + VLOOKUP(Inputs!$C$15,Lookups!$A$2:$B$20,2,TRUE)*(Scale!$B$9/IF(Scale!$B$8=0,1,Scale!$B$8)) + Inputs!$C$52))</f>
        <v/>
      </c>
      <c r="S116" s="50">
        <f>IF(A116=1,Scale!$B$13, W115)</f>
        <v/>
      </c>
      <c r="T116" s="50">
        <f>J116*Inputs!$C$16*(Inputs!$C$19 + Inputs!$C$20*Inputs!$C$21 + 1/Inputs!$C$18)</f>
        <v/>
      </c>
      <c r="U116" s="50">
        <f>MAX(0, (R116*(1+Inputs!$C$74)) - (S116 - T116))</f>
        <v/>
      </c>
      <c r="V116" s="50">
        <f>IF(A116&lt;=Inputs!$C$73,0,INDEX(U:U,ROW()-Inputs!$C$73))</f>
        <v/>
      </c>
      <c r="W116" s="50">
        <f>S116 - T116 + V116</f>
        <v/>
      </c>
      <c r="X116" s="52">
        <f>V116*Inputs!$C$17</f>
        <v/>
      </c>
      <c r="Y116" s="52">
        <f>IF(A116&gt;Inputs!$C$62,"",C116*AE116)</f>
        <v/>
      </c>
      <c r="Z116" s="52">
        <f>IF(A116=1,Inputs!$C$72,AA115)</f>
        <v/>
      </c>
      <c r="AA116" s="52">
        <f>Z116 + M116 - N116 - P116 - X116 - Y116</f>
        <v/>
      </c>
      <c r="AB116" s="53">
        <f>IF(AA116&lt;0,1,0)</f>
        <v/>
      </c>
      <c r="AC116" s="54">
        <f>IF(AD116=0,0,R116/(AD116*Inputs!$C$16))</f>
        <v/>
      </c>
      <c r="AD116" s="53">
        <f>IF(A116&gt;Inputs!$C$62,"",B116+C116)</f>
        <v/>
      </c>
      <c r="AE116" s="56">
        <f>IF(A116&gt;Inputs!$C$62,"", Inputs!$C$65*(1+Inputs!$C$89*POWER(MIN(1,IF(Inputs!$C$88=0,0,B116/Inputs!$C$88)),Inputs!$C$90)))</f>
        <v/>
      </c>
      <c r="AF116" s="52">
        <f>IF(A116&gt;Inputs!$C$62,"",IF(A116=1,Inputs!$C$86,MIN(Inputs!$C$86,Inputs!$C$87*M115)))</f>
        <v/>
      </c>
      <c r="AG116" s="51">
        <f>IF(A116&gt;Inputs!$C$62,"",MIN(0.5,MAX(0, Inputs!$C$67*L116 + Inputs!$C$68*(1-K116) + Inputs!$C$69*Inputs!$C$10)))</f>
        <v/>
      </c>
      <c r="AH116" s="51">
        <f>IF(A116&gt;Inputs!$C$62,"",INDEX(CapacityPlan!$G$7:$G$266,A116))</f>
        <v/>
      </c>
      <c r="AI116" s="54">
        <f>IF(A116&gt;Inputs!$C$62,"",INDEX(CapacityPlan!$J$7:$J$266,A116))</f>
        <v/>
      </c>
      <c r="AJ116" s="51">
        <f>IF(A116&gt;Inputs!$C$62,"",IF(I116=0,"",G116/I116))</f>
        <v/>
      </c>
    </row>
    <row r="117" ht="16" customHeight="1">
      <c r="A117" s="15" t="n">
        <v>95</v>
      </c>
      <c r="B117" s="50">
        <f>IF(A117&gt;Inputs!$C$62,"",IF(Inputs!$C$80=1,INDEX(Cohorts!$B$67:$B$326,A117),IF(A117=1,Inputs!$C$63,F116)))</f>
        <v/>
      </c>
      <c r="C117" s="50">
        <f>IF(A117&gt;Inputs!$C$62,"",IF(Inputs!$C$85=0,Inputs!$C$64,MIN(Inputs!$C$91,IF(AE117=0,0,AF117/AE117))))</f>
        <v/>
      </c>
      <c r="D117" s="51">
        <f>IF(A117&gt;Inputs!$C$62,"",IF(Inputs!$C$80=1,INDEX(Cohorts!$G$67:$G$326,A117),MAX(0, Inputs!$C$66 + Inputs!$C$67*L117 + Inputs!$C$68*(1-K117) + Inputs!$C$69*Inputs!$C$10)))</f>
        <v/>
      </c>
      <c r="E117" s="50">
        <f>IF(A117&gt;Inputs!$C$62,"",IF(Inputs!$C$80=1,INDEX(Cohorts!$H$67:$H$326,A117),D117*AD117))</f>
        <v/>
      </c>
      <c r="F117" s="50">
        <f>IF(A117&gt;Inputs!$C$62,"",IF(Inputs!$C$80=1,INDEX(Cohorts!$I$67:$I$326,A117),AD117-E117))</f>
        <v/>
      </c>
      <c r="G117" s="50">
        <f>IF(A117&gt;Inputs!$C$62,"",AD117)</f>
        <v/>
      </c>
      <c r="H117" s="50">
        <f>IF(A117&gt;Inputs!$C$62,"",INDEX(CapacityPlan!$E$7:$E$266,A117))</f>
        <v/>
      </c>
      <c r="I117" s="50">
        <f>IF(A117&gt;Inputs!$C$62,"",INDEX(CapacityPlan!$I$7:$I$266,A117))</f>
        <v/>
      </c>
      <c r="J117" s="50">
        <f>IF(A117&gt;Inputs!$C$62,"",IF(G117&gt;I117,I117,G117))</f>
        <v/>
      </c>
      <c r="K117" s="51">
        <f>IF(A117&gt;Inputs!$C$62,"",IF(G117=0,1,J117/G117))</f>
        <v/>
      </c>
      <c r="L117" s="51">
        <f>IF((Inputs!$C$36 + UnitEconomics!$B$12*Inputs!$C$37 + Inputs!$C$10*Inputs!$C$38 + Inputs!$C$70*(1-K117))&gt;1,1,(Inputs!$C$36 + UnitEconomics!$B$12*Inputs!$C$37 + Inputs!$C$10*Inputs!$C$38 + Inputs!$C$70*(1-K117)))</f>
        <v/>
      </c>
      <c r="M117" s="52">
        <f>IF(A117&gt;Inputs!$C$62,"",J117*Inputs!$C$7*(1-Inputs!$C$8)*(1-L117))</f>
        <v/>
      </c>
      <c r="N117" s="52">
        <f>IF(A117&gt;Inputs!$C$62,"",J117*UnitEconomics!$B$32*AI117 + (G117-J117)*Inputs!$C$71)</f>
        <v/>
      </c>
      <c r="O117" s="52">
        <f>M117-N117</f>
        <v/>
      </c>
      <c r="P117" s="52">
        <f>IF(A117&gt;Inputs!$C$62,"",Inputs!$C$40 + H117*Inputs!$C$41)</f>
        <v/>
      </c>
      <c r="Q117" s="52">
        <f>O117-P117</f>
        <v/>
      </c>
      <c r="R117" s="50">
        <f>IF(A117&gt;Inputs!$C$62,"",AD117*Inputs!$C$16*(Inputs!$C$9 + Inputs!$C$10*Inputs!$C$11 + Inputs!$C$12)*(1 + VLOOKUP(Inputs!$C$15,Lookups!$A$2:$B$20,2,TRUE)*(Scale!$B$9/IF(Scale!$B$8=0,1,Scale!$B$8)) + Inputs!$C$52))</f>
        <v/>
      </c>
      <c r="S117" s="50">
        <f>IF(A117=1,Scale!$B$13, W116)</f>
        <v/>
      </c>
      <c r="T117" s="50">
        <f>J117*Inputs!$C$16*(Inputs!$C$19 + Inputs!$C$20*Inputs!$C$21 + 1/Inputs!$C$18)</f>
        <v/>
      </c>
      <c r="U117" s="50">
        <f>MAX(0, (R117*(1+Inputs!$C$74)) - (S117 - T117))</f>
        <v/>
      </c>
      <c r="V117" s="50">
        <f>IF(A117&lt;=Inputs!$C$73,0,INDEX(U:U,ROW()-Inputs!$C$73))</f>
        <v/>
      </c>
      <c r="W117" s="50">
        <f>S117 - T117 + V117</f>
        <v/>
      </c>
      <c r="X117" s="52">
        <f>V117*Inputs!$C$17</f>
        <v/>
      </c>
      <c r="Y117" s="52">
        <f>IF(A117&gt;Inputs!$C$62,"",C117*AE117)</f>
        <v/>
      </c>
      <c r="Z117" s="52">
        <f>IF(A117=1,Inputs!$C$72,AA116)</f>
        <v/>
      </c>
      <c r="AA117" s="52">
        <f>Z117 + M117 - N117 - P117 - X117 - Y117</f>
        <v/>
      </c>
      <c r="AB117" s="53">
        <f>IF(AA117&lt;0,1,0)</f>
        <v/>
      </c>
      <c r="AC117" s="54">
        <f>IF(AD117=0,0,R117/(AD117*Inputs!$C$16))</f>
        <v/>
      </c>
      <c r="AD117" s="53">
        <f>IF(A117&gt;Inputs!$C$62,"",B117+C117)</f>
        <v/>
      </c>
      <c r="AE117" s="56">
        <f>IF(A117&gt;Inputs!$C$62,"", Inputs!$C$65*(1+Inputs!$C$89*POWER(MIN(1,IF(Inputs!$C$88=0,0,B117/Inputs!$C$88)),Inputs!$C$90)))</f>
        <v/>
      </c>
      <c r="AF117" s="52">
        <f>IF(A117&gt;Inputs!$C$62,"",IF(A117=1,Inputs!$C$86,MIN(Inputs!$C$86,Inputs!$C$87*M116)))</f>
        <v/>
      </c>
      <c r="AG117" s="51">
        <f>IF(A117&gt;Inputs!$C$62,"",MIN(0.5,MAX(0, Inputs!$C$67*L117 + Inputs!$C$68*(1-K117) + Inputs!$C$69*Inputs!$C$10)))</f>
        <v/>
      </c>
      <c r="AH117" s="51">
        <f>IF(A117&gt;Inputs!$C$62,"",INDEX(CapacityPlan!$G$7:$G$266,A117))</f>
        <v/>
      </c>
      <c r="AI117" s="54">
        <f>IF(A117&gt;Inputs!$C$62,"",INDEX(CapacityPlan!$J$7:$J$266,A117))</f>
        <v/>
      </c>
      <c r="AJ117" s="51">
        <f>IF(A117&gt;Inputs!$C$62,"",IF(I117=0,"",G117/I117))</f>
        <v/>
      </c>
    </row>
    <row r="118" ht="16" customHeight="1">
      <c r="A118" s="15" t="n">
        <v>96</v>
      </c>
      <c r="B118" s="50">
        <f>IF(A118&gt;Inputs!$C$62,"",IF(Inputs!$C$80=1,INDEX(Cohorts!$B$67:$B$326,A118),IF(A118=1,Inputs!$C$63,F117)))</f>
        <v/>
      </c>
      <c r="C118" s="50">
        <f>IF(A118&gt;Inputs!$C$62,"",IF(Inputs!$C$85=0,Inputs!$C$64,MIN(Inputs!$C$91,IF(AE118=0,0,AF118/AE118))))</f>
        <v/>
      </c>
      <c r="D118" s="51">
        <f>IF(A118&gt;Inputs!$C$62,"",IF(Inputs!$C$80=1,INDEX(Cohorts!$G$67:$G$326,A118),MAX(0, Inputs!$C$66 + Inputs!$C$67*L118 + Inputs!$C$68*(1-K118) + Inputs!$C$69*Inputs!$C$10)))</f>
        <v/>
      </c>
      <c r="E118" s="50">
        <f>IF(A118&gt;Inputs!$C$62,"",IF(Inputs!$C$80=1,INDEX(Cohorts!$H$67:$H$326,A118),D118*AD118))</f>
        <v/>
      </c>
      <c r="F118" s="50">
        <f>IF(A118&gt;Inputs!$C$62,"",IF(Inputs!$C$80=1,INDEX(Cohorts!$I$67:$I$326,A118),AD118-E118))</f>
        <v/>
      </c>
      <c r="G118" s="50">
        <f>IF(A118&gt;Inputs!$C$62,"",AD118)</f>
        <v/>
      </c>
      <c r="H118" s="50">
        <f>IF(A118&gt;Inputs!$C$62,"",INDEX(CapacityPlan!$E$7:$E$266,A118))</f>
        <v/>
      </c>
      <c r="I118" s="50">
        <f>IF(A118&gt;Inputs!$C$62,"",INDEX(CapacityPlan!$I$7:$I$266,A118))</f>
        <v/>
      </c>
      <c r="J118" s="50">
        <f>IF(A118&gt;Inputs!$C$62,"",IF(G118&gt;I118,I118,G118))</f>
        <v/>
      </c>
      <c r="K118" s="51">
        <f>IF(A118&gt;Inputs!$C$62,"",IF(G118=0,1,J118/G118))</f>
        <v/>
      </c>
      <c r="L118" s="51">
        <f>IF((Inputs!$C$36 + UnitEconomics!$B$12*Inputs!$C$37 + Inputs!$C$10*Inputs!$C$38 + Inputs!$C$70*(1-K118))&gt;1,1,(Inputs!$C$36 + UnitEconomics!$B$12*Inputs!$C$37 + Inputs!$C$10*Inputs!$C$38 + Inputs!$C$70*(1-K118)))</f>
        <v/>
      </c>
      <c r="M118" s="52">
        <f>IF(A118&gt;Inputs!$C$62,"",J118*Inputs!$C$7*(1-Inputs!$C$8)*(1-L118))</f>
        <v/>
      </c>
      <c r="N118" s="52">
        <f>IF(A118&gt;Inputs!$C$62,"",J118*UnitEconomics!$B$32*AI118 + (G118-J118)*Inputs!$C$71)</f>
        <v/>
      </c>
      <c r="O118" s="52">
        <f>M118-N118</f>
        <v/>
      </c>
      <c r="P118" s="52">
        <f>IF(A118&gt;Inputs!$C$62,"",Inputs!$C$40 + H118*Inputs!$C$41)</f>
        <v/>
      </c>
      <c r="Q118" s="52">
        <f>O118-P118</f>
        <v/>
      </c>
      <c r="R118" s="50">
        <f>IF(A118&gt;Inputs!$C$62,"",AD118*Inputs!$C$16*(Inputs!$C$9 + Inputs!$C$10*Inputs!$C$11 + Inputs!$C$12)*(1 + VLOOKUP(Inputs!$C$15,Lookups!$A$2:$B$20,2,TRUE)*(Scale!$B$9/IF(Scale!$B$8=0,1,Scale!$B$8)) + Inputs!$C$52))</f>
        <v/>
      </c>
      <c r="S118" s="50">
        <f>IF(A118=1,Scale!$B$13, W117)</f>
        <v/>
      </c>
      <c r="T118" s="50">
        <f>J118*Inputs!$C$16*(Inputs!$C$19 + Inputs!$C$20*Inputs!$C$21 + 1/Inputs!$C$18)</f>
        <v/>
      </c>
      <c r="U118" s="50">
        <f>MAX(0, (R118*(1+Inputs!$C$74)) - (S118 - T118))</f>
        <v/>
      </c>
      <c r="V118" s="50">
        <f>IF(A118&lt;=Inputs!$C$73,0,INDEX(U:U,ROW()-Inputs!$C$73))</f>
        <v/>
      </c>
      <c r="W118" s="50">
        <f>S118 - T118 + V118</f>
        <v/>
      </c>
      <c r="X118" s="52">
        <f>V118*Inputs!$C$17</f>
        <v/>
      </c>
      <c r="Y118" s="52">
        <f>IF(A118&gt;Inputs!$C$62,"",C118*AE118)</f>
        <v/>
      </c>
      <c r="Z118" s="52">
        <f>IF(A118=1,Inputs!$C$72,AA117)</f>
        <v/>
      </c>
      <c r="AA118" s="52">
        <f>Z118 + M118 - N118 - P118 - X118 - Y118</f>
        <v/>
      </c>
      <c r="AB118" s="53">
        <f>IF(AA118&lt;0,1,0)</f>
        <v/>
      </c>
      <c r="AC118" s="54">
        <f>IF(AD118=0,0,R118/(AD118*Inputs!$C$16))</f>
        <v/>
      </c>
      <c r="AD118" s="53">
        <f>IF(A118&gt;Inputs!$C$62,"",B118+C118)</f>
        <v/>
      </c>
      <c r="AE118" s="56">
        <f>IF(A118&gt;Inputs!$C$62,"", Inputs!$C$65*(1+Inputs!$C$89*POWER(MIN(1,IF(Inputs!$C$88=0,0,B118/Inputs!$C$88)),Inputs!$C$90)))</f>
        <v/>
      </c>
      <c r="AF118" s="52">
        <f>IF(A118&gt;Inputs!$C$62,"",IF(A118=1,Inputs!$C$86,MIN(Inputs!$C$86,Inputs!$C$87*M117)))</f>
        <v/>
      </c>
      <c r="AG118" s="51">
        <f>IF(A118&gt;Inputs!$C$62,"",MIN(0.5,MAX(0, Inputs!$C$67*L118 + Inputs!$C$68*(1-K118) + Inputs!$C$69*Inputs!$C$10)))</f>
        <v/>
      </c>
      <c r="AH118" s="51">
        <f>IF(A118&gt;Inputs!$C$62,"",INDEX(CapacityPlan!$G$7:$G$266,A118))</f>
        <v/>
      </c>
      <c r="AI118" s="54">
        <f>IF(A118&gt;Inputs!$C$62,"",INDEX(CapacityPlan!$J$7:$J$266,A118))</f>
        <v/>
      </c>
      <c r="AJ118" s="51">
        <f>IF(A118&gt;Inputs!$C$62,"",IF(I118=0,"",G118/I118))</f>
        <v/>
      </c>
    </row>
    <row r="119" ht="16" customHeight="1">
      <c r="A119" s="15" t="n">
        <v>97</v>
      </c>
      <c r="B119" s="50">
        <f>IF(A119&gt;Inputs!$C$62,"",IF(Inputs!$C$80=1,INDEX(Cohorts!$B$67:$B$326,A119),IF(A119=1,Inputs!$C$63,F118)))</f>
        <v/>
      </c>
      <c r="C119" s="50">
        <f>IF(A119&gt;Inputs!$C$62,"",IF(Inputs!$C$85=0,Inputs!$C$64,MIN(Inputs!$C$91,IF(AE119=0,0,AF119/AE119))))</f>
        <v/>
      </c>
      <c r="D119" s="51">
        <f>IF(A119&gt;Inputs!$C$62,"",IF(Inputs!$C$80=1,INDEX(Cohorts!$G$67:$G$326,A119),MAX(0, Inputs!$C$66 + Inputs!$C$67*L119 + Inputs!$C$68*(1-K119) + Inputs!$C$69*Inputs!$C$10)))</f>
        <v/>
      </c>
      <c r="E119" s="50">
        <f>IF(A119&gt;Inputs!$C$62,"",IF(Inputs!$C$80=1,INDEX(Cohorts!$H$67:$H$326,A119),D119*AD119))</f>
        <v/>
      </c>
      <c r="F119" s="50">
        <f>IF(A119&gt;Inputs!$C$62,"",IF(Inputs!$C$80=1,INDEX(Cohorts!$I$67:$I$326,A119),AD119-E119))</f>
        <v/>
      </c>
      <c r="G119" s="50">
        <f>IF(A119&gt;Inputs!$C$62,"",AD119)</f>
        <v/>
      </c>
      <c r="H119" s="50">
        <f>IF(A119&gt;Inputs!$C$62,"",INDEX(CapacityPlan!$E$7:$E$266,A119))</f>
        <v/>
      </c>
      <c r="I119" s="50">
        <f>IF(A119&gt;Inputs!$C$62,"",INDEX(CapacityPlan!$I$7:$I$266,A119))</f>
        <v/>
      </c>
      <c r="J119" s="50">
        <f>IF(A119&gt;Inputs!$C$62,"",IF(G119&gt;I119,I119,G119))</f>
        <v/>
      </c>
      <c r="K119" s="51">
        <f>IF(A119&gt;Inputs!$C$62,"",IF(G119=0,1,J119/G119))</f>
        <v/>
      </c>
      <c r="L119" s="51">
        <f>IF((Inputs!$C$36 + UnitEconomics!$B$12*Inputs!$C$37 + Inputs!$C$10*Inputs!$C$38 + Inputs!$C$70*(1-K119))&gt;1,1,(Inputs!$C$36 + UnitEconomics!$B$12*Inputs!$C$37 + Inputs!$C$10*Inputs!$C$38 + Inputs!$C$70*(1-K119)))</f>
        <v/>
      </c>
      <c r="M119" s="52">
        <f>IF(A119&gt;Inputs!$C$62,"",J119*Inputs!$C$7*(1-Inputs!$C$8)*(1-L119))</f>
        <v/>
      </c>
      <c r="N119" s="52">
        <f>IF(A119&gt;Inputs!$C$62,"",J119*UnitEconomics!$B$32*AI119 + (G119-J119)*Inputs!$C$71)</f>
        <v/>
      </c>
      <c r="O119" s="52">
        <f>M119-N119</f>
        <v/>
      </c>
      <c r="P119" s="52">
        <f>IF(A119&gt;Inputs!$C$62,"",Inputs!$C$40 + H119*Inputs!$C$41)</f>
        <v/>
      </c>
      <c r="Q119" s="52">
        <f>O119-P119</f>
        <v/>
      </c>
      <c r="R119" s="50">
        <f>IF(A119&gt;Inputs!$C$62,"",AD119*Inputs!$C$16*(Inputs!$C$9 + Inputs!$C$10*Inputs!$C$11 + Inputs!$C$12)*(1 + VLOOKUP(Inputs!$C$15,Lookups!$A$2:$B$20,2,TRUE)*(Scale!$B$9/IF(Scale!$B$8=0,1,Scale!$B$8)) + Inputs!$C$52))</f>
        <v/>
      </c>
      <c r="S119" s="50">
        <f>IF(A119=1,Scale!$B$13, W118)</f>
        <v/>
      </c>
      <c r="T119" s="50">
        <f>J119*Inputs!$C$16*(Inputs!$C$19 + Inputs!$C$20*Inputs!$C$21 + 1/Inputs!$C$18)</f>
        <v/>
      </c>
      <c r="U119" s="50">
        <f>MAX(0, (R119*(1+Inputs!$C$74)) - (S119 - T119))</f>
        <v/>
      </c>
      <c r="V119" s="50">
        <f>IF(A119&lt;=Inputs!$C$73,0,INDEX(U:U,ROW()-Inputs!$C$73))</f>
        <v/>
      </c>
      <c r="W119" s="50">
        <f>S119 - T119 + V119</f>
        <v/>
      </c>
      <c r="X119" s="52">
        <f>V119*Inputs!$C$17</f>
        <v/>
      </c>
      <c r="Y119" s="52">
        <f>IF(A119&gt;Inputs!$C$62,"",C119*AE119)</f>
        <v/>
      </c>
      <c r="Z119" s="52">
        <f>IF(A119=1,Inputs!$C$72,AA118)</f>
        <v/>
      </c>
      <c r="AA119" s="52">
        <f>Z119 + M119 - N119 - P119 - X119 - Y119</f>
        <v/>
      </c>
      <c r="AB119" s="53">
        <f>IF(AA119&lt;0,1,0)</f>
        <v/>
      </c>
      <c r="AC119" s="54">
        <f>IF(AD119=0,0,R119/(AD119*Inputs!$C$16))</f>
        <v/>
      </c>
      <c r="AD119" s="53">
        <f>IF(A119&gt;Inputs!$C$62,"",B119+C119)</f>
        <v/>
      </c>
      <c r="AE119" s="56">
        <f>IF(A119&gt;Inputs!$C$62,"", Inputs!$C$65*(1+Inputs!$C$89*POWER(MIN(1,IF(Inputs!$C$88=0,0,B119/Inputs!$C$88)),Inputs!$C$90)))</f>
        <v/>
      </c>
      <c r="AF119" s="52">
        <f>IF(A119&gt;Inputs!$C$62,"",IF(A119=1,Inputs!$C$86,MIN(Inputs!$C$86,Inputs!$C$87*M118)))</f>
        <v/>
      </c>
      <c r="AG119" s="51">
        <f>IF(A119&gt;Inputs!$C$62,"",MIN(0.5,MAX(0, Inputs!$C$67*L119 + Inputs!$C$68*(1-K119) + Inputs!$C$69*Inputs!$C$10)))</f>
        <v/>
      </c>
      <c r="AH119" s="51">
        <f>IF(A119&gt;Inputs!$C$62,"",INDEX(CapacityPlan!$G$7:$G$266,A119))</f>
        <v/>
      </c>
      <c r="AI119" s="54">
        <f>IF(A119&gt;Inputs!$C$62,"",INDEX(CapacityPlan!$J$7:$J$266,A119))</f>
        <v/>
      </c>
      <c r="AJ119" s="51">
        <f>IF(A119&gt;Inputs!$C$62,"",IF(I119=0,"",G119/I119))</f>
        <v/>
      </c>
    </row>
    <row r="120" ht="16" customHeight="1">
      <c r="A120" s="15" t="n">
        <v>98</v>
      </c>
      <c r="B120" s="50">
        <f>IF(A120&gt;Inputs!$C$62,"",IF(Inputs!$C$80=1,INDEX(Cohorts!$B$67:$B$326,A120),IF(A120=1,Inputs!$C$63,F119)))</f>
        <v/>
      </c>
      <c r="C120" s="50">
        <f>IF(A120&gt;Inputs!$C$62,"",IF(Inputs!$C$85=0,Inputs!$C$64,MIN(Inputs!$C$91,IF(AE120=0,0,AF120/AE120))))</f>
        <v/>
      </c>
      <c r="D120" s="51">
        <f>IF(A120&gt;Inputs!$C$62,"",IF(Inputs!$C$80=1,INDEX(Cohorts!$G$67:$G$326,A120),MAX(0, Inputs!$C$66 + Inputs!$C$67*L120 + Inputs!$C$68*(1-K120) + Inputs!$C$69*Inputs!$C$10)))</f>
        <v/>
      </c>
      <c r="E120" s="50">
        <f>IF(A120&gt;Inputs!$C$62,"",IF(Inputs!$C$80=1,INDEX(Cohorts!$H$67:$H$326,A120),D120*AD120))</f>
        <v/>
      </c>
      <c r="F120" s="50">
        <f>IF(A120&gt;Inputs!$C$62,"",IF(Inputs!$C$80=1,INDEX(Cohorts!$I$67:$I$326,A120),AD120-E120))</f>
        <v/>
      </c>
      <c r="G120" s="50">
        <f>IF(A120&gt;Inputs!$C$62,"",AD120)</f>
        <v/>
      </c>
      <c r="H120" s="50">
        <f>IF(A120&gt;Inputs!$C$62,"",INDEX(CapacityPlan!$E$7:$E$266,A120))</f>
        <v/>
      </c>
      <c r="I120" s="50">
        <f>IF(A120&gt;Inputs!$C$62,"",INDEX(CapacityPlan!$I$7:$I$266,A120))</f>
        <v/>
      </c>
      <c r="J120" s="50">
        <f>IF(A120&gt;Inputs!$C$62,"",IF(G120&gt;I120,I120,G120))</f>
        <v/>
      </c>
      <c r="K120" s="51">
        <f>IF(A120&gt;Inputs!$C$62,"",IF(G120=0,1,J120/G120))</f>
        <v/>
      </c>
      <c r="L120" s="51">
        <f>IF((Inputs!$C$36 + UnitEconomics!$B$12*Inputs!$C$37 + Inputs!$C$10*Inputs!$C$38 + Inputs!$C$70*(1-K120))&gt;1,1,(Inputs!$C$36 + UnitEconomics!$B$12*Inputs!$C$37 + Inputs!$C$10*Inputs!$C$38 + Inputs!$C$70*(1-K120)))</f>
        <v/>
      </c>
      <c r="M120" s="52">
        <f>IF(A120&gt;Inputs!$C$62,"",J120*Inputs!$C$7*(1-Inputs!$C$8)*(1-L120))</f>
        <v/>
      </c>
      <c r="N120" s="52">
        <f>IF(A120&gt;Inputs!$C$62,"",J120*UnitEconomics!$B$32*AI120 + (G120-J120)*Inputs!$C$71)</f>
        <v/>
      </c>
      <c r="O120" s="52">
        <f>M120-N120</f>
        <v/>
      </c>
      <c r="P120" s="52">
        <f>IF(A120&gt;Inputs!$C$62,"",Inputs!$C$40 + H120*Inputs!$C$41)</f>
        <v/>
      </c>
      <c r="Q120" s="52">
        <f>O120-P120</f>
        <v/>
      </c>
      <c r="R120" s="50">
        <f>IF(A120&gt;Inputs!$C$62,"",AD120*Inputs!$C$16*(Inputs!$C$9 + Inputs!$C$10*Inputs!$C$11 + Inputs!$C$12)*(1 + VLOOKUP(Inputs!$C$15,Lookups!$A$2:$B$20,2,TRUE)*(Scale!$B$9/IF(Scale!$B$8=0,1,Scale!$B$8)) + Inputs!$C$52))</f>
        <v/>
      </c>
      <c r="S120" s="50">
        <f>IF(A120=1,Scale!$B$13, W119)</f>
        <v/>
      </c>
      <c r="T120" s="50">
        <f>J120*Inputs!$C$16*(Inputs!$C$19 + Inputs!$C$20*Inputs!$C$21 + 1/Inputs!$C$18)</f>
        <v/>
      </c>
      <c r="U120" s="50">
        <f>MAX(0, (R120*(1+Inputs!$C$74)) - (S120 - T120))</f>
        <v/>
      </c>
      <c r="V120" s="50">
        <f>IF(A120&lt;=Inputs!$C$73,0,INDEX(U:U,ROW()-Inputs!$C$73))</f>
        <v/>
      </c>
      <c r="W120" s="50">
        <f>S120 - T120 + V120</f>
        <v/>
      </c>
      <c r="X120" s="52">
        <f>V120*Inputs!$C$17</f>
        <v/>
      </c>
      <c r="Y120" s="52">
        <f>IF(A120&gt;Inputs!$C$62,"",C120*AE120)</f>
        <v/>
      </c>
      <c r="Z120" s="52">
        <f>IF(A120=1,Inputs!$C$72,AA119)</f>
        <v/>
      </c>
      <c r="AA120" s="52">
        <f>Z120 + M120 - N120 - P120 - X120 - Y120</f>
        <v/>
      </c>
      <c r="AB120" s="53">
        <f>IF(AA120&lt;0,1,0)</f>
        <v/>
      </c>
      <c r="AC120" s="54">
        <f>IF(AD120=0,0,R120/(AD120*Inputs!$C$16))</f>
        <v/>
      </c>
      <c r="AD120" s="53">
        <f>IF(A120&gt;Inputs!$C$62,"",B120+C120)</f>
        <v/>
      </c>
      <c r="AE120" s="56">
        <f>IF(A120&gt;Inputs!$C$62,"", Inputs!$C$65*(1+Inputs!$C$89*POWER(MIN(1,IF(Inputs!$C$88=0,0,B120/Inputs!$C$88)),Inputs!$C$90)))</f>
        <v/>
      </c>
      <c r="AF120" s="52">
        <f>IF(A120&gt;Inputs!$C$62,"",IF(A120=1,Inputs!$C$86,MIN(Inputs!$C$86,Inputs!$C$87*M119)))</f>
        <v/>
      </c>
      <c r="AG120" s="51">
        <f>IF(A120&gt;Inputs!$C$62,"",MIN(0.5,MAX(0, Inputs!$C$67*L120 + Inputs!$C$68*(1-K120) + Inputs!$C$69*Inputs!$C$10)))</f>
        <v/>
      </c>
      <c r="AH120" s="51">
        <f>IF(A120&gt;Inputs!$C$62,"",INDEX(CapacityPlan!$G$7:$G$266,A120))</f>
        <v/>
      </c>
      <c r="AI120" s="54">
        <f>IF(A120&gt;Inputs!$C$62,"",INDEX(CapacityPlan!$J$7:$J$266,A120))</f>
        <v/>
      </c>
      <c r="AJ120" s="51">
        <f>IF(A120&gt;Inputs!$C$62,"",IF(I120=0,"",G120/I120))</f>
        <v/>
      </c>
    </row>
    <row r="121" ht="16" customHeight="1">
      <c r="A121" s="15" t="n">
        <v>99</v>
      </c>
      <c r="B121" s="50">
        <f>IF(A121&gt;Inputs!$C$62,"",IF(Inputs!$C$80=1,INDEX(Cohorts!$B$67:$B$326,A121),IF(A121=1,Inputs!$C$63,F120)))</f>
        <v/>
      </c>
      <c r="C121" s="50">
        <f>IF(A121&gt;Inputs!$C$62,"",IF(Inputs!$C$85=0,Inputs!$C$64,MIN(Inputs!$C$91,IF(AE121=0,0,AF121/AE121))))</f>
        <v/>
      </c>
      <c r="D121" s="51">
        <f>IF(A121&gt;Inputs!$C$62,"",IF(Inputs!$C$80=1,INDEX(Cohorts!$G$67:$G$326,A121),MAX(0, Inputs!$C$66 + Inputs!$C$67*L121 + Inputs!$C$68*(1-K121) + Inputs!$C$69*Inputs!$C$10)))</f>
        <v/>
      </c>
      <c r="E121" s="50">
        <f>IF(A121&gt;Inputs!$C$62,"",IF(Inputs!$C$80=1,INDEX(Cohorts!$H$67:$H$326,A121),D121*AD121))</f>
        <v/>
      </c>
      <c r="F121" s="50">
        <f>IF(A121&gt;Inputs!$C$62,"",IF(Inputs!$C$80=1,INDEX(Cohorts!$I$67:$I$326,A121),AD121-E121))</f>
        <v/>
      </c>
      <c r="G121" s="50">
        <f>IF(A121&gt;Inputs!$C$62,"",AD121)</f>
        <v/>
      </c>
      <c r="H121" s="50">
        <f>IF(A121&gt;Inputs!$C$62,"",INDEX(CapacityPlan!$E$7:$E$266,A121))</f>
        <v/>
      </c>
      <c r="I121" s="50">
        <f>IF(A121&gt;Inputs!$C$62,"",INDEX(CapacityPlan!$I$7:$I$266,A121))</f>
        <v/>
      </c>
      <c r="J121" s="50">
        <f>IF(A121&gt;Inputs!$C$62,"",IF(G121&gt;I121,I121,G121))</f>
        <v/>
      </c>
      <c r="K121" s="51">
        <f>IF(A121&gt;Inputs!$C$62,"",IF(G121=0,1,J121/G121))</f>
        <v/>
      </c>
      <c r="L121" s="51">
        <f>IF((Inputs!$C$36 + UnitEconomics!$B$12*Inputs!$C$37 + Inputs!$C$10*Inputs!$C$38 + Inputs!$C$70*(1-K121))&gt;1,1,(Inputs!$C$36 + UnitEconomics!$B$12*Inputs!$C$37 + Inputs!$C$10*Inputs!$C$38 + Inputs!$C$70*(1-K121)))</f>
        <v/>
      </c>
      <c r="M121" s="52">
        <f>IF(A121&gt;Inputs!$C$62,"",J121*Inputs!$C$7*(1-Inputs!$C$8)*(1-L121))</f>
        <v/>
      </c>
      <c r="N121" s="52">
        <f>IF(A121&gt;Inputs!$C$62,"",J121*UnitEconomics!$B$32*AI121 + (G121-J121)*Inputs!$C$71)</f>
        <v/>
      </c>
      <c r="O121" s="52">
        <f>M121-N121</f>
        <v/>
      </c>
      <c r="P121" s="52">
        <f>IF(A121&gt;Inputs!$C$62,"",Inputs!$C$40 + H121*Inputs!$C$41)</f>
        <v/>
      </c>
      <c r="Q121" s="52">
        <f>O121-P121</f>
        <v/>
      </c>
      <c r="R121" s="50">
        <f>IF(A121&gt;Inputs!$C$62,"",AD121*Inputs!$C$16*(Inputs!$C$9 + Inputs!$C$10*Inputs!$C$11 + Inputs!$C$12)*(1 + VLOOKUP(Inputs!$C$15,Lookups!$A$2:$B$20,2,TRUE)*(Scale!$B$9/IF(Scale!$B$8=0,1,Scale!$B$8)) + Inputs!$C$52))</f>
        <v/>
      </c>
      <c r="S121" s="50">
        <f>IF(A121=1,Scale!$B$13, W120)</f>
        <v/>
      </c>
      <c r="T121" s="50">
        <f>J121*Inputs!$C$16*(Inputs!$C$19 + Inputs!$C$20*Inputs!$C$21 + 1/Inputs!$C$18)</f>
        <v/>
      </c>
      <c r="U121" s="50">
        <f>MAX(0, (R121*(1+Inputs!$C$74)) - (S121 - T121))</f>
        <v/>
      </c>
      <c r="V121" s="50">
        <f>IF(A121&lt;=Inputs!$C$73,0,INDEX(U:U,ROW()-Inputs!$C$73))</f>
        <v/>
      </c>
      <c r="W121" s="50">
        <f>S121 - T121 + V121</f>
        <v/>
      </c>
      <c r="X121" s="52">
        <f>V121*Inputs!$C$17</f>
        <v/>
      </c>
      <c r="Y121" s="52">
        <f>IF(A121&gt;Inputs!$C$62,"",C121*AE121)</f>
        <v/>
      </c>
      <c r="Z121" s="52">
        <f>IF(A121=1,Inputs!$C$72,AA120)</f>
        <v/>
      </c>
      <c r="AA121" s="52">
        <f>Z121 + M121 - N121 - P121 - X121 - Y121</f>
        <v/>
      </c>
      <c r="AB121" s="53">
        <f>IF(AA121&lt;0,1,0)</f>
        <v/>
      </c>
      <c r="AC121" s="54">
        <f>IF(AD121=0,0,R121/(AD121*Inputs!$C$16))</f>
        <v/>
      </c>
      <c r="AD121" s="53">
        <f>IF(A121&gt;Inputs!$C$62,"",B121+C121)</f>
        <v/>
      </c>
      <c r="AE121" s="56">
        <f>IF(A121&gt;Inputs!$C$62,"", Inputs!$C$65*(1+Inputs!$C$89*POWER(MIN(1,IF(Inputs!$C$88=0,0,B121/Inputs!$C$88)),Inputs!$C$90)))</f>
        <v/>
      </c>
      <c r="AF121" s="52">
        <f>IF(A121&gt;Inputs!$C$62,"",IF(A121=1,Inputs!$C$86,MIN(Inputs!$C$86,Inputs!$C$87*M120)))</f>
        <v/>
      </c>
      <c r="AG121" s="51">
        <f>IF(A121&gt;Inputs!$C$62,"",MIN(0.5,MAX(0, Inputs!$C$67*L121 + Inputs!$C$68*(1-K121) + Inputs!$C$69*Inputs!$C$10)))</f>
        <v/>
      </c>
      <c r="AH121" s="51">
        <f>IF(A121&gt;Inputs!$C$62,"",INDEX(CapacityPlan!$G$7:$G$266,A121))</f>
        <v/>
      </c>
      <c r="AI121" s="54">
        <f>IF(A121&gt;Inputs!$C$62,"",INDEX(CapacityPlan!$J$7:$J$266,A121))</f>
        <v/>
      </c>
      <c r="AJ121" s="51">
        <f>IF(A121&gt;Inputs!$C$62,"",IF(I121=0,"",G121/I121))</f>
        <v/>
      </c>
    </row>
    <row r="122" ht="16" customHeight="1">
      <c r="A122" s="15" t="n">
        <v>100</v>
      </c>
      <c r="B122" s="50">
        <f>IF(A122&gt;Inputs!$C$62,"",IF(Inputs!$C$80=1,INDEX(Cohorts!$B$67:$B$326,A122),IF(A122=1,Inputs!$C$63,F121)))</f>
        <v/>
      </c>
      <c r="C122" s="50">
        <f>IF(A122&gt;Inputs!$C$62,"",IF(Inputs!$C$85=0,Inputs!$C$64,MIN(Inputs!$C$91,IF(AE122=0,0,AF122/AE122))))</f>
        <v/>
      </c>
      <c r="D122" s="51">
        <f>IF(A122&gt;Inputs!$C$62,"",IF(Inputs!$C$80=1,INDEX(Cohorts!$G$67:$G$326,A122),MAX(0, Inputs!$C$66 + Inputs!$C$67*L122 + Inputs!$C$68*(1-K122) + Inputs!$C$69*Inputs!$C$10)))</f>
        <v/>
      </c>
      <c r="E122" s="50">
        <f>IF(A122&gt;Inputs!$C$62,"",IF(Inputs!$C$80=1,INDEX(Cohorts!$H$67:$H$326,A122),D122*AD122))</f>
        <v/>
      </c>
      <c r="F122" s="50">
        <f>IF(A122&gt;Inputs!$C$62,"",IF(Inputs!$C$80=1,INDEX(Cohorts!$I$67:$I$326,A122),AD122-E122))</f>
        <v/>
      </c>
      <c r="G122" s="50">
        <f>IF(A122&gt;Inputs!$C$62,"",AD122)</f>
        <v/>
      </c>
      <c r="H122" s="50">
        <f>IF(A122&gt;Inputs!$C$62,"",INDEX(CapacityPlan!$E$7:$E$266,A122))</f>
        <v/>
      </c>
      <c r="I122" s="50">
        <f>IF(A122&gt;Inputs!$C$62,"",INDEX(CapacityPlan!$I$7:$I$266,A122))</f>
        <v/>
      </c>
      <c r="J122" s="50">
        <f>IF(A122&gt;Inputs!$C$62,"",IF(G122&gt;I122,I122,G122))</f>
        <v/>
      </c>
      <c r="K122" s="51">
        <f>IF(A122&gt;Inputs!$C$62,"",IF(G122=0,1,J122/G122))</f>
        <v/>
      </c>
      <c r="L122" s="51">
        <f>IF((Inputs!$C$36 + UnitEconomics!$B$12*Inputs!$C$37 + Inputs!$C$10*Inputs!$C$38 + Inputs!$C$70*(1-K122))&gt;1,1,(Inputs!$C$36 + UnitEconomics!$B$12*Inputs!$C$37 + Inputs!$C$10*Inputs!$C$38 + Inputs!$C$70*(1-K122)))</f>
        <v/>
      </c>
      <c r="M122" s="52">
        <f>IF(A122&gt;Inputs!$C$62,"",J122*Inputs!$C$7*(1-Inputs!$C$8)*(1-L122))</f>
        <v/>
      </c>
      <c r="N122" s="52">
        <f>IF(A122&gt;Inputs!$C$62,"",J122*UnitEconomics!$B$32*AI122 + (G122-J122)*Inputs!$C$71)</f>
        <v/>
      </c>
      <c r="O122" s="52">
        <f>M122-N122</f>
        <v/>
      </c>
      <c r="P122" s="52">
        <f>IF(A122&gt;Inputs!$C$62,"",Inputs!$C$40 + H122*Inputs!$C$41)</f>
        <v/>
      </c>
      <c r="Q122" s="52">
        <f>O122-P122</f>
        <v/>
      </c>
      <c r="R122" s="50">
        <f>IF(A122&gt;Inputs!$C$62,"",AD122*Inputs!$C$16*(Inputs!$C$9 + Inputs!$C$10*Inputs!$C$11 + Inputs!$C$12)*(1 + VLOOKUP(Inputs!$C$15,Lookups!$A$2:$B$20,2,TRUE)*(Scale!$B$9/IF(Scale!$B$8=0,1,Scale!$B$8)) + Inputs!$C$52))</f>
        <v/>
      </c>
      <c r="S122" s="50">
        <f>IF(A122=1,Scale!$B$13, W121)</f>
        <v/>
      </c>
      <c r="T122" s="50">
        <f>J122*Inputs!$C$16*(Inputs!$C$19 + Inputs!$C$20*Inputs!$C$21 + 1/Inputs!$C$18)</f>
        <v/>
      </c>
      <c r="U122" s="50">
        <f>MAX(0, (R122*(1+Inputs!$C$74)) - (S122 - T122))</f>
        <v/>
      </c>
      <c r="V122" s="50">
        <f>IF(A122&lt;=Inputs!$C$73,0,INDEX(U:U,ROW()-Inputs!$C$73))</f>
        <v/>
      </c>
      <c r="W122" s="50">
        <f>S122 - T122 + V122</f>
        <v/>
      </c>
      <c r="X122" s="52">
        <f>V122*Inputs!$C$17</f>
        <v/>
      </c>
      <c r="Y122" s="52">
        <f>IF(A122&gt;Inputs!$C$62,"",C122*AE122)</f>
        <v/>
      </c>
      <c r="Z122" s="52">
        <f>IF(A122=1,Inputs!$C$72,AA121)</f>
        <v/>
      </c>
      <c r="AA122" s="52">
        <f>Z122 + M122 - N122 - P122 - X122 - Y122</f>
        <v/>
      </c>
      <c r="AB122" s="53">
        <f>IF(AA122&lt;0,1,0)</f>
        <v/>
      </c>
      <c r="AC122" s="54">
        <f>IF(AD122=0,0,R122/(AD122*Inputs!$C$16))</f>
        <v/>
      </c>
      <c r="AD122" s="53">
        <f>IF(A122&gt;Inputs!$C$62,"",B122+C122)</f>
        <v/>
      </c>
      <c r="AE122" s="56">
        <f>IF(A122&gt;Inputs!$C$62,"", Inputs!$C$65*(1+Inputs!$C$89*POWER(MIN(1,IF(Inputs!$C$88=0,0,B122/Inputs!$C$88)),Inputs!$C$90)))</f>
        <v/>
      </c>
      <c r="AF122" s="52">
        <f>IF(A122&gt;Inputs!$C$62,"",IF(A122=1,Inputs!$C$86,MIN(Inputs!$C$86,Inputs!$C$87*M121)))</f>
        <v/>
      </c>
      <c r="AG122" s="51">
        <f>IF(A122&gt;Inputs!$C$62,"",MIN(0.5,MAX(0, Inputs!$C$67*L122 + Inputs!$C$68*(1-K122) + Inputs!$C$69*Inputs!$C$10)))</f>
        <v/>
      </c>
      <c r="AH122" s="51">
        <f>IF(A122&gt;Inputs!$C$62,"",INDEX(CapacityPlan!$G$7:$G$266,A122))</f>
        <v/>
      </c>
      <c r="AI122" s="54">
        <f>IF(A122&gt;Inputs!$C$62,"",INDEX(CapacityPlan!$J$7:$J$266,A122))</f>
        <v/>
      </c>
      <c r="AJ122" s="51">
        <f>IF(A122&gt;Inputs!$C$62,"",IF(I122=0,"",G122/I122))</f>
        <v/>
      </c>
    </row>
    <row r="123" ht="16" customHeight="1">
      <c r="A123" s="15" t="n">
        <v>101</v>
      </c>
      <c r="B123" s="50">
        <f>IF(A123&gt;Inputs!$C$62,"",IF(Inputs!$C$80=1,INDEX(Cohorts!$B$67:$B$326,A123),IF(A123=1,Inputs!$C$63,F122)))</f>
        <v/>
      </c>
      <c r="C123" s="50">
        <f>IF(A123&gt;Inputs!$C$62,"",IF(Inputs!$C$85=0,Inputs!$C$64,MIN(Inputs!$C$91,IF(AE123=0,0,AF123/AE123))))</f>
        <v/>
      </c>
      <c r="D123" s="51">
        <f>IF(A123&gt;Inputs!$C$62,"",IF(Inputs!$C$80=1,INDEX(Cohorts!$G$67:$G$326,A123),MAX(0, Inputs!$C$66 + Inputs!$C$67*L123 + Inputs!$C$68*(1-K123) + Inputs!$C$69*Inputs!$C$10)))</f>
        <v/>
      </c>
      <c r="E123" s="50">
        <f>IF(A123&gt;Inputs!$C$62,"",IF(Inputs!$C$80=1,INDEX(Cohorts!$H$67:$H$326,A123),D123*AD123))</f>
        <v/>
      </c>
      <c r="F123" s="50">
        <f>IF(A123&gt;Inputs!$C$62,"",IF(Inputs!$C$80=1,INDEX(Cohorts!$I$67:$I$326,A123),AD123-E123))</f>
        <v/>
      </c>
      <c r="G123" s="50">
        <f>IF(A123&gt;Inputs!$C$62,"",AD123)</f>
        <v/>
      </c>
      <c r="H123" s="50">
        <f>IF(A123&gt;Inputs!$C$62,"",INDEX(CapacityPlan!$E$7:$E$266,A123))</f>
        <v/>
      </c>
      <c r="I123" s="50">
        <f>IF(A123&gt;Inputs!$C$62,"",INDEX(CapacityPlan!$I$7:$I$266,A123))</f>
        <v/>
      </c>
      <c r="J123" s="50">
        <f>IF(A123&gt;Inputs!$C$62,"",IF(G123&gt;I123,I123,G123))</f>
        <v/>
      </c>
      <c r="K123" s="51">
        <f>IF(A123&gt;Inputs!$C$62,"",IF(G123=0,1,J123/G123))</f>
        <v/>
      </c>
      <c r="L123" s="51">
        <f>IF((Inputs!$C$36 + UnitEconomics!$B$12*Inputs!$C$37 + Inputs!$C$10*Inputs!$C$38 + Inputs!$C$70*(1-K123))&gt;1,1,(Inputs!$C$36 + UnitEconomics!$B$12*Inputs!$C$37 + Inputs!$C$10*Inputs!$C$38 + Inputs!$C$70*(1-K123)))</f>
        <v/>
      </c>
      <c r="M123" s="52">
        <f>IF(A123&gt;Inputs!$C$62,"",J123*Inputs!$C$7*(1-Inputs!$C$8)*(1-L123))</f>
        <v/>
      </c>
      <c r="N123" s="52">
        <f>IF(A123&gt;Inputs!$C$62,"",J123*UnitEconomics!$B$32*AI123 + (G123-J123)*Inputs!$C$71)</f>
        <v/>
      </c>
      <c r="O123" s="52">
        <f>M123-N123</f>
        <v/>
      </c>
      <c r="P123" s="52">
        <f>IF(A123&gt;Inputs!$C$62,"",Inputs!$C$40 + H123*Inputs!$C$41)</f>
        <v/>
      </c>
      <c r="Q123" s="52">
        <f>O123-P123</f>
        <v/>
      </c>
      <c r="R123" s="50">
        <f>IF(A123&gt;Inputs!$C$62,"",AD123*Inputs!$C$16*(Inputs!$C$9 + Inputs!$C$10*Inputs!$C$11 + Inputs!$C$12)*(1 + VLOOKUP(Inputs!$C$15,Lookups!$A$2:$B$20,2,TRUE)*(Scale!$B$9/IF(Scale!$B$8=0,1,Scale!$B$8)) + Inputs!$C$52))</f>
        <v/>
      </c>
      <c r="S123" s="50">
        <f>IF(A123=1,Scale!$B$13, W122)</f>
        <v/>
      </c>
      <c r="T123" s="50">
        <f>J123*Inputs!$C$16*(Inputs!$C$19 + Inputs!$C$20*Inputs!$C$21 + 1/Inputs!$C$18)</f>
        <v/>
      </c>
      <c r="U123" s="50">
        <f>MAX(0, (R123*(1+Inputs!$C$74)) - (S123 - T123))</f>
        <v/>
      </c>
      <c r="V123" s="50">
        <f>IF(A123&lt;=Inputs!$C$73,0,INDEX(U:U,ROW()-Inputs!$C$73))</f>
        <v/>
      </c>
      <c r="W123" s="50">
        <f>S123 - T123 + V123</f>
        <v/>
      </c>
      <c r="X123" s="52">
        <f>V123*Inputs!$C$17</f>
        <v/>
      </c>
      <c r="Y123" s="52">
        <f>IF(A123&gt;Inputs!$C$62,"",C123*AE123)</f>
        <v/>
      </c>
      <c r="Z123" s="52">
        <f>IF(A123=1,Inputs!$C$72,AA122)</f>
        <v/>
      </c>
      <c r="AA123" s="52">
        <f>Z123 + M123 - N123 - P123 - X123 - Y123</f>
        <v/>
      </c>
      <c r="AB123" s="53">
        <f>IF(AA123&lt;0,1,0)</f>
        <v/>
      </c>
      <c r="AC123" s="54">
        <f>IF(AD123=0,0,R123/(AD123*Inputs!$C$16))</f>
        <v/>
      </c>
      <c r="AD123" s="53">
        <f>IF(A123&gt;Inputs!$C$62,"",B123+C123)</f>
        <v/>
      </c>
      <c r="AE123" s="56">
        <f>IF(A123&gt;Inputs!$C$62,"", Inputs!$C$65*(1+Inputs!$C$89*POWER(MIN(1,IF(Inputs!$C$88=0,0,B123/Inputs!$C$88)),Inputs!$C$90)))</f>
        <v/>
      </c>
      <c r="AF123" s="52">
        <f>IF(A123&gt;Inputs!$C$62,"",IF(A123=1,Inputs!$C$86,MIN(Inputs!$C$86,Inputs!$C$87*M122)))</f>
        <v/>
      </c>
      <c r="AG123" s="51">
        <f>IF(A123&gt;Inputs!$C$62,"",MIN(0.5,MAX(0, Inputs!$C$67*L123 + Inputs!$C$68*(1-K123) + Inputs!$C$69*Inputs!$C$10)))</f>
        <v/>
      </c>
      <c r="AH123" s="51">
        <f>IF(A123&gt;Inputs!$C$62,"",INDEX(CapacityPlan!$G$7:$G$266,A123))</f>
        <v/>
      </c>
      <c r="AI123" s="54">
        <f>IF(A123&gt;Inputs!$C$62,"",INDEX(CapacityPlan!$J$7:$J$266,A123))</f>
        <v/>
      </c>
      <c r="AJ123" s="51">
        <f>IF(A123&gt;Inputs!$C$62,"",IF(I123=0,"",G123/I123))</f>
        <v/>
      </c>
    </row>
    <row r="124" ht="16" customHeight="1">
      <c r="A124" s="15" t="n">
        <v>102</v>
      </c>
      <c r="B124" s="50">
        <f>IF(A124&gt;Inputs!$C$62,"",IF(Inputs!$C$80=1,INDEX(Cohorts!$B$67:$B$326,A124),IF(A124=1,Inputs!$C$63,F123)))</f>
        <v/>
      </c>
      <c r="C124" s="50">
        <f>IF(A124&gt;Inputs!$C$62,"",IF(Inputs!$C$85=0,Inputs!$C$64,MIN(Inputs!$C$91,IF(AE124=0,0,AF124/AE124))))</f>
        <v/>
      </c>
      <c r="D124" s="51">
        <f>IF(A124&gt;Inputs!$C$62,"",IF(Inputs!$C$80=1,INDEX(Cohorts!$G$67:$G$326,A124),MAX(0, Inputs!$C$66 + Inputs!$C$67*L124 + Inputs!$C$68*(1-K124) + Inputs!$C$69*Inputs!$C$10)))</f>
        <v/>
      </c>
      <c r="E124" s="50">
        <f>IF(A124&gt;Inputs!$C$62,"",IF(Inputs!$C$80=1,INDEX(Cohorts!$H$67:$H$326,A124),D124*AD124))</f>
        <v/>
      </c>
      <c r="F124" s="50">
        <f>IF(A124&gt;Inputs!$C$62,"",IF(Inputs!$C$80=1,INDEX(Cohorts!$I$67:$I$326,A124),AD124-E124))</f>
        <v/>
      </c>
      <c r="G124" s="50">
        <f>IF(A124&gt;Inputs!$C$62,"",AD124)</f>
        <v/>
      </c>
      <c r="H124" s="50">
        <f>IF(A124&gt;Inputs!$C$62,"",INDEX(CapacityPlan!$E$7:$E$266,A124))</f>
        <v/>
      </c>
      <c r="I124" s="50">
        <f>IF(A124&gt;Inputs!$C$62,"",INDEX(CapacityPlan!$I$7:$I$266,A124))</f>
        <v/>
      </c>
      <c r="J124" s="50">
        <f>IF(A124&gt;Inputs!$C$62,"",IF(G124&gt;I124,I124,G124))</f>
        <v/>
      </c>
      <c r="K124" s="51">
        <f>IF(A124&gt;Inputs!$C$62,"",IF(G124=0,1,J124/G124))</f>
        <v/>
      </c>
      <c r="L124" s="51">
        <f>IF((Inputs!$C$36 + UnitEconomics!$B$12*Inputs!$C$37 + Inputs!$C$10*Inputs!$C$38 + Inputs!$C$70*(1-K124))&gt;1,1,(Inputs!$C$36 + UnitEconomics!$B$12*Inputs!$C$37 + Inputs!$C$10*Inputs!$C$38 + Inputs!$C$70*(1-K124)))</f>
        <v/>
      </c>
      <c r="M124" s="52">
        <f>IF(A124&gt;Inputs!$C$62,"",J124*Inputs!$C$7*(1-Inputs!$C$8)*(1-L124))</f>
        <v/>
      </c>
      <c r="N124" s="52">
        <f>IF(A124&gt;Inputs!$C$62,"",J124*UnitEconomics!$B$32*AI124 + (G124-J124)*Inputs!$C$71)</f>
        <v/>
      </c>
      <c r="O124" s="52">
        <f>M124-N124</f>
        <v/>
      </c>
      <c r="P124" s="52">
        <f>IF(A124&gt;Inputs!$C$62,"",Inputs!$C$40 + H124*Inputs!$C$41)</f>
        <v/>
      </c>
      <c r="Q124" s="52">
        <f>O124-P124</f>
        <v/>
      </c>
      <c r="R124" s="50">
        <f>IF(A124&gt;Inputs!$C$62,"",AD124*Inputs!$C$16*(Inputs!$C$9 + Inputs!$C$10*Inputs!$C$11 + Inputs!$C$12)*(1 + VLOOKUP(Inputs!$C$15,Lookups!$A$2:$B$20,2,TRUE)*(Scale!$B$9/IF(Scale!$B$8=0,1,Scale!$B$8)) + Inputs!$C$52))</f>
        <v/>
      </c>
      <c r="S124" s="50">
        <f>IF(A124=1,Scale!$B$13, W123)</f>
        <v/>
      </c>
      <c r="T124" s="50">
        <f>J124*Inputs!$C$16*(Inputs!$C$19 + Inputs!$C$20*Inputs!$C$21 + 1/Inputs!$C$18)</f>
        <v/>
      </c>
      <c r="U124" s="50">
        <f>MAX(0, (R124*(1+Inputs!$C$74)) - (S124 - T124))</f>
        <v/>
      </c>
      <c r="V124" s="50">
        <f>IF(A124&lt;=Inputs!$C$73,0,INDEX(U:U,ROW()-Inputs!$C$73))</f>
        <v/>
      </c>
      <c r="W124" s="50">
        <f>S124 - T124 + V124</f>
        <v/>
      </c>
      <c r="X124" s="52">
        <f>V124*Inputs!$C$17</f>
        <v/>
      </c>
      <c r="Y124" s="52">
        <f>IF(A124&gt;Inputs!$C$62,"",C124*AE124)</f>
        <v/>
      </c>
      <c r="Z124" s="52">
        <f>IF(A124=1,Inputs!$C$72,AA123)</f>
        <v/>
      </c>
      <c r="AA124" s="52">
        <f>Z124 + M124 - N124 - P124 - X124 - Y124</f>
        <v/>
      </c>
      <c r="AB124" s="53">
        <f>IF(AA124&lt;0,1,0)</f>
        <v/>
      </c>
      <c r="AC124" s="54">
        <f>IF(AD124=0,0,R124/(AD124*Inputs!$C$16))</f>
        <v/>
      </c>
      <c r="AD124" s="53">
        <f>IF(A124&gt;Inputs!$C$62,"",B124+C124)</f>
        <v/>
      </c>
      <c r="AE124" s="56">
        <f>IF(A124&gt;Inputs!$C$62,"", Inputs!$C$65*(1+Inputs!$C$89*POWER(MIN(1,IF(Inputs!$C$88=0,0,B124/Inputs!$C$88)),Inputs!$C$90)))</f>
        <v/>
      </c>
      <c r="AF124" s="52">
        <f>IF(A124&gt;Inputs!$C$62,"",IF(A124=1,Inputs!$C$86,MIN(Inputs!$C$86,Inputs!$C$87*M123)))</f>
        <v/>
      </c>
      <c r="AG124" s="51">
        <f>IF(A124&gt;Inputs!$C$62,"",MIN(0.5,MAX(0, Inputs!$C$67*L124 + Inputs!$C$68*(1-K124) + Inputs!$C$69*Inputs!$C$10)))</f>
        <v/>
      </c>
      <c r="AH124" s="51">
        <f>IF(A124&gt;Inputs!$C$62,"",INDEX(CapacityPlan!$G$7:$G$266,A124))</f>
        <v/>
      </c>
      <c r="AI124" s="54">
        <f>IF(A124&gt;Inputs!$C$62,"",INDEX(CapacityPlan!$J$7:$J$266,A124))</f>
        <v/>
      </c>
      <c r="AJ124" s="51">
        <f>IF(A124&gt;Inputs!$C$62,"",IF(I124=0,"",G124/I124))</f>
        <v/>
      </c>
    </row>
    <row r="125" ht="16" customHeight="1">
      <c r="A125" s="15" t="n">
        <v>103</v>
      </c>
      <c r="B125" s="50">
        <f>IF(A125&gt;Inputs!$C$62,"",IF(Inputs!$C$80=1,INDEX(Cohorts!$B$67:$B$326,A125),IF(A125=1,Inputs!$C$63,F124)))</f>
        <v/>
      </c>
      <c r="C125" s="50">
        <f>IF(A125&gt;Inputs!$C$62,"",IF(Inputs!$C$85=0,Inputs!$C$64,MIN(Inputs!$C$91,IF(AE125=0,0,AF125/AE125))))</f>
        <v/>
      </c>
      <c r="D125" s="51">
        <f>IF(A125&gt;Inputs!$C$62,"",IF(Inputs!$C$80=1,INDEX(Cohorts!$G$67:$G$326,A125),MAX(0, Inputs!$C$66 + Inputs!$C$67*L125 + Inputs!$C$68*(1-K125) + Inputs!$C$69*Inputs!$C$10)))</f>
        <v/>
      </c>
      <c r="E125" s="50">
        <f>IF(A125&gt;Inputs!$C$62,"",IF(Inputs!$C$80=1,INDEX(Cohorts!$H$67:$H$326,A125),D125*AD125))</f>
        <v/>
      </c>
      <c r="F125" s="50">
        <f>IF(A125&gt;Inputs!$C$62,"",IF(Inputs!$C$80=1,INDEX(Cohorts!$I$67:$I$326,A125),AD125-E125))</f>
        <v/>
      </c>
      <c r="G125" s="50">
        <f>IF(A125&gt;Inputs!$C$62,"",AD125)</f>
        <v/>
      </c>
      <c r="H125" s="50">
        <f>IF(A125&gt;Inputs!$C$62,"",INDEX(CapacityPlan!$E$7:$E$266,A125))</f>
        <v/>
      </c>
      <c r="I125" s="50">
        <f>IF(A125&gt;Inputs!$C$62,"",INDEX(CapacityPlan!$I$7:$I$266,A125))</f>
        <v/>
      </c>
      <c r="J125" s="50">
        <f>IF(A125&gt;Inputs!$C$62,"",IF(G125&gt;I125,I125,G125))</f>
        <v/>
      </c>
      <c r="K125" s="51">
        <f>IF(A125&gt;Inputs!$C$62,"",IF(G125=0,1,J125/G125))</f>
        <v/>
      </c>
      <c r="L125" s="51">
        <f>IF((Inputs!$C$36 + UnitEconomics!$B$12*Inputs!$C$37 + Inputs!$C$10*Inputs!$C$38 + Inputs!$C$70*(1-K125))&gt;1,1,(Inputs!$C$36 + UnitEconomics!$B$12*Inputs!$C$37 + Inputs!$C$10*Inputs!$C$38 + Inputs!$C$70*(1-K125)))</f>
        <v/>
      </c>
      <c r="M125" s="52">
        <f>IF(A125&gt;Inputs!$C$62,"",J125*Inputs!$C$7*(1-Inputs!$C$8)*(1-L125))</f>
        <v/>
      </c>
      <c r="N125" s="52">
        <f>IF(A125&gt;Inputs!$C$62,"",J125*UnitEconomics!$B$32*AI125 + (G125-J125)*Inputs!$C$71)</f>
        <v/>
      </c>
      <c r="O125" s="52">
        <f>M125-N125</f>
        <v/>
      </c>
      <c r="P125" s="52">
        <f>IF(A125&gt;Inputs!$C$62,"",Inputs!$C$40 + H125*Inputs!$C$41)</f>
        <v/>
      </c>
      <c r="Q125" s="52">
        <f>O125-P125</f>
        <v/>
      </c>
      <c r="R125" s="50">
        <f>IF(A125&gt;Inputs!$C$62,"",AD125*Inputs!$C$16*(Inputs!$C$9 + Inputs!$C$10*Inputs!$C$11 + Inputs!$C$12)*(1 + VLOOKUP(Inputs!$C$15,Lookups!$A$2:$B$20,2,TRUE)*(Scale!$B$9/IF(Scale!$B$8=0,1,Scale!$B$8)) + Inputs!$C$52))</f>
        <v/>
      </c>
      <c r="S125" s="50">
        <f>IF(A125=1,Scale!$B$13, W124)</f>
        <v/>
      </c>
      <c r="T125" s="50">
        <f>J125*Inputs!$C$16*(Inputs!$C$19 + Inputs!$C$20*Inputs!$C$21 + 1/Inputs!$C$18)</f>
        <v/>
      </c>
      <c r="U125" s="50">
        <f>MAX(0, (R125*(1+Inputs!$C$74)) - (S125 - T125))</f>
        <v/>
      </c>
      <c r="V125" s="50">
        <f>IF(A125&lt;=Inputs!$C$73,0,INDEX(U:U,ROW()-Inputs!$C$73))</f>
        <v/>
      </c>
      <c r="W125" s="50">
        <f>S125 - T125 + V125</f>
        <v/>
      </c>
      <c r="X125" s="52">
        <f>V125*Inputs!$C$17</f>
        <v/>
      </c>
      <c r="Y125" s="52">
        <f>IF(A125&gt;Inputs!$C$62,"",C125*AE125)</f>
        <v/>
      </c>
      <c r="Z125" s="52">
        <f>IF(A125=1,Inputs!$C$72,AA124)</f>
        <v/>
      </c>
      <c r="AA125" s="52">
        <f>Z125 + M125 - N125 - P125 - X125 - Y125</f>
        <v/>
      </c>
      <c r="AB125" s="53">
        <f>IF(AA125&lt;0,1,0)</f>
        <v/>
      </c>
      <c r="AC125" s="54">
        <f>IF(AD125=0,0,R125/(AD125*Inputs!$C$16))</f>
        <v/>
      </c>
      <c r="AD125" s="53">
        <f>IF(A125&gt;Inputs!$C$62,"",B125+C125)</f>
        <v/>
      </c>
      <c r="AE125" s="56">
        <f>IF(A125&gt;Inputs!$C$62,"", Inputs!$C$65*(1+Inputs!$C$89*POWER(MIN(1,IF(Inputs!$C$88=0,0,B125/Inputs!$C$88)),Inputs!$C$90)))</f>
        <v/>
      </c>
      <c r="AF125" s="52">
        <f>IF(A125&gt;Inputs!$C$62,"",IF(A125=1,Inputs!$C$86,MIN(Inputs!$C$86,Inputs!$C$87*M124)))</f>
        <v/>
      </c>
      <c r="AG125" s="51">
        <f>IF(A125&gt;Inputs!$C$62,"",MIN(0.5,MAX(0, Inputs!$C$67*L125 + Inputs!$C$68*(1-K125) + Inputs!$C$69*Inputs!$C$10)))</f>
        <v/>
      </c>
      <c r="AH125" s="51">
        <f>IF(A125&gt;Inputs!$C$62,"",INDEX(CapacityPlan!$G$7:$G$266,A125))</f>
        <v/>
      </c>
      <c r="AI125" s="54">
        <f>IF(A125&gt;Inputs!$C$62,"",INDEX(CapacityPlan!$J$7:$J$266,A125))</f>
        <v/>
      </c>
      <c r="AJ125" s="51">
        <f>IF(A125&gt;Inputs!$C$62,"",IF(I125=0,"",G125/I125))</f>
        <v/>
      </c>
    </row>
    <row r="126" ht="16" customHeight="1">
      <c r="A126" s="15" t="n">
        <v>104</v>
      </c>
      <c r="B126" s="50">
        <f>IF(A126&gt;Inputs!$C$62,"",IF(Inputs!$C$80=1,INDEX(Cohorts!$B$67:$B$326,A126),IF(A126=1,Inputs!$C$63,F125)))</f>
        <v/>
      </c>
      <c r="C126" s="50">
        <f>IF(A126&gt;Inputs!$C$62,"",IF(Inputs!$C$85=0,Inputs!$C$64,MIN(Inputs!$C$91,IF(AE126=0,0,AF126/AE126))))</f>
        <v/>
      </c>
      <c r="D126" s="51">
        <f>IF(A126&gt;Inputs!$C$62,"",IF(Inputs!$C$80=1,INDEX(Cohorts!$G$67:$G$326,A126),MAX(0, Inputs!$C$66 + Inputs!$C$67*L126 + Inputs!$C$68*(1-K126) + Inputs!$C$69*Inputs!$C$10)))</f>
        <v/>
      </c>
      <c r="E126" s="50">
        <f>IF(A126&gt;Inputs!$C$62,"",IF(Inputs!$C$80=1,INDEX(Cohorts!$H$67:$H$326,A126),D126*AD126))</f>
        <v/>
      </c>
      <c r="F126" s="50">
        <f>IF(A126&gt;Inputs!$C$62,"",IF(Inputs!$C$80=1,INDEX(Cohorts!$I$67:$I$326,A126),AD126-E126))</f>
        <v/>
      </c>
      <c r="G126" s="50">
        <f>IF(A126&gt;Inputs!$C$62,"",AD126)</f>
        <v/>
      </c>
      <c r="H126" s="50">
        <f>IF(A126&gt;Inputs!$C$62,"",INDEX(CapacityPlan!$E$7:$E$266,A126))</f>
        <v/>
      </c>
      <c r="I126" s="50">
        <f>IF(A126&gt;Inputs!$C$62,"",INDEX(CapacityPlan!$I$7:$I$266,A126))</f>
        <v/>
      </c>
      <c r="J126" s="50">
        <f>IF(A126&gt;Inputs!$C$62,"",IF(G126&gt;I126,I126,G126))</f>
        <v/>
      </c>
      <c r="K126" s="51">
        <f>IF(A126&gt;Inputs!$C$62,"",IF(G126=0,1,J126/G126))</f>
        <v/>
      </c>
      <c r="L126" s="51">
        <f>IF((Inputs!$C$36 + UnitEconomics!$B$12*Inputs!$C$37 + Inputs!$C$10*Inputs!$C$38 + Inputs!$C$70*(1-K126))&gt;1,1,(Inputs!$C$36 + UnitEconomics!$B$12*Inputs!$C$37 + Inputs!$C$10*Inputs!$C$38 + Inputs!$C$70*(1-K126)))</f>
        <v/>
      </c>
      <c r="M126" s="52">
        <f>IF(A126&gt;Inputs!$C$62,"",J126*Inputs!$C$7*(1-Inputs!$C$8)*(1-L126))</f>
        <v/>
      </c>
      <c r="N126" s="52">
        <f>IF(A126&gt;Inputs!$C$62,"",J126*UnitEconomics!$B$32*AI126 + (G126-J126)*Inputs!$C$71)</f>
        <v/>
      </c>
      <c r="O126" s="52">
        <f>M126-N126</f>
        <v/>
      </c>
      <c r="P126" s="52">
        <f>IF(A126&gt;Inputs!$C$62,"",Inputs!$C$40 + H126*Inputs!$C$41)</f>
        <v/>
      </c>
      <c r="Q126" s="52">
        <f>O126-P126</f>
        <v/>
      </c>
      <c r="R126" s="50">
        <f>IF(A126&gt;Inputs!$C$62,"",AD126*Inputs!$C$16*(Inputs!$C$9 + Inputs!$C$10*Inputs!$C$11 + Inputs!$C$12)*(1 + VLOOKUP(Inputs!$C$15,Lookups!$A$2:$B$20,2,TRUE)*(Scale!$B$9/IF(Scale!$B$8=0,1,Scale!$B$8)) + Inputs!$C$52))</f>
        <v/>
      </c>
      <c r="S126" s="50">
        <f>IF(A126=1,Scale!$B$13, W125)</f>
        <v/>
      </c>
      <c r="T126" s="50">
        <f>J126*Inputs!$C$16*(Inputs!$C$19 + Inputs!$C$20*Inputs!$C$21 + 1/Inputs!$C$18)</f>
        <v/>
      </c>
      <c r="U126" s="50">
        <f>MAX(0, (R126*(1+Inputs!$C$74)) - (S126 - T126))</f>
        <v/>
      </c>
      <c r="V126" s="50">
        <f>IF(A126&lt;=Inputs!$C$73,0,INDEX(U:U,ROW()-Inputs!$C$73))</f>
        <v/>
      </c>
      <c r="W126" s="50">
        <f>S126 - T126 + V126</f>
        <v/>
      </c>
      <c r="X126" s="52">
        <f>V126*Inputs!$C$17</f>
        <v/>
      </c>
      <c r="Y126" s="52">
        <f>IF(A126&gt;Inputs!$C$62,"",C126*AE126)</f>
        <v/>
      </c>
      <c r="Z126" s="52">
        <f>IF(A126=1,Inputs!$C$72,AA125)</f>
        <v/>
      </c>
      <c r="AA126" s="52">
        <f>Z126 + M126 - N126 - P126 - X126 - Y126</f>
        <v/>
      </c>
      <c r="AB126" s="53">
        <f>IF(AA126&lt;0,1,0)</f>
        <v/>
      </c>
      <c r="AC126" s="54">
        <f>IF(AD126=0,0,R126/(AD126*Inputs!$C$16))</f>
        <v/>
      </c>
      <c r="AD126" s="53">
        <f>IF(A126&gt;Inputs!$C$62,"",B126+C126)</f>
        <v/>
      </c>
      <c r="AE126" s="56">
        <f>IF(A126&gt;Inputs!$C$62,"", Inputs!$C$65*(1+Inputs!$C$89*POWER(MIN(1,IF(Inputs!$C$88=0,0,B126/Inputs!$C$88)),Inputs!$C$90)))</f>
        <v/>
      </c>
      <c r="AF126" s="52">
        <f>IF(A126&gt;Inputs!$C$62,"",IF(A126=1,Inputs!$C$86,MIN(Inputs!$C$86,Inputs!$C$87*M125)))</f>
        <v/>
      </c>
      <c r="AG126" s="51">
        <f>IF(A126&gt;Inputs!$C$62,"",MIN(0.5,MAX(0, Inputs!$C$67*L126 + Inputs!$C$68*(1-K126) + Inputs!$C$69*Inputs!$C$10)))</f>
        <v/>
      </c>
      <c r="AH126" s="51">
        <f>IF(A126&gt;Inputs!$C$62,"",INDEX(CapacityPlan!$G$7:$G$266,A126))</f>
        <v/>
      </c>
      <c r="AI126" s="54">
        <f>IF(A126&gt;Inputs!$C$62,"",INDEX(CapacityPlan!$J$7:$J$266,A126))</f>
        <v/>
      </c>
      <c r="AJ126" s="51">
        <f>IF(A126&gt;Inputs!$C$62,"",IF(I126=0,"",G126/I126))</f>
        <v/>
      </c>
    </row>
    <row r="127" ht="16" customHeight="1">
      <c r="A127" s="15" t="n">
        <v>105</v>
      </c>
      <c r="B127" s="50">
        <f>IF(A127&gt;Inputs!$C$62,"",IF(Inputs!$C$80=1,INDEX(Cohorts!$B$67:$B$326,A127),IF(A127=1,Inputs!$C$63,F126)))</f>
        <v/>
      </c>
      <c r="C127" s="50">
        <f>IF(A127&gt;Inputs!$C$62,"",IF(Inputs!$C$85=0,Inputs!$C$64,MIN(Inputs!$C$91,IF(AE127=0,0,AF127/AE127))))</f>
        <v/>
      </c>
      <c r="D127" s="51">
        <f>IF(A127&gt;Inputs!$C$62,"",IF(Inputs!$C$80=1,INDEX(Cohorts!$G$67:$G$326,A127),MAX(0, Inputs!$C$66 + Inputs!$C$67*L127 + Inputs!$C$68*(1-K127) + Inputs!$C$69*Inputs!$C$10)))</f>
        <v/>
      </c>
      <c r="E127" s="50">
        <f>IF(A127&gt;Inputs!$C$62,"",IF(Inputs!$C$80=1,INDEX(Cohorts!$H$67:$H$326,A127),D127*AD127))</f>
        <v/>
      </c>
      <c r="F127" s="50">
        <f>IF(A127&gt;Inputs!$C$62,"",IF(Inputs!$C$80=1,INDEX(Cohorts!$I$67:$I$326,A127),AD127-E127))</f>
        <v/>
      </c>
      <c r="G127" s="50">
        <f>IF(A127&gt;Inputs!$C$62,"",AD127)</f>
        <v/>
      </c>
      <c r="H127" s="50">
        <f>IF(A127&gt;Inputs!$C$62,"",INDEX(CapacityPlan!$E$7:$E$266,A127))</f>
        <v/>
      </c>
      <c r="I127" s="50">
        <f>IF(A127&gt;Inputs!$C$62,"",INDEX(CapacityPlan!$I$7:$I$266,A127))</f>
        <v/>
      </c>
      <c r="J127" s="50">
        <f>IF(A127&gt;Inputs!$C$62,"",IF(G127&gt;I127,I127,G127))</f>
        <v/>
      </c>
      <c r="K127" s="51">
        <f>IF(A127&gt;Inputs!$C$62,"",IF(G127=0,1,J127/G127))</f>
        <v/>
      </c>
      <c r="L127" s="51">
        <f>IF((Inputs!$C$36 + UnitEconomics!$B$12*Inputs!$C$37 + Inputs!$C$10*Inputs!$C$38 + Inputs!$C$70*(1-K127))&gt;1,1,(Inputs!$C$36 + UnitEconomics!$B$12*Inputs!$C$37 + Inputs!$C$10*Inputs!$C$38 + Inputs!$C$70*(1-K127)))</f>
        <v/>
      </c>
      <c r="M127" s="52">
        <f>IF(A127&gt;Inputs!$C$62,"",J127*Inputs!$C$7*(1-Inputs!$C$8)*(1-L127))</f>
        <v/>
      </c>
      <c r="N127" s="52">
        <f>IF(A127&gt;Inputs!$C$62,"",J127*UnitEconomics!$B$32*AI127 + (G127-J127)*Inputs!$C$71)</f>
        <v/>
      </c>
      <c r="O127" s="52">
        <f>M127-N127</f>
        <v/>
      </c>
      <c r="P127" s="52">
        <f>IF(A127&gt;Inputs!$C$62,"",Inputs!$C$40 + H127*Inputs!$C$41)</f>
        <v/>
      </c>
      <c r="Q127" s="52">
        <f>O127-P127</f>
        <v/>
      </c>
      <c r="R127" s="50">
        <f>IF(A127&gt;Inputs!$C$62,"",AD127*Inputs!$C$16*(Inputs!$C$9 + Inputs!$C$10*Inputs!$C$11 + Inputs!$C$12)*(1 + VLOOKUP(Inputs!$C$15,Lookups!$A$2:$B$20,2,TRUE)*(Scale!$B$9/IF(Scale!$B$8=0,1,Scale!$B$8)) + Inputs!$C$52))</f>
        <v/>
      </c>
      <c r="S127" s="50">
        <f>IF(A127=1,Scale!$B$13, W126)</f>
        <v/>
      </c>
      <c r="T127" s="50">
        <f>J127*Inputs!$C$16*(Inputs!$C$19 + Inputs!$C$20*Inputs!$C$21 + 1/Inputs!$C$18)</f>
        <v/>
      </c>
      <c r="U127" s="50">
        <f>MAX(0, (R127*(1+Inputs!$C$74)) - (S127 - T127))</f>
        <v/>
      </c>
      <c r="V127" s="50">
        <f>IF(A127&lt;=Inputs!$C$73,0,INDEX(U:U,ROW()-Inputs!$C$73))</f>
        <v/>
      </c>
      <c r="W127" s="50">
        <f>S127 - T127 + V127</f>
        <v/>
      </c>
      <c r="X127" s="52">
        <f>V127*Inputs!$C$17</f>
        <v/>
      </c>
      <c r="Y127" s="52">
        <f>IF(A127&gt;Inputs!$C$62,"",C127*AE127)</f>
        <v/>
      </c>
      <c r="Z127" s="52">
        <f>IF(A127=1,Inputs!$C$72,AA126)</f>
        <v/>
      </c>
      <c r="AA127" s="52">
        <f>Z127 + M127 - N127 - P127 - X127 - Y127</f>
        <v/>
      </c>
      <c r="AB127" s="53">
        <f>IF(AA127&lt;0,1,0)</f>
        <v/>
      </c>
      <c r="AC127" s="54">
        <f>IF(AD127=0,0,R127/(AD127*Inputs!$C$16))</f>
        <v/>
      </c>
      <c r="AD127" s="53">
        <f>IF(A127&gt;Inputs!$C$62,"",B127+C127)</f>
        <v/>
      </c>
      <c r="AE127" s="56">
        <f>IF(A127&gt;Inputs!$C$62,"", Inputs!$C$65*(1+Inputs!$C$89*POWER(MIN(1,IF(Inputs!$C$88=0,0,B127/Inputs!$C$88)),Inputs!$C$90)))</f>
        <v/>
      </c>
      <c r="AF127" s="52">
        <f>IF(A127&gt;Inputs!$C$62,"",IF(A127=1,Inputs!$C$86,MIN(Inputs!$C$86,Inputs!$C$87*M126)))</f>
        <v/>
      </c>
      <c r="AG127" s="51">
        <f>IF(A127&gt;Inputs!$C$62,"",MIN(0.5,MAX(0, Inputs!$C$67*L127 + Inputs!$C$68*(1-K127) + Inputs!$C$69*Inputs!$C$10)))</f>
        <v/>
      </c>
      <c r="AH127" s="51">
        <f>IF(A127&gt;Inputs!$C$62,"",INDEX(CapacityPlan!$G$7:$G$266,A127))</f>
        <v/>
      </c>
      <c r="AI127" s="54">
        <f>IF(A127&gt;Inputs!$C$62,"",INDEX(CapacityPlan!$J$7:$J$266,A127))</f>
        <v/>
      </c>
      <c r="AJ127" s="51">
        <f>IF(A127&gt;Inputs!$C$62,"",IF(I127=0,"",G127/I127))</f>
        <v/>
      </c>
    </row>
    <row r="128" ht="16" customHeight="1">
      <c r="A128" s="15" t="n">
        <v>106</v>
      </c>
      <c r="B128" s="50">
        <f>IF(A128&gt;Inputs!$C$62,"",IF(Inputs!$C$80=1,INDEX(Cohorts!$B$67:$B$326,A128),IF(A128=1,Inputs!$C$63,F127)))</f>
        <v/>
      </c>
      <c r="C128" s="50">
        <f>IF(A128&gt;Inputs!$C$62,"",IF(Inputs!$C$85=0,Inputs!$C$64,MIN(Inputs!$C$91,IF(AE128=0,0,AF128/AE128))))</f>
        <v/>
      </c>
      <c r="D128" s="51">
        <f>IF(A128&gt;Inputs!$C$62,"",IF(Inputs!$C$80=1,INDEX(Cohorts!$G$67:$G$326,A128),MAX(0, Inputs!$C$66 + Inputs!$C$67*L128 + Inputs!$C$68*(1-K128) + Inputs!$C$69*Inputs!$C$10)))</f>
        <v/>
      </c>
      <c r="E128" s="50">
        <f>IF(A128&gt;Inputs!$C$62,"",IF(Inputs!$C$80=1,INDEX(Cohorts!$H$67:$H$326,A128),D128*AD128))</f>
        <v/>
      </c>
      <c r="F128" s="50">
        <f>IF(A128&gt;Inputs!$C$62,"",IF(Inputs!$C$80=1,INDEX(Cohorts!$I$67:$I$326,A128),AD128-E128))</f>
        <v/>
      </c>
      <c r="G128" s="50">
        <f>IF(A128&gt;Inputs!$C$62,"",AD128)</f>
        <v/>
      </c>
      <c r="H128" s="50">
        <f>IF(A128&gt;Inputs!$C$62,"",INDEX(CapacityPlan!$E$7:$E$266,A128))</f>
        <v/>
      </c>
      <c r="I128" s="50">
        <f>IF(A128&gt;Inputs!$C$62,"",INDEX(CapacityPlan!$I$7:$I$266,A128))</f>
        <v/>
      </c>
      <c r="J128" s="50">
        <f>IF(A128&gt;Inputs!$C$62,"",IF(G128&gt;I128,I128,G128))</f>
        <v/>
      </c>
      <c r="K128" s="51">
        <f>IF(A128&gt;Inputs!$C$62,"",IF(G128=0,1,J128/G128))</f>
        <v/>
      </c>
      <c r="L128" s="51">
        <f>IF((Inputs!$C$36 + UnitEconomics!$B$12*Inputs!$C$37 + Inputs!$C$10*Inputs!$C$38 + Inputs!$C$70*(1-K128))&gt;1,1,(Inputs!$C$36 + UnitEconomics!$B$12*Inputs!$C$37 + Inputs!$C$10*Inputs!$C$38 + Inputs!$C$70*(1-K128)))</f>
        <v/>
      </c>
      <c r="M128" s="52">
        <f>IF(A128&gt;Inputs!$C$62,"",J128*Inputs!$C$7*(1-Inputs!$C$8)*(1-L128))</f>
        <v/>
      </c>
      <c r="N128" s="52">
        <f>IF(A128&gt;Inputs!$C$62,"",J128*UnitEconomics!$B$32*AI128 + (G128-J128)*Inputs!$C$71)</f>
        <v/>
      </c>
      <c r="O128" s="52">
        <f>M128-N128</f>
        <v/>
      </c>
      <c r="P128" s="52">
        <f>IF(A128&gt;Inputs!$C$62,"",Inputs!$C$40 + H128*Inputs!$C$41)</f>
        <v/>
      </c>
      <c r="Q128" s="52">
        <f>O128-P128</f>
        <v/>
      </c>
      <c r="R128" s="50">
        <f>IF(A128&gt;Inputs!$C$62,"",AD128*Inputs!$C$16*(Inputs!$C$9 + Inputs!$C$10*Inputs!$C$11 + Inputs!$C$12)*(1 + VLOOKUP(Inputs!$C$15,Lookups!$A$2:$B$20,2,TRUE)*(Scale!$B$9/IF(Scale!$B$8=0,1,Scale!$B$8)) + Inputs!$C$52))</f>
        <v/>
      </c>
      <c r="S128" s="50">
        <f>IF(A128=1,Scale!$B$13, W127)</f>
        <v/>
      </c>
      <c r="T128" s="50">
        <f>J128*Inputs!$C$16*(Inputs!$C$19 + Inputs!$C$20*Inputs!$C$21 + 1/Inputs!$C$18)</f>
        <v/>
      </c>
      <c r="U128" s="50">
        <f>MAX(0, (R128*(1+Inputs!$C$74)) - (S128 - T128))</f>
        <v/>
      </c>
      <c r="V128" s="50">
        <f>IF(A128&lt;=Inputs!$C$73,0,INDEX(U:U,ROW()-Inputs!$C$73))</f>
        <v/>
      </c>
      <c r="W128" s="50">
        <f>S128 - T128 + V128</f>
        <v/>
      </c>
      <c r="X128" s="52">
        <f>V128*Inputs!$C$17</f>
        <v/>
      </c>
      <c r="Y128" s="52">
        <f>IF(A128&gt;Inputs!$C$62,"",C128*AE128)</f>
        <v/>
      </c>
      <c r="Z128" s="52">
        <f>IF(A128=1,Inputs!$C$72,AA127)</f>
        <v/>
      </c>
      <c r="AA128" s="52">
        <f>Z128 + M128 - N128 - P128 - X128 - Y128</f>
        <v/>
      </c>
      <c r="AB128" s="53">
        <f>IF(AA128&lt;0,1,0)</f>
        <v/>
      </c>
      <c r="AC128" s="54">
        <f>IF(AD128=0,0,R128/(AD128*Inputs!$C$16))</f>
        <v/>
      </c>
      <c r="AD128" s="53">
        <f>IF(A128&gt;Inputs!$C$62,"",B128+C128)</f>
        <v/>
      </c>
      <c r="AE128" s="56">
        <f>IF(A128&gt;Inputs!$C$62,"", Inputs!$C$65*(1+Inputs!$C$89*POWER(MIN(1,IF(Inputs!$C$88=0,0,B128/Inputs!$C$88)),Inputs!$C$90)))</f>
        <v/>
      </c>
      <c r="AF128" s="52">
        <f>IF(A128&gt;Inputs!$C$62,"",IF(A128=1,Inputs!$C$86,MIN(Inputs!$C$86,Inputs!$C$87*M127)))</f>
        <v/>
      </c>
      <c r="AG128" s="51">
        <f>IF(A128&gt;Inputs!$C$62,"",MIN(0.5,MAX(0, Inputs!$C$67*L128 + Inputs!$C$68*(1-K128) + Inputs!$C$69*Inputs!$C$10)))</f>
        <v/>
      </c>
      <c r="AH128" s="51">
        <f>IF(A128&gt;Inputs!$C$62,"",INDEX(CapacityPlan!$G$7:$G$266,A128))</f>
        <v/>
      </c>
      <c r="AI128" s="54">
        <f>IF(A128&gt;Inputs!$C$62,"",INDEX(CapacityPlan!$J$7:$J$266,A128))</f>
        <v/>
      </c>
      <c r="AJ128" s="51">
        <f>IF(A128&gt;Inputs!$C$62,"",IF(I128=0,"",G128/I128))</f>
        <v/>
      </c>
    </row>
    <row r="129" ht="16" customHeight="1">
      <c r="A129" s="15" t="n">
        <v>107</v>
      </c>
      <c r="B129" s="50">
        <f>IF(A129&gt;Inputs!$C$62,"",IF(Inputs!$C$80=1,INDEX(Cohorts!$B$67:$B$326,A129),IF(A129=1,Inputs!$C$63,F128)))</f>
        <v/>
      </c>
      <c r="C129" s="50">
        <f>IF(A129&gt;Inputs!$C$62,"",IF(Inputs!$C$85=0,Inputs!$C$64,MIN(Inputs!$C$91,IF(AE129=0,0,AF129/AE129))))</f>
        <v/>
      </c>
      <c r="D129" s="51">
        <f>IF(A129&gt;Inputs!$C$62,"",IF(Inputs!$C$80=1,INDEX(Cohorts!$G$67:$G$326,A129),MAX(0, Inputs!$C$66 + Inputs!$C$67*L129 + Inputs!$C$68*(1-K129) + Inputs!$C$69*Inputs!$C$10)))</f>
        <v/>
      </c>
      <c r="E129" s="50">
        <f>IF(A129&gt;Inputs!$C$62,"",IF(Inputs!$C$80=1,INDEX(Cohorts!$H$67:$H$326,A129),D129*AD129))</f>
        <v/>
      </c>
      <c r="F129" s="50">
        <f>IF(A129&gt;Inputs!$C$62,"",IF(Inputs!$C$80=1,INDEX(Cohorts!$I$67:$I$326,A129),AD129-E129))</f>
        <v/>
      </c>
      <c r="G129" s="50">
        <f>IF(A129&gt;Inputs!$C$62,"",AD129)</f>
        <v/>
      </c>
      <c r="H129" s="50">
        <f>IF(A129&gt;Inputs!$C$62,"",INDEX(CapacityPlan!$E$7:$E$266,A129))</f>
        <v/>
      </c>
      <c r="I129" s="50">
        <f>IF(A129&gt;Inputs!$C$62,"",INDEX(CapacityPlan!$I$7:$I$266,A129))</f>
        <v/>
      </c>
      <c r="J129" s="50">
        <f>IF(A129&gt;Inputs!$C$62,"",IF(G129&gt;I129,I129,G129))</f>
        <v/>
      </c>
      <c r="K129" s="51">
        <f>IF(A129&gt;Inputs!$C$62,"",IF(G129=0,1,J129/G129))</f>
        <v/>
      </c>
      <c r="L129" s="51">
        <f>IF((Inputs!$C$36 + UnitEconomics!$B$12*Inputs!$C$37 + Inputs!$C$10*Inputs!$C$38 + Inputs!$C$70*(1-K129))&gt;1,1,(Inputs!$C$36 + UnitEconomics!$B$12*Inputs!$C$37 + Inputs!$C$10*Inputs!$C$38 + Inputs!$C$70*(1-K129)))</f>
        <v/>
      </c>
      <c r="M129" s="52">
        <f>IF(A129&gt;Inputs!$C$62,"",J129*Inputs!$C$7*(1-Inputs!$C$8)*(1-L129))</f>
        <v/>
      </c>
      <c r="N129" s="52">
        <f>IF(A129&gt;Inputs!$C$62,"",J129*UnitEconomics!$B$32*AI129 + (G129-J129)*Inputs!$C$71)</f>
        <v/>
      </c>
      <c r="O129" s="52">
        <f>M129-N129</f>
        <v/>
      </c>
      <c r="P129" s="52">
        <f>IF(A129&gt;Inputs!$C$62,"",Inputs!$C$40 + H129*Inputs!$C$41)</f>
        <v/>
      </c>
      <c r="Q129" s="52">
        <f>O129-P129</f>
        <v/>
      </c>
      <c r="R129" s="50">
        <f>IF(A129&gt;Inputs!$C$62,"",AD129*Inputs!$C$16*(Inputs!$C$9 + Inputs!$C$10*Inputs!$C$11 + Inputs!$C$12)*(1 + VLOOKUP(Inputs!$C$15,Lookups!$A$2:$B$20,2,TRUE)*(Scale!$B$9/IF(Scale!$B$8=0,1,Scale!$B$8)) + Inputs!$C$52))</f>
        <v/>
      </c>
      <c r="S129" s="50">
        <f>IF(A129=1,Scale!$B$13, W128)</f>
        <v/>
      </c>
      <c r="T129" s="50">
        <f>J129*Inputs!$C$16*(Inputs!$C$19 + Inputs!$C$20*Inputs!$C$21 + 1/Inputs!$C$18)</f>
        <v/>
      </c>
      <c r="U129" s="50">
        <f>MAX(0, (R129*(1+Inputs!$C$74)) - (S129 - T129))</f>
        <v/>
      </c>
      <c r="V129" s="50">
        <f>IF(A129&lt;=Inputs!$C$73,0,INDEX(U:U,ROW()-Inputs!$C$73))</f>
        <v/>
      </c>
      <c r="W129" s="50">
        <f>S129 - T129 + V129</f>
        <v/>
      </c>
      <c r="X129" s="52">
        <f>V129*Inputs!$C$17</f>
        <v/>
      </c>
      <c r="Y129" s="52">
        <f>IF(A129&gt;Inputs!$C$62,"",C129*AE129)</f>
        <v/>
      </c>
      <c r="Z129" s="52">
        <f>IF(A129=1,Inputs!$C$72,AA128)</f>
        <v/>
      </c>
      <c r="AA129" s="52">
        <f>Z129 + M129 - N129 - P129 - X129 - Y129</f>
        <v/>
      </c>
      <c r="AB129" s="53">
        <f>IF(AA129&lt;0,1,0)</f>
        <v/>
      </c>
      <c r="AC129" s="54">
        <f>IF(AD129=0,0,R129/(AD129*Inputs!$C$16))</f>
        <v/>
      </c>
      <c r="AD129" s="53">
        <f>IF(A129&gt;Inputs!$C$62,"",B129+C129)</f>
        <v/>
      </c>
      <c r="AE129" s="56">
        <f>IF(A129&gt;Inputs!$C$62,"", Inputs!$C$65*(1+Inputs!$C$89*POWER(MIN(1,IF(Inputs!$C$88=0,0,B129/Inputs!$C$88)),Inputs!$C$90)))</f>
        <v/>
      </c>
      <c r="AF129" s="52">
        <f>IF(A129&gt;Inputs!$C$62,"",IF(A129=1,Inputs!$C$86,MIN(Inputs!$C$86,Inputs!$C$87*M128)))</f>
        <v/>
      </c>
      <c r="AG129" s="51">
        <f>IF(A129&gt;Inputs!$C$62,"",MIN(0.5,MAX(0, Inputs!$C$67*L129 + Inputs!$C$68*(1-K129) + Inputs!$C$69*Inputs!$C$10)))</f>
        <v/>
      </c>
      <c r="AH129" s="51">
        <f>IF(A129&gt;Inputs!$C$62,"",INDEX(CapacityPlan!$G$7:$G$266,A129))</f>
        <v/>
      </c>
      <c r="AI129" s="54">
        <f>IF(A129&gt;Inputs!$C$62,"",INDEX(CapacityPlan!$J$7:$J$266,A129))</f>
        <v/>
      </c>
      <c r="AJ129" s="51">
        <f>IF(A129&gt;Inputs!$C$62,"",IF(I129=0,"",G129/I129))</f>
        <v/>
      </c>
    </row>
    <row r="130" ht="16" customHeight="1">
      <c r="A130" s="15" t="n">
        <v>108</v>
      </c>
      <c r="B130" s="50">
        <f>IF(A130&gt;Inputs!$C$62,"",IF(Inputs!$C$80=1,INDEX(Cohorts!$B$67:$B$326,A130),IF(A130=1,Inputs!$C$63,F129)))</f>
        <v/>
      </c>
      <c r="C130" s="50">
        <f>IF(A130&gt;Inputs!$C$62,"",IF(Inputs!$C$85=0,Inputs!$C$64,MIN(Inputs!$C$91,IF(AE130=0,0,AF130/AE130))))</f>
        <v/>
      </c>
      <c r="D130" s="51">
        <f>IF(A130&gt;Inputs!$C$62,"",IF(Inputs!$C$80=1,INDEX(Cohorts!$G$67:$G$326,A130),MAX(0, Inputs!$C$66 + Inputs!$C$67*L130 + Inputs!$C$68*(1-K130) + Inputs!$C$69*Inputs!$C$10)))</f>
        <v/>
      </c>
      <c r="E130" s="50">
        <f>IF(A130&gt;Inputs!$C$62,"",IF(Inputs!$C$80=1,INDEX(Cohorts!$H$67:$H$326,A130),D130*AD130))</f>
        <v/>
      </c>
      <c r="F130" s="50">
        <f>IF(A130&gt;Inputs!$C$62,"",IF(Inputs!$C$80=1,INDEX(Cohorts!$I$67:$I$326,A130),AD130-E130))</f>
        <v/>
      </c>
      <c r="G130" s="50">
        <f>IF(A130&gt;Inputs!$C$62,"",AD130)</f>
        <v/>
      </c>
      <c r="H130" s="50">
        <f>IF(A130&gt;Inputs!$C$62,"",INDEX(CapacityPlan!$E$7:$E$266,A130))</f>
        <v/>
      </c>
      <c r="I130" s="50">
        <f>IF(A130&gt;Inputs!$C$62,"",INDEX(CapacityPlan!$I$7:$I$266,A130))</f>
        <v/>
      </c>
      <c r="J130" s="50">
        <f>IF(A130&gt;Inputs!$C$62,"",IF(G130&gt;I130,I130,G130))</f>
        <v/>
      </c>
      <c r="K130" s="51">
        <f>IF(A130&gt;Inputs!$C$62,"",IF(G130=0,1,J130/G130))</f>
        <v/>
      </c>
      <c r="L130" s="51">
        <f>IF((Inputs!$C$36 + UnitEconomics!$B$12*Inputs!$C$37 + Inputs!$C$10*Inputs!$C$38 + Inputs!$C$70*(1-K130))&gt;1,1,(Inputs!$C$36 + UnitEconomics!$B$12*Inputs!$C$37 + Inputs!$C$10*Inputs!$C$38 + Inputs!$C$70*(1-K130)))</f>
        <v/>
      </c>
      <c r="M130" s="52">
        <f>IF(A130&gt;Inputs!$C$62,"",J130*Inputs!$C$7*(1-Inputs!$C$8)*(1-L130))</f>
        <v/>
      </c>
      <c r="N130" s="52">
        <f>IF(A130&gt;Inputs!$C$62,"",J130*UnitEconomics!$B$32*AI130 + (G130-J130)*Inputs!$C$71)</f>
        <v/>
      </c>
      <c r="O130" s="52">
        <f>M130-N130</f>
        <v/>
      </c>
      <c r="P130" s="52">
        <f>IF(A130&gt;Inputs!$C$62,"",Inputs!$C$40 + H130*Inputs!$C$41)</f>
        <v/>
      </c>
      <c r="Q130" s="52">
        <f>O130-P130</f>
        <v/>
      </c>
      <c r="R130" s="50">
        <f>IF(A130&gt;Inputs!$C$62,"",AD130*Inputs!$C$16*(Inputs!$C$9 + Inputs!$C$10*Inputs!$C$11 + Inputs!$C$12)*(1 + VLOOKUP(Inputs!$C$15,Lookups!$A$2:$B$20,2,TRUE)*(Scale!$B$9/IF(Scale!$B$8=0,1,Scale!$B$8)) + Inputs!$C$52))</f>
        <v/>
      </c>
      <c r="S130" s="50">
        <f>IF(A130=1,Scale!$B$13, W129)</f>
        <v/>
      </c>
      <c r="T130" s="50">
        <f>J130*Inputs!$C$16*(Inputs!$C$19 + Inputs!$C$20*Inputs!$C$21 + 1/Inputs!$C$18)</f>
        <v/>
      </c>
      <c r="U130" s="50">
        <f>MAX(0, (R130*(1+Inputs!$C$74)) - (S130 - T130))</f>
        <v/>
      </c>
      <c r="V130" s="50">
        <f>IF(A130&lt;=Inputs!$C$73,0,INDEX(U:U,ROW()-Inputs!$C$73))</f>
        <v/>
      </c>
      <c r="W130" s="50">
        <f>S130 - T130 + V130</f>
        <v/>
      </c>
      <c r="X130" s="52">
        <f>V130*Inputs!$C$17</f>
        <v/>
      </c>
      <c r="Y130" s="52">
        <f>IF(A130&gt;Inputs!$C$62,"",C130*AE130)</f>
        <v/>
      </c>
      <c r="Z130" s="52">
        <f>IF(A130=1,Inputs!$C$72,AA129)</f>
        <v/>
      </c>
      <c r="AA130" s="52">
        <f>Z130 + M130 - N130 - P130 - X130 - Y130</f>
        <v/>
      </c>
      <c r="AB130" s="53">
        <f>IF(AA130&lt;0,1,0)</f>
        <v/>
      </c>
      <c r="AC130" s="54">
        <f>IF(AD130=0,0,R130/(AD130*Inputs!$C$16))</f>
        <v/>
      </c>
      <c r="AD130" s="53">
        <f>IF(A130&gt;Inputs!$C$62,"",B130+C130)</f>
        <v/>
      </c>
      <c r="AE130" s="56">
        <f>IF(A130&gt;Inputs!$C$62,"", Inputs!$C$65*(1+Inputs!$C$89*POWER(MIN(1,IF(Inputs!$C$88=0,0,B130/Inputs!$C$88)),Inputs!$C$90)))</f>
        <v/>
      </c>
      <c r="AF130" s="52">
        <f>IF(A130&gt;Inputs!$C$62,"",IF(A130=1,Inputs!$C$86,MIN(Inputs!$C$86,Inputs!$C$87*M129)))</f>
        <v/>
      </c>
      <c r="AG130" s="51">
        <f>IF(A130&gt;Inputs!$C$62,"",MIN(0.5,MAX(0, Inputs!$C$67*L130 + Inputs!$C$68*(1-K130) + Inputs!$C$69*Inputs!$C$10)))</f>
        <v/>
      </c>
      <c r="AH130" s="51">
        <f>IF(A130&gt;Inputs!$C$62,"",INDEX(CapacityPlan!$G$7:$G$266,A130))</f>
        <v/>
      </c>
      <c r="AI130" s="54">
        <f>IF(A130&gt;Inputs!$C$62,"",INDEX(CapacityPlan!$J$7:$J$266,A130))</f>
        <v/>
      </c>
      <c r="AJ130" s="51">
        <f>IF(A130&gt;Inputs!$C$62,"",IF(I130=0,"",G130/I130))</f>
        <v/>
      </c>
    </row>
    <row r="131" ht="16" customHeight="1">
      <c r="A131" s="15" t="n">
        <v>109</v>
      </c>
      <c r="B131" s="50">
        <f>IF(A131&gt;Inputs!$C$62,"",IF(Inputs!$C$80=1,INDEX(Cohorts!$B$67:$B$326,A131),IF(A131=1,Inputs!$C$63,F130)))</f>
        <v/>
      </c>
      <c r="C131" s="50">
        <f>IF(A131&gt;Inputs!$C$62,"",IF(Inputs!$C$85=0,Inputs!$C$64,MIN(Inputs!$C$91,IF(AE131=0,0,AF131/AE131))))</f>
        <v/>
      </c>
      <c r="D131" s="51">
        <f>IF(A131&gt;Inputs!$C$62,"",IF(Inputs!$C$80=1,INDEX(Cohorts!$G$67:$G$326,A131),MAX(0, Inputs!$C$66 + Inputs!$C$67*L131 + Inputs!$C$68*(1-K131) + Inputs!$C$69*Inputs!$C$10)))</f>
        <v/>
      </c>
      <c r="E131" s="50">
        <f>IF(A131&gt;Inputs!$C$62,"",IF(Inputs!$C$80=1,INDEX(Cohorts!$H$67:$H$326,A131),D131*AD131))</f>
        <v/>
      </c>
      <c r="F131" s="50">
        <f>IF(A131&gt;Inputs!$C$62,"",IF(Inputs!$C$80=1,INDEX(Cohorts!$I$67:$I$326,A131),AD131-E131))</f>
        <v/>
      </c>
      <c r="G131" s="50">
        <f>IF(A131&gt;Inputs!$C$62,"",AD131)</f>
        <v/>
      </c>
      <c r="H131" s="50">
        <f>IF(A131&gt;Inputs!$C$62,"",INDEX(CapacityPlan!$E$7:$E$266,A131))</f>
        <v/>
      </c>
      <c r="I131" s="50">
        <f>IF(A131&gt;Inputs!$C$62,"",INDEX(CapacityPlan!$I$7:$I$266,A131))</f>
        <v/>
      </c>
      <c r="J131" s="50">
        <f>IF(A131&gt;Inputs!$C$62,"",IF(G131&gt;I131,I131,G131))</f>
        <v/>
      </c>
      <c r="K131" s="51">
        <f>IF(A131&gt;Inputs!$C$62,"",IF(G131=0,1,J131/G131))</f>
        <v/>
      </c>
      <c r="L131" s="51">
        <f>IF((Inputs!$C$36 + UnitEconomics!$B$12*Inputs!$C$37 + Inputs!$C$10*Inputs!$C$38 + Inputs!$C$70*(1-K131))&gt;1,1,(Inputs!$C$36 + UnitEconomics!$B$12*Inputs!$C$37 + Inputs!$C$10*Inputs!$C$38 + Inputs!$C$70*(1-K131)))</f>
        <v/>
      </c>
      <c r="M131" s="52">
        <f>IF(A131&gt;Inputs!$C$62,"",J131*Inputs!$C$7*(1-Inputs!$C$8)*(1-L131))</f>
        <v/>
      </c>
      <c r="N131" s="52">
        <f>IF(A131&gt;Inputs!$C$62,"",J131*UnitEconomics!$B$32*AI131 + (G131-J131)*Inputs!$C$71)</f>
        <v/>
      </c>
      <c r="O131" s="52">
        <f>M131-N131</f>
        <v/>
      </c>
      <c r="P131" s="52">
        <f>IF(A131&gt;Inputs!$C$62,"",Inputs!$C$40 + H131*Inputs!$C$41)</f>
        <v/>
      </c>
      <c r="Q131" s="52">
        <f>O131-P131</f>
        <v/>
      </c>
      <c r="R131" s="50">
        <f>IF(A131&gt;Inputs!$C$62,"",AD131*Inputs!$C$16*(Inputs!$C$9 + Inputs!$C$10*Inputs!$C$11 + Inputs!$C$12)*(1 + VLOOKUP(Inputs!$C$15,Lookups!$A$2:$B$20,2,TRUE)*(Scale!$B$9/IF(Scale!$B$8=0,1,Scale!$B$8)) + Inputs!$C$52))</f>
        <v/>
      </c>
      <c r="S131" s="50">
        <f>IF(A131=1,Scale!$B$13, W130)</f>
        <v/>
      </c>
      <c r="T131" s="50">
        <f>J131*Inputs!$C$16*(Inputs!$C$19 + Inputs!$C$20*Inputs!$C$21 + 1/Inputs!$C$18)</f>
        <v/>
      </c>
      <c r="U131" s="50">
        <f>MAX(0, (R131*(1+Inputs!$C$74)) - (S131 - T131))</f>
        <v/>
      </c>
      <c r="V131" s="50">
        <f>IF(A131&lt;=Inputs!$C$73,0,INDEX(U:U,ROW()-Inputs!$C$73))</f>
        <v/>
      </c>
      <c r="W131" s="50">
        <f>S131 - T131 + V131</f>
        <v/>
      </c>
      <c r="X131" s="52">
        <f>V131*Inputs!$C$17</f>
        <v/>
      </c>
      <c r="Y131" s="52">
        <f>IF(A131&gt;Inputs!$C$62,"",C131*AE131)</f>
        <v/>
      </c>
      <c r="Z131" s="52">
        <f>IF(A131=1,Inputs!$C$72,AA130)</f>
        <v/>
      </c>
      <c r="AA131" s="52">
        <f>Z131 + M131 - N131 - P131 - X131 - Y131</f>
        <v/>
      </c>
      <c r="AB131" s="53">
        <f>IF(AA131&lt;0,1,0)</f>
        <v/>
      </c>
      <c r="AC131" s="54">
        <f>IF(AD131=0,0,R131/(AD131*Inputs!$C$16))</f>
        <v/>
      </c>
      <c r="AD131" s="53">
        <f>IF(A131&gt;Inputs!$C$62,"",B131+C131)</f>
        <v/>
      </c>
      <c r="AE131" s="56">
        <f>IF(A131&gt;Inputs!$C$62,"", Inputs!$C$65*(1+Inputs!$C$89*POWER(MIN(1,IF(Inputs!$C$88=0,0,B131/Inputs!$C$88)),Inputs!$C$90)))</f>
        <v/>
      </c>
      <c r="AF131" s="52">
        <f>IF(A131&gt;Inputs!$C$62,"",IF(A131=1,Inputs!$C$86,MIN(Inputs!$C$86,Inputs!$C$87*M130)))</f>
        <v/>
      </c>
      <c r="AG131" s="51">
        <f>IF(A131&gt;Inputs!$C$62,"",MIN(0.5,MAX(0, Inputs!$C$67*L131 + Inputs!$C$68*(1-K131) + Inputs!$C$69*Inputs!$C$10)))</f>
        <v/>
      </c>
      <c r="AH131" s="51">
        <f>IF(A131&gt;Inputs!$C$62,"",INDEX(CapacityPlan!$G$7:$G$266,A131))</f>
        <v/>
      </c>
      <c r="AI131" s="54">
        <f>IF(A131&gt;Inputs!$C$62,"",INDEX(CapacityPlan!$J$7:$J$266,A131))</f>
        <v/>
      </c>
      <c r="AJ131" s="51">
        <f>IF(A131&gt;Inputs!$C$62,"",IF(I131=0,"",G131/I131))</f>
        <v/>
      </c>
    </row>
    <row r="132" ht="16" customHeight="1">
      <c r="A132" s="15" t="n">
        <v>110</v>
      </c>
      <c r="B132" s="50">
        <f>IF(A132&gt;Inputs!$C$62,"",IF(Inputs!$C$80=1,INDEX(Cohorts!$B$67:$B$326,A132),IF(A132=1,Inputs!$C$63,F131)))</f>
        <v/>
      </c>
      <c r="C132" s="50">
        <f>IF(A132&gt;Inputs!$C$62,"",IF(Inputs!$C$85=0,Inputs!$C$64,MIN(Inputs!$C$91,IF(AE132=0,0,AF132/AE132))))</f>
        <v/>
      </c>
      <c r="D132" s="51">
        <f>IF(A132&gt;Inputs!$C$62,"",IF(Inputs!$C$80=1,INDEX(Cohorts!$G$67:$G$326,A132),MAX(0, Inputs!$C$66 + Inputs!$C$67*L132 + Inputs!$C$68*(1-K132) + Inputs!$C$69*Inputs!$C$10)))</f>
        <v/>
      </c>
      <c r="E132" s="50">
        <f>IF(A132&gt;Inputs!$C$62,"",IF(Inputs!$C$80=1,INDEX(Cohorts!$H$67:$H$326,A132),D132*AD132))</f>
        <v/>
      </c>
      <c r="F132" s="50">
        <f>IF(A132&gt;Inputs!$C$62,"",IF(Inputs!$C$80=1,INDEX(Cohorts!$I$67:$I$326,A132),AD132-E132))</f>
        <v/>
      </c>
      <c r="G132" s="50">
        <f>IF(A132&gt;Inputs!$C$62,"",AD132)</f>
        <v/>
      </c>
      <c r="H132" s="50">
        <f>IF(A132&gt;Inputs!$C$62,"",INDEX(CapacityPlan!$E$7:$E$266,A132))</f>
        <v/>
      </c>
      <c r="I132" s="50">
        <f>IF(A132&gt;Inputs!$C$62,"",INDEX(CapacityPlan!$I$7:$I$266,A132))</f>
        <v/>
      </c>
      <c r="J132" s="50">
        <f>IF(A132&gt;Inputs!$C$62,"",IF(G132&gt;I132,I132,G132))</f>
        <v/>
      </c>
      <c r="K132" s="51">
        <f>IF(A132&gt;Inputs!$C$62,"",IF(G132=0,1,J132/G132))</f>
        <v/>
      </c>
      <c r="L132" s="51">
        <f>IF((Inputs!$C$36 + UnitEconomics!$B$12*Inputs!$C$37 + Inputs!$C$10*Inputs!$C$38 + Inputs!$C$70*(1-K132))&gt;1,1,(Inputs!$C$36 + UnitEconomics!$B$12*Inputs!$C$37 + Inputs!$C$10*Inputs!$C$38 + Inputs!$C$70*(1-K132)))</f>
        <v/>
      </c>
      <c r="M132" s="52">
        <f>IF(A132&gt;Inputs!$C$62,"",J132*Inputs!$C$7*(1-Inputs!$C$8)*(1-L132))</f>
        <v/>
      </c>
      <c r="N132" s="52">
        <f>IF(A132&gt;Inputs!$C$62,"",J132*UnitEconomics!$B$32*AI132 + (G132-J132)*Inputs!$C$71)</f>
        <v/>
      </c>
      <c r="O132" s="52">
        <f>M132-N132</f>
        <v/>
      </c>
      <c r="P132" s="52">
        <f>IF(A132&gt;Inputs!$C$62,"",Inputs!$C$40 + H132*Inputs!$C$41)</f>
        <v/>
      </c>
      <c r="Q132" s="52">
        <f>O132-P132</f>
        <v/>
      </c>
      <c r="R132" s="50">
        <f>IF(A132&gt;Inputs!$C$62,"",AD132*Inputs!$C$16*(Inputs!$C$9 + Inputs!$C$10*Inputs!$C$11 + Inputs!$C$12)*(1 + VLOOKUP(Inputs!$C$15,Lookups!$A$2:$B$20,2,TRUE)*(Scale!$B$9/IF(Scale!$B$8=0,1,Scale!$B$8)) + Inputs!$C$52))</f>
        <v/>
      </c>
      <c r="S132" s="50">
        <f>IF(A132=1,Scale!$B$13, W131)</f>
        <v/>
      </c>
      <c r="T132" s="50">
        <f>J132*Inputs!$C$16*(Inputs!$C$19 + Inputs!$C$20*Inputs!$C$21 + 1/Inputs!$C$18)</f>
        <v/>
      </c>
      <c r="U132" s="50">
        <f>MAX(0, (R132*(1+Inputs!$C$74)) - (S132 - T132))</f>
        <v/>
      </c>
      <c r="V132" s="50">
        <f>IF(A132&lt;=Inputs!$C$73,0,INDEX(U:U,ROW()-Inputs!$C$73))</f>
        <v/>
      </c>
      <c r="W132" s="50">
        <f>S132 - T132 + V132</f>
        <v/>
      </c>
      <c r="X132" s="52">
        <f>V132*Inputs!$C$17</f>
        <v/>
      </c>
      <c r="Y132" s="52">
        <f>IF(A132&gt;Inputs!$C$62,"",C132*AE132)</f>
        <v/>
      </c>
      <c r="Z132" s="52">
        <f>IF(A132=1,Inputs!$C$72,AA131)</f>
        <v/>
      </c>
      <c r="AA132" s="52">
        <f>Z132 + M132 - N132 - P132 - X132 - Y132</f>
        <v/>
      </c>
      <c r="AB132" s="53">
        <f>IF(AA132&lt;0,1,0)</f>
        <v/>
      </c>
      <c r="AC132" s="54">
        <f>IF(AD132=0,0,R132/(AD132*Inputs!$C$16))</f>
        <v/>
      </c>
      <c r="AD132" s="53">
        <f>IF(A132&gt;Inputs!$C$62,"",B132+C132)</f>
        <v/>
      </c>
      <c r="AE132" s="56">
        <f>IF(A132&gt;Inputs!$C$62,"", Inputs!$C$65*(1+Inputs!$C$89*POWER(MIN(1,IF(Inputs!$C$88=0,0,B132/Inputs!$C$88)),Inputs!$C$90)))</f>
        <v/>
      </c>
      <c r="AF132" s="52">
        <f>IF(A132&gt;Inputs!$C$62,"",IF(A132=1,Inputs!$C$86,MIN(Inputs!$C$86,Inputs!$C$87*M131)))</f>
        <v/>
      </c>
      <c r="AG132" s="51">
        <f>IF(A132&gt;Inputs!$C$62,"",MIN(0.5,MAX(0, Inputs!$C$67*L132 + Inputs!$C$68*(1-K132) + Inputs!$C$69*Inputs!$C$10)))</f>
        <v/>
      </c>
      <c r="AH132" s="51">
        <f>IF(A132&gt;Inputs!$C$62,"",INDEX(CapacityPlan!$G$7:$G$266,A132))</f>
        <v/>
      </c>
      <c r="AI132" s="54">
        <f>IF(A132&gt;Inputs!$C$62,"",INDEX(CapacityPlan!$J$7:$J$266,A132))</f>
        <v/>
      </c>
      <c r="AJ132" s="51">
        <f>IF(A132&gt;Inputs!$C$62,"",IF(I132=0,"",G132/I132))</f>
        <v/>
      </c>
    </row>
    <row r="133" ht="16" customHeight="1">
      <c r="A133" s="15" t="n">
        <v>111</v>
      </c>
      <c r="B133" s="50">
        <f>IF(A133&gt;Inputs!$C$62,"",IF(Inputs!$C$80=1,INDEX(Cohorts!$B$67:$B$326,A133),IF(A133=1,Inputs!$C$63,F132)))</f>
        <v/>
      </c>
      <c r="C133" s="50">
        <f>IF(A133&gt;Inputs!$C$62,"",IF(Inputs!$C$85=0,Inputs!$C$64,MIN(Inputs!$C$91,IF(AE133=0,0,AF133/AE133))))</f>
        <v/>
      </c>
      <c r="D133" s="51">
        <f>IF(A133&gt;Inputs!$C$62,"",IF(Inputs!$C$80=1,INDEX(Cohorts!$G$67:$G$326,A133),MAX(0, Inputs!$C$66 + Inputs!$C$67*L133 + Inputs!$C$68*(1-K133) + Inputs!$C$69*Inputs!$C$10)))</f>
        <v/>
      </c>
      <c r="E133" s="50">
        <f>IF(A133&gt;Inputs!$C$62,"",IF(Inputs!$C$80=1,INDEX(Cohorts!$H$67:$H$326,A133),D133*AD133))</f>
        <v/>
      </c>
      <c r="F133" s="50">
        <f>IF(A133&gt;Inputs!$C$62,"",IF(Inputs!$C$80=1,INDEX(Cohorts!$I$67:$I$326,A133),AD133-E133))</f>
        <v/>
      </c>
      <c r="G133" s="50">
        <f>IF(A133&gt;Inputs!$C$62,"",AD133)</f>
        <v/>
      </c>
      <c r="H133" s="50">
        <f>IF(A133&gt;Inputs!$C$62,"",INDEX(CapacityPlan!$E$7:$E$266,A133))</f>
        <v/>
      </c>
      <c r="I133" s="50">
        <f>IF(A133&gt;Inputs!$C$62,"",INDEX(CapacityPlan!$I$7:$I$266,A133))</f>
        <v/>
      </c>
      <c r="J133" s="50">
        <f>IF(A133&gt;Inputs!$C$62,"",IF(G133&gt;I133,I133,G133))</f>
        <v/>
      </c>
      <c r="K133" s="51">
        <f>IF(A133&gt;Inputs!$C$62,"",IF(G133=0,1,J133/G133))</f>
        <v/>
      </c>
      <c r="L133" s="51">
        <f>IF((Inputs!$C$36 + UnitEconomics!$B$12*Inputs!$C$37 + Inputs!$C$10*Inputs!$C$38 + Inputs!$C$70*(1-K133))&gt;1,1,(Inputs!$C$36 + UnitEconomics!$B$12*Inputs!$C$37 + Inputs!$C$10*Inputs!$C$38 + Inputs!$C$70*(1-K133)))</f>
        <v/>
      </c>
      <c r="M133" s="52">
        <f>IF(A133&gt;Inputs!$C$62,"",J133*Inputs!$C$7*(1-Inputs!$C$8)*(1-L133))</f>
        <v/>
      </c>
      <c r="N133" s="52">
        <f>IF(A133&gt;Inputs!$C$62,"",J133*UnitEconomics!$B$32*AI133 + (G133-J133)*Inputs!$C$71)</f>
        <v/>
      </c>
      <c r="O133" s="52">
        <f>M133-N133</f>
        <v/>
      </c>
      <c r="P133" s="52">
        <f>IF(A133&gt;Inputs!$C$62,"",Inputs!$C$40 + H133*Inputs!$C$41)</f>
        <v/>
      </c>
      <c r="Q133" s="52">
        <f>O133-P133</f>
        <v/>
      </c>
      <c r="R133" s="50">
        <f>IF(A133&gt;Inputs!$C$62,"",AD133*Inputs!$C$16*(Inputs!$C$9 + Inputs!$C$10*Inputs!$C$11 + Inputs!$C$12)*(1 + VLOOKUP(Inputs!$C$15,Lookups!$A$2:$B$20,2,TRUE)*(Scale!$B$9/IF(Scale!$B$8=0,1,Scale!$B$8)) + Inputs!$C$52))</f>
        <v/>
      </c>
      <c r="S133" s="50">
        <f>IF(A133=1,Scale!$B$13, W132)</f>
        <v/>
      </c>
      <c r="T133" s="50">
        <f>J133*Inputs!$C$16*(Inputs!$C$19 + Inputs!$C$20*Inputs!$C$21 + 1/Inputs!$C$18)</f>
        <v/>
      </c>
      <c r="U133" s="50">
        <f>MAX(0, (R133*(1+Inputs!$C$74)) - (S133 - T133))</f>
        <v/>
      </c>
      <c r="V133" s="50">
        <f>IF(A133&lt;=Inputs!$C$73,0,INDEX(U:U,ROW()-Inputs!$C$73))</f>
        <v/>
      </c>
      <c r="W133" s="50">
        <f>S133 - T133 + V133</f>
        <v/>
      </c>
      <c r="X133" s="52">
        <f>V133*Inputs!$C$17</f>
        <v/>
      </c>
      <c r="Y133" s="52">
        <f>IF(A133&gt;Inputs!$C$62,"",C133*AE133)</f>
        <v/>
      </c>
      <c r="Z133" s="52">
        <f>IF(A133=1,Inputs!$C$72,AA132)</f>
        <v/>
      </c>
      <c r="AA133" s="52">
        <f>Z133 + M133 - N133 - P133 - X133 - Y133</f>
        <v/>
      </c>
      <c r="AB133" s="53">
        <f>IF(AA133&lt;0,1,0)</f>
        <v/>
      </c>
      <c r="AC133" s="54">
        <f>IF(AD133=0,0,R133/(AD133*Inputs!$C$16))</f>
        <v/>
      </c>
      <c r="AD133" s="53">
        <f>IF(A133&gt;Inputs!$C$62,"",B133+C133)</f>
        <v/>
      </c>
      <c r="AE133" s="56">
        <f>IF(A133&gt;Inputs!$C$62,"", Inputs!$C$65*(1+Inputs!$C$89*POWER(MIN(1,IF(Inputs!$C$88=0,0,B133/Inputs!$C$88)),Inputs!$C$90)))</f>
        <v/>
      </c>
      <c r="AF133" s="52">
        <f>IF(A133&gt;Inputs!$C$62,"",IF(A133=1,Inputs!$C$86,MIN(Inputs!$C$86,Inputs!$C$87*M132)))</f>
        <v/>
      </c>
      <c r="AG133" s="51">
        <f>IF(A133&gt;Inputs!$C$62,"",MIN(0.5,MAX(0, Inputs!$C$67*L133 + Inputs!$C$68*(1-K133) + Inputs!$C$69*Inputs!$C$10)))</f>
        <v/>
      </c>
      <c r="AH133" s="51">
        <f>IF(A133&gt;Inputs!$C$62,"",INDEX(CapacityPlan!$G$7:$G$266,A133))</f>
        <v/>
      </c>
      <c r="AI133" s="54">
        <f>IF(A133&gt;Inputs!$C$62,"",INDEX(CapacityPlan!$J$7:$J$266,A133))</f>
        <v/>
      </c>
      <c r="AJ133" s="51">
        <f>IF(A133&gt;Inputs!$C$62,"",IF(I133=0,"",G133/I133))</f>
        <v/>
      </c>
    </row>
    <row r="134" ht="16" customHeight="1">
      <c r="A134" s="15" t="n">
        <v>112</v>
      </c>
      <c r="B134" s="50">
        <f>IF(A134&gt;Inputs!$C$62,"",IF(Inputs!$C$80=1,INDEX(Cohorts!$B$67:$B$326,A134),IF(A134=1,Inputs!$C$63,F133)))</f>
        <v/>
      </c>
      <c r="C134" s="50">
        <f>IF(A134&gt;Inputs!$C$62,"",IF(Inputs!$C$85=0,Inputs!$C$64,MIN(Inputs!$C$91,IF(AE134=0,0,AF134/AE134))))</f>
        <v/>
      </c>
      <c r="D134" s="51">
        <f>IF(A134&gt;Inputs!$C$62,"",IF(Inputs!$C$80=1,INDEX(Cohorts!$G$67:$G$326,A134),MAX(0, Inputs!$C$66 + Inputs!$C$67*L134 + Inputs!$C$68*(1-K134) + Inputs!$C$69*Inputs!$C$10)))</f>
        <v/>
      </c>
      <c r="E134" s="50">
        <f>IF(A134&gt;Inputs!$C$62,"",IF(Inputs!$C$80=1,INDEX(Cohorts!$H$67:$H$326,A134),D134*AD134))</f>
        <v/>
      </c>
      <c r="F134" s="50">
        <f>IF(A134&gt;Inputs!$C$62,"",IF(Inputs!$C$80=1,INDEX(Cohorts!$I$67:$I$326,A134),AD134-E134))</f>
        <v/>
      </c>
      <c r="G134" s="50">
        <f>IF(A134&gt;Inputs!$C$62,"",AD134)</f>
        <v/>
      </c>
      <c r="H134" s="50">
        <f>IF(A134&gt;Inputs!$C$62,"",INDEX(CapacityPlan!$E$7:$E$266,A134))</f>
        <v/>
      </c>
      <c r="I134" s="50">
        <f>IF(A134&gt;Inputs!$C$62,"",INDEX(CapacityPlan!$I$7:$I$266,A134))</f>
        <v/>
      </c>
      <c r="J134" s="50">
        <f>IF(A134&gt;Inputs!$C$62,"",IF(G134&gt;I134,I134,G134))</f>
        <v/>
      </c>
      <c r="K134" s="51">
        <f>IF(A134&gt;Inputs!$C$62,"",IF(G134=0,1,J134/G134))</f>
        <v/>
      </c>
      <c r="L134" s="51">
        <f>IF((Inputs!$C$36 + UnitEconomics!$B$12*Inputs!$C$37 + Inputs!$C$10*Inputs!$C$38 + Inputs!$C$70*(1-K134))&gt;1,1,(Inputs!$C$36 + UnitEconomics!$B$12*Inputs!$C$37 + Inputs!$C$10*Inputs!$C$38 + Inputs!$C$70*(1-K134)))</f>
        <v/>
      </c>
      <c r="M134" s="52">
        <f>IF(A134&gt;Inputs!$C$62,"",J134*Inputs!$C$7*(1-Inputs!$C$8)*(1-L134))</f>
        <v/>
      </c>
      <c r="N134" s="52">
        <f>IF(A134&gt;Inputs!$C$62,"",J134*UnitEconomics!$B$32*AI134 + (G134-J134)*Inputs!$C$71)</f>
        <v/>
      </c>
      <c r="O134" s="52">
        <f>M134-N134</f>
        <v/>
      </c>
      <c r="P134" s="52">
        <f>IF(A134&gt;Inputs!$C$62,"",Inputs!$C$40 + H134*Inputs!$C$41)</f>
        <v/>
      </c>
      <c r="Q134" s="52">
        <f>O134-P134</f>
        <v/>
      </c>
      <c r="R134" s="50">
        <f>IF(A134&gt;Inputs!$C$62,"",AD134*Inputs!$C$16*(Inputs!$C$9 + Inputs!$C$10*Inputs!$C$11 + Inputs!$C$12)*(1 + VLOOKUP(Inputs!$C$15,Lookups!$A$2:$B$20,2,TRUE)*(Scale!$B$9/IF(Scale!$B$8=0,1,Scale!$B$8)) + Inputs!$C$52))</f>
        <v/>
      </c>
      <c r="S134" s="50">
        <f>IF(A134=1,Scale!$B$13, W133)</f>
        <v/>
      </c>
      <c r="T134" s="50">
        <f>J134*Inputs!$C$16*(Inputs!$C$19 + Inputs!$C$20*Inputs!$C$21 + 1/Inputs!$C$18)</f>
        <v/>
      </c>
      <c r="U134" s="50">
        <f>MAX(0, (R134*(1+Inputs!$C$74)) - (S134 - T134))</f>
        <v/>
      </c>
      <c r="V134" s="50">
        <f>IF(A134&lt;=Inputs!$C$73,0,INDEX(U:U,ROW()-Inputs!$C$73))</f>
        <v/>
      </c>
      <c r="W134" s="50">
        <f>S134 - T134 + V134</f>
        <v/>
      </c>
      <c r="X134" s="52">
        <f>V134*Inputs!$C$17</f>
        <v/>
      </c>
      <c r="Y134" s="52">
        <f>IF(A134&gt;Inputs!$C$62,"",C134*AE134)</f>
        <v/>
      </c>
      <c r="Z134" s="52">
        <f>IF(A134=1,Inputs!$C$72,AA133)</f>
        <v/>
      </c>
      <c r="AA134" s="52">
        <f>Z134 + M134 - N134 - P134 - X134 - Y134</f>
        <v/>
      </c>
      <c r="AB134" s="53">
        <f>IF(AA134&lt;0,1,0)</f>
        <v/>
      </c>
      <c r="AC134" s="54">
        <f>IF(AD134=0,0,R134/(AD134*Inputs!$C$16))</f>
        <v/>
      </c>
      <c r="AD134" s="53">
        <f>IF(A134&gt;Inputs!$C$62,"",B134+C134)</f>
        <v/>
      </c>
      <c r="AE134" s="56">
        <f>IF(A134&gt;Inputs!$C$62,"", Inputs!$C$65*(1+Inputs!$C$89*POWER(MIN(1,IF(Inputs!$C$88=0,0,B134/Inputs!$C$88)),Inputs!$C$90)))</f>
        <v/>
      </c>
      <c r="AF134" s="52">
        <f>IF(A134&gt;Inputs!$C$62,"",IF(A134=1,Inputs!$C$86,MIN(Inputs!$C$86,Inputs!$C$87*M133)))</f>
        <v/>
      </c>
      <c r="AG134" s="51">
        <f>IF(A134&gt;Inputs!$C$62,"",MIN(0.5,MAX(0, Inputs!$C$67*L134 + Inputs!$C$68*(1-K134) + Inputs!$C$69*Inputs!$C$10)))</f>
        <v/>
      </c>
      <c r="AH134" s="51">
        <f>IF(A134&gt;Inputs!$C$62,"",INDEX(CapacityPlan!$G$7:$G$266,A134))</f>
        <v/>
      </c>
      <c r="AI134" s="54">
        <f>IF(A134&gt;Inputs!$C$62,"",INDEX(CapacityPlan!$J$7:$J$266,A134))</f>
        <v/>
      </c>
      <c r="AJ134" s="51">
        <f>IF(A134&gt;Inputs!$C$62,"",IF(I134=0,"",G134/I134))</f>
        <v/>
      </c>
    </row>
    <row r="135" ht="16" customHeight="1">
      <c r="A135" s="15" t="n">
        <v>113</v>
      </c>
      <c r="B135" s="50">
        <f>IF(A135&gt;Inputs!$C$62,"",IF(Inputs!$C$80=1,INDEX(Cohorts!$B$67:$B$326,A135),IF(A135=1,Inputs!$C$63,F134)))</f>
        <v/>
      </c>
      <c r="C135" s="50">
        <f>IF(A135&gt;Inputs!$C$62,"",IF(Inputs!$C$85=0,Inputs!$C$64,MIN(Inputs!$C$91,IF(AE135=0,0,AF135/AE135))))</f>
        <v/>
      </c>
      <c r="D135" s="51">
        <f>IF(A135&gt;Inputs!$C$62,"",IF(Inputs!$C$80=1,INDEX(Cohorts!$G$67:$G$326,A135),MAX(0, Inputs!$C$66 + Inputs!$C$67*L135 + Inputs!$C$68*(1-K135) + Inputs!$C$69*Inputs!$C$10)))</f>
        <v/>
      </c>
      <c r="E135" s="50">
        <f>IF(A135&gt;Inputs!$C$62,"",IF(Inputs!$C$80=1,INDEX(Cohorts!$H$67:$H$326,A135),D135*AD135))</f>
        <v/>
      </c>
      <c r="F135" s="50">
        <f>IF(A135&gt;Inputs!$C$62,"",IF(Inputs!$C$80=1,INDEX(Cohorts!$I$67:$I$326,A135),AD135-E135))</f>
        <v/>
      </c>
      <c r="G135" s="50">
        <f>IF(A135&gt;Inputs!$C$62,"",AD135)</f>
        <v/>
      </c>
      <c r="H135" s="50">
        <f>IF(A135&gt;Inputs!$C$62,"",INDEX(CapacityPlan!$E$7:$E$266,A135))</f>
        <v/>
      </c>
      <c r="I135" s="50">
        <f>IF(A135&gt;Inputs!$C$62,"",INDEX(CapacityPlan!$I$7:$I$266,A135))</f>
        <v/>
      </c>
      <c r="J135" s="50">
        <f>IF(A135&gt;Inputs!$C$62,"",IF(G135&gt;I135,I135,G135))</f>
        <v/>
      </c>
      <c r="K135" s="51">
        <f>IF(A135&gt;Inputs!$C$62,"",IF(G135=0,1,J135/G135))</f>
        <v/>
      </c>
      <c r="L135" s="51">
        <f>IF((Inputs!$C$36 + UnitEconomics!$B$12*Inputs!$C$37 + Inputs!$C$10*Inputs!$C$38 + Inputs!$C$70*(1-K135))&gt;1,1,(Inputs!$C$36 + UnitEconomics!$B$12*Inputs!$C$37 + Inputs!$C$10*Inputs!$C$38 + Inputs!$C$70*(1-K135)))</f>
        <v/>
      </c>
      <c r="M135" s="52">
        <f>IF(A135&gt;Inputs!$C$62,"",J135*Inputs!$C$7*(1-Inputs!$C$8)*(1-L135))</f>
        <v/>
      </c>
      <c r="N135" s="52">
        <f>IF(A135&gt;Inputs!$C$62,"",J135*UnitEconomics!$B$32*AI135 + (G135-J135)*Inputs!$C$71)</f>
        <v/>
      </c>
      <c r="O135" s="52">
        <f>M135-N135</f>
        <v/>
      </c>
      <c r="P135" s="52">
        <f>IF(A135&gt;Inputs!$C$62,"",Inputs!$C$40 + H135*Inputs!$C$41)</f>
        <v/>
      </c>
      <c r="Q135" s="52">
        <f>O135-P135</f>
        <v/>
      </c>
      <c r="R135" s="50">
        <f>IF(A135&gt;Inputs!$C$62,"",AD135*Inputs!$C$16*(Inputs!$C$9 + Inputs!$C$10*Inputs!$C$11 + Inputs!$C$12)*(1 + VLOOKUP(Inputs!$C$15,Lookups!$A$2:$B$20,2,TRUE)*(Scale!$B$9/IF(Scale!$B$8=0,1,Scale!$B$8)) + Inputs!$C$52))</f>
        <v/>
      </c>
      <c r="S135" s="50">
        <f>IF(A135=1,Scale!$B$13, W134)</f>
        <v/>
      </c>
      <c r="T135" s="50">
        <f>J135*Inputs!$C$16*(Inputs!$C$19 + Inputs!$C$20*Inputs!$C$21 + 1/Inputs!$C$18)</f>
        <v/>
      </c>
      <c r="U135" s="50">
        <f>MAX(0, (R135*(1+Inputs!$C$74)) - (S135 - T135))</f>
        <v/>
      </c>
      <c r="V135" s="50">
        <f>IF(A135&lt;=Inputs!$C$73,0,INDEX(U:U,ROW()-Inputs!$C$73))</f>
        <v/>
      </c>
      <c r="W135" s="50">
        <f>S135 - T135 + V135</f>
        <v/>
      </c>
      <c r="X135" s="52">
        <f>V135*Inputs!$C$17</f>
        <v/>
      </c>
      <c r="Y135" s="52">
        <f>IF(A135&gt;Inputs!$C$62,"",C135*AE135)</f>
        <v/>
      </c>
      <c r="Z135" s="52">
        <f>IF(A135=1,Inputs!$C$72,AA134)</f>
        <v/>
      </c>
      <c r="AA135" s="52">
        <f>Z135 + M135 - N135 - P135 - X135 - Y135</f>
        <v/>
      </c>
      <c r="AB135" s="53">
        <f>IF(AA135&lt;0,1,0)</f>
        <v/>
      </c>
      <c r="AC135" s="54">
        <f>IF(AD135=0,0,R135/(AD135*Inputs!$C$16))</f>
        <v/>
      </c>
      <c r="AD135" s="53">
        <f>IF(A135&gt;Inputs!$C$62,"",B135+C135)</f>
        <v/>
      </c>
      <c r="AE135" s="56">
        <f>IF(A135&gt;Inputs!$C$62,"", Inputs!$C$65*(1+Inputs!$C$89*POWER(MIN(1,IF(Inputs!$C$88=0,0,B135/Inputs!$C$88)),Inputs!$C$90)))</f>
        <v/>
      </c>
      <c r="AF135" s="52">
        <f>IF(A135&gt;Inputs!$C$62,"",IF(A135=1,Inputs!$C$86,MIN(Inputs!$C$86,Inputs!$C$87*M134)))</f>
        <v/>
      </c>
      <c r="AG135" s="51">
        <f>IF(A135&gt;Inputs!$C$62,"",MIN(0.5,MAX(0, Inputs!$C$67*L135 + Inputs!$C$68*(1-K135) + Inputs!$C$69*Inputs!$C$10)))</f>
        <v/>
      </c>
      <c r="AH135" s="51">
        <f>IF(A135&gt;Inputs!$C$62,"",INDEX(CapacityPlan!$G$7:$G$266,A135))</f>
        <v/>
      </c>
      <c r="AI135" s="54">
        <f>IF(A135&gt;Inputs!$C$62,"",INDEX(CapacityPlan!$J$7:$J$266,A135))</f>
        <v/>
      </c>
      <c r="AJ135" s="51">
        <f>IF(A135&gt;Inputs!$C$62,"",IF(I135=0,"",G135/I135))</f>
        <v/>
      </c>
    </row>
    <row r="136" ht="16" customHeight="1">
      <c r="A136" s="15" t="n">
        <v>114</v>
      </c>
      <c r="B136" s="50">
        <f>IF(A136&gt;Inputs!$C$62,"",IF(Inputs!$C$80=1,INDEX(Cohorts!$B$67:$B$326,A136),IF(A136=1,Inputs!$C$63,F135)))</f>
        <v/>
      </c>
      <c r="C136" s="50">
        <f>IF(A136&gt;Inputs!$C$62,"",IF(Inputs!$C$85=0,Inputs!$C$64,MIN(Inputs!$C$91,IF(AE136=0,0,AF136/AE136))))</f>
        <v/>
      </c>
      <c r="D136" s="51">
        <f>IF(A136&gt;Inputs!$C$62,"",IF(Inputs!$C$80=1,INDEX(Cohorts!$G$67:$G$326,A136),MAX(0, Inputs!$C$66 + Inputs!$C$67*L136 + Inputs!$C$68*(1-K136) + Inputs!$C$69*Inputs!$C$10)))</f>
        <v/>
      </c>
      <c r="E136" s="50">
        <f>IF(A136&gt;Inputs!$C$62,"",IF(Inputs!$C$80=1,INDEX(Cohorts!$H$67:$H$326,A136),D136*AD136))</f>
        <v/>
      </c>
      <c r="F136" s="50">
        <f>IF(A136&gt;Inputs!$C$62,"",IF(Inputs!$C$80=1,INDEX(Cohorts!$I$67:$I$326,A136),AD136-E136))</f>
        <v/>
      </c>
      <c r="G136" s="50">
        <f>IF(A136&gt;Inputs!$C$62,"",AD136)</f>
        <v/>
      </c>
      <c r="H136" s="50">
        <f>IF(A136&gt;Inputs!$C$62,"",INDEX(CapacityPlan!$E$7:$E$266,A136))</f>
        <v/>
      </c>
      <c r="I136" s="50">
        <f>IF(A136&gt;Inputs!$C$62,"",INDEX(CapacityPlan!$I$7:$I$266,A136))</f>
        <v/>
      </c>
      <c r="J136" s="50">
        <f>IF(A136&gt;Inputs!$C$62,"",IF(G136&gt;I136,I136,G136))</f>
        <v/>
      </c>
      <c r="K136" s="51">
        <f>IF(A136&gt;Inputs!$C$62,"",IF(G136=0,1,J136/G136))</f>
        <v/>
      </c>
      <c r="L136" s="51">
        <f>IF((Inputs!$C$36 + UnitEconomics!$B$12*Inputs!$C$37 + Inputs!$C$10*Inputs!$C$38 + Inputs!$C$70*(1-K136))&gt;1,1,(Inputs!$C$36 + UnitEconomics!$B$12*Inputs!$C$37 + Inputs!$C$10*Inputs!$C$38 + Inputs!$C$70*(1-K136)))</f>
        <v/>
      </c>
      <c r="M136" s="52">
        <f>IF(A136&gt;Inputs!$C$62,"",J136*Inputs!$C$7*(1-Inputs!$C$8)*(1-L136))</f>
        <v/>
      </c>
      <c r="N136" s="52">
        <f>IF(A136&gt;Inputs!$C$62,"",J136*UnitEconomics!$B$32*AI136 + (G136-J136)*Inputs!$C$71)</f>
        <v/>
      </c>
      <c r="O136" s="52">
        <f>M136-N136</f>
        <v/>
      </c>
      <c r="P136" s="52">
        <f>IF(A136&gt;Inputs!$C$62,"",Inputs!$C$40 + H136*Inputs!$C$41)</f>
        <v/>
      </c>
      <c r="Q136" s="52">
        <f>O136-P136</f>
        <v/>
      </c>
      <c r="R136" s="50">
        <f>IF(A136&gt;Inputs!$C$62,"",AD136*Inputs!$C$16*(Inputs!$C$9 + Inputs!$C$10*Inputs!$C$11 + Inputs!$C$12)*(1 + VLOOKUP(Inputs!$C$15,Lookups!$A$2:$B$20,2,TRUE)*(Scale!$B$9/IF(Scale!$B$8=0,1,Scale!$B$8)) + Inputs!$C$52))</f>
        <v/>
      </c>
      <c r="S136" s="50">
        <f>IF(A136=1,Scale!$B$13, W135)</f>
        <v/>
      </c>
      <c r="T136" s="50">
        <f>J136*Inputs!$C$16*(Inputs!$C$19 + Inputs!$C$20*Inputs!$C$21 + 1/Inputs!$C$18)</f>
        <v/>
      </c>
      <c r="U136" s="50">
        <f>MAX(0, (R136*(1+Inputs!$C$74)) - (S136 - T136))</f>
        <v/>
      </c>
      <c r="V136" s="50">
        <f>IF(A136&lt;=Inputs!$C$73,0,INDEX(U:U,ROW()-Inputs!$C$73))</f>
        <v/>
      </c>
      <c r="W136" s="50">
        <f>S136 - T136 + V136</f>
        <v/>
      </c>
      <c r="X136" s="52">
        <f>V136*Inputs!$C$17</f>
        <v/>
      </c>
      <c r="Y136" s="52">
        <f>IF(A136&gt;Inputs!$C$62,"",C136*AE136)</f>
        <v/>
      </c>
      <c r="Z136" s="52">
        <f>IF(A136=1,Inputs!$C$72,AA135)</f>
        <v/>
      </c>
      <c r="AA136" s="52">
        <f>Z136 + M136 - N136 - P136 - X136 - Y136</f>
        <v/>
      </c>
      <c r="AB136" s="53">
        <f>IF(AA136&lt;0,1,0)</f>
        <v/>
      </c>
      <c r="AC136" s="54">
        <f>IF(AD136=0,0,R136/(AD136*Inputs!$C$16))</f>
        <v/>
      </c>
      <c r="AD136" s="53">
        <f>IF(A136&gt;Inputs!$C$62,"",B136+C136)</f>
        <v/>
      </c>
      <c r="AE136" s="56">
        <f>IF(A136&gt;Inputs!$C$62,"", Inputs!$C$65*(1+Inputs!$C$89*POWER(MIN(1,IF(Inputs!$C$88=0,0,B136/Inputs!$C$88)),Inputs!$C$90)))</f>
        <v/>
      </c>
      <c r="AF136" s="52">
        <f>IF(A136&gt;Inputs!$C$62,"",IF(A136=1,Inputs!$C$86,MIN(Inputs!$C$86,Inputs!$C$87*M135)))</f>
        <v/>
      </c>
      <c r="AG136" s="51">
        <f>IF(A136&gt;Inputs!$C$62,"",MIN(0.5,MAX(0, Inputs!$C$67*L136 + Inputs!$C$68*(1-K136) + Inputs!$C$69*Inputs!$C$10)))</f>
        <v/>
      </c>
      <c r="AH136" s="51">
        <f>IF(A136&gt;Inputs!$C$62,"",INDEX(CapacityPlan!$G$7:$G$266,A136))</f>
        <v/>
      </c>
      <c r="AI136" s="54">
        <f>IF(A136&gt;Inputs!$C$62,"",INDEX(CapacityPlan!$J$7:$J$266,A136))</f>
        <v/>
      </c>
      <c r="AJ136" s="51">
        <f>IF(A136&gt;Inputs!$C$62,"",IF(I136=0,"",G136/I136))</f>
        <v/>
      </c>
    </row>
    <row r="137" ht="16" customHeight="1">
      <c r="A137" s="15" t="n">
        <v>115</v>
      </c>
      <c r="B137" s="50">
        <f>IF(A137&gt;Inputs!$C$62,"",IF(Inputs!$C$80=1,INDEX(Cohorts!$B$67:$B$326,A137),IF(A137=1,Inputs!$C$63,F136)))</f>
        <v/>
      </c>
      <c r="C137" s="50">
        <f>IF(A137&gt;Inputs!$C$62,"",IF(Inputs!$C$85=0,Inputs!$C$64,MIN(Inputs!$C$91,IF(AE137=0,0,AF137/AE137))))</f>
        <v/>
      </c>
      <c r="D137" s="51">
        <f>IF(A137&gt;Inputs!$C$62,"",IF(Inputs!$C$80=1,INDEX(Cohorts!$G$67:$G$326,A137),MAX(0, Inputs!$C$66 + Inputs!$C$67*L137 + Inputs!$C$68*(1-K137) + Inputs!$C$69*Inputs!$C$10)))</f>
        <v/>
      </c>
      <c r="E137" s="50">
        <f>IF(A137&gt;Inputs!$C$62,"",IF(Inputs!$C$80=1,INDEX(Cohorts!$H$67:$H$326,A137),D137*AD137))</f>
        <v/>
      </c>
      <c r="F137" s="50">
        <f>IF(A137&gt;Inputs!$C$62,"",IF(Inputs!$C$80=1,INDEX(Cohorts!$I$67:$I$326,A137),AD137-E137))</f>
        <v/>
      </c>
      <c r="G137" s="50">
        <f>IF(A137&gt;Inputs!$C$62,"",AD137)</f>
        <v/>
      </c>
      <c r="H137" s="50">
        <f>IF(A137&gt;Inputs!$C$62,"",INDEX(CapacityPlan!$E$7:$E$266,A137))</f>
        <v/>
      </c>
      <c r="I137" s="50">
        <f>IF(A137&gt;Inputs!$C$62,"",INDEX(CapacityPlan!$I$7:$I$266,A137))</f>
        <v/>
      </c>
      <c r="J137" s="50">
        <f>IF(A137&gt;Inputs!$C$62,"",IF(G137&gt;I137,I137,G137))</f>
        <v/>
      </c>
      <c r="K137" s="51">
        <f>IF(A137&gt;Inputs!$C$62,"",IF(G137=0,1,J137/G137))</f>
        <v/>
      </c>
      <c r="L137" s="51">
        <f>IF((Inputs!$C$36 + UnitEconomics!$B$12*Inputs!$C$37 + Inputs!$C$10*Inputs!$C$38 + Inputs!$C$70*(1-K137))&gt;1,1,(Inputs!$C$36 + UnitEconomics!$B$12*Inputs!$C$37 + Inputs!$C$10*Inputs!$C$38 + Inputs!$C$70*(1-K137)))</f>
        <v/>
      </c>
      <c r="M137" s="52">
        <f>IF(A137&gt;Inputs!$C$62,"",J137*Inputs!$C$7*(1-Inputs!$C$8)*(1-L137))</f>
        <v/>
      </c>
      <c r="N137" s="52">
        <f>IF(A137&gt;Inputs!$C$62,"",J137*UnitEconomics!$B$32*AI137 + (G137-J137)*Inputs!$C$71)</f>
        <v/>
      </c>
      <c r="O137" s="52">
        <f>M137-N137</f>
        <v/>
      </c>
      <c r="P137" s="52">
        <f>IF(A137&gt;Inputs!$C$62,"",Inputs!$C$40 + H137*Inputs!$C$41)</f>
        <v/>
      </c>
      <c r="Q137" s="52">
        <f>O137-P137</f>
        <v/>
      </c>
      <c r="R137" s="50">
        <f>IF(A137&gt;Inputs!$C$62,"",AD137*Inputs!$C$16*(Inputs!$C$9 + Inputs!$C$10*Inputs!$C$11 + Inputs!$C$12)*(1 + VLOOKUP(Inputs!$C$15,Lookups!$A$2:$B$20,2,TRUE)*(Scale!$B$9/IF(Scale!$B$8=0,1,Scale!$B$8)) + Inputs!$C$52))</f>
        <v/>
      </c>
      <c r="S137" s="50">
        <f>IF(A137=1,Scale!$B$13, W136)</f>
        <v/>
      </c>
      <c r="T137" s="50">
        <f>J137*Inputs!$C$16*(Inputs!$C$19 + Inputs!$C$20*Inputs!$C$21 + 1/Inputs!$C$18)</f>
        <v/>
      </c>
      <c r="U137" s="50">
        <f>MAX(0, (R137*(1+Inputs!$C$74)) - (S137 - T137))</f>
        <v/>
      </c>
      <c r="V137" s="50">
        <f>IF(A137&lt;=Inputs!$C$73,0,INDEX(U:U,ROW()-Inputs!$C$73))</f>
        <v/>
      </c>
      <c r="W137" s="50">
        <f>S137 - T137 + V137</f>
        <v/>
      </c>
      <c r="X137" s="52">
        <f>V137*Inputs!$C$17</f>
        <v/>
      </c>
      <c r="Y137" s="52">
        <f>IF(A137&gt;Inputs!$C$62,"",C137*AE137)</f>
        <v/>
      </c>
      <c r="Z137" s="52">
        <f>IF(A137=1,Inputs!$C$72,AA136)</f>
        <v/>
      </c>
      <c r="AA137" s="52">
        <f>Z137 + M137 - N137 - P137 - X137 - Y137</f>
        <v/>
      </c>
      <c r="AB137" s="53">
        <f>IF(AA137&lt;0,1,0)</f>
        <v/>
      </c>
      <c r="AC137" s="54">
        <f>IF(AD137=0,0,R137/(AD137*Inputs!$C$16))</f>
        <v/>
      </c>
      <c r="AD137" s="53">
        <f>IF(A137&gt;Inputs!$C$62,"",B137+C137)</f>
        <v/>
      </c>
      <c r="AE137" s="56">
        <f>IF(A137&gt;Inputs!$C$62,"", Inputs!$C$65*(1+Inputs!$C$89*POWER(MIN(1,IF(Inputs!$C$88=0,0,B137/Inputs!$C$88)),Inputs!$C$90)))</f>
        <v/>
      </c>
      <c r="AF137" s="52">
        <f>IF(A137&gt;Inputs!$C$62,"",IF(A137=1,Inputs!$C$86,MIN(Inputs!$C$86,Inputs!$C$87*M136)))</f>
        <v/>
      </c>
      <c r="AG137" s="51">
        <f>IF(A137&gt;Inputs!$C$62,"",MIN(0.5,MAX(0, Inputs!$C$67*L137 + Inputs!$C$68*(1-K137) + Inputs!$C$69*Inputs!$C$10)))</f>
        <v/>
      </c>
      <c r="AH137" s="51">
        <f>IF(A137&gt;Inputs!$C$62,"",INDEX(CapacityPlan!$G$7:$G$266,A137))</f>
        <v/>
      </c>
      <c r="AI137" s="54">
        <f>IF(A137&gt;Inputs!$C$62,"",INDEX(CapacityPlan!$J$7:$J$266,A137))</f>
        <v/>
      </c>
      <c r="AJ137" s="51">
        <f>IF(A137&gt;Inputs!$C$62,"",IF(I137=0,"",G137/I137))</f>
        <v/>
      </c>
    </row>
    <row r="138" ht="16" customHeight="1">
      <c r="A138" s="15" t="n">
        <v>116</v>
      </c>
      <c r="B138" s="50">
        <f>IF(A138&gt;Inputs!$C$62,"",IF(Inputs!$C$80=1,INDEX(Cohorts!$B$67:$B$326,A138),IF(A138=1,Inputs!$C$63,F137)))</f>
        <v/>
      </c>
      <c r="C138" s="50">
        <f>IF(A138&gt;Inputs!$C$62,"",IF(Inputs!$C$85=0,Inputs!$C$64,MIN(Inputs!$C$91,IF(AE138=0,0,AF138/AE138))))</f>
        <v/>
      </c>
      <c r="D138" s="51">
        <f>IF(A138&gt;Inputs!$C$62,"",IF(Inputs!$C$80=1,INDEX(Cohorts!$G$67:$G$326,A138),MAX(0, Inputs!$C$66 + Inputs!$C$67*L138 + Inputs!$C$68*(1-K138) + Inputs!$C$69*Inputs!$C$10)))</f>
        <v/>
      </c>
      <c r="E138" s="50">
        <f>IF(A138&gt;Inputs!$C$62,"",IF(Inputs!$C$80=1,INDEX(Cohorts!$H$67:$H$326,A138),D138*AD138))</f>
        <v/>
      </c>
      <c r="F138" s="50">
        <f>IF(A138&gt;Inputs!$C$62,"",IF(Inputs!$C$80=1,INDEX(Cohorts!$I$67:$I$326,A138),AD138-E138))</f>
        <v/>
      </c>
      <c r="G138" s="50">
        <f>IF(A138&gt;Inputs!$C$62,"",AD138)</f>
        <v/>
      </c>
      <c r="H138" s="50">
        <f>IF(A138&gt;Inputs!$C$62,"",INDEX(CapacityPlan!$E$7:$E$266,A138))</f>
        <v/>
      </c>
      <c r="I138" s="50">
        <f>IF(A138&gt;Inputs!$C$62,"",INDEX(CapacityPlan!$I$7:$I$266,A138))</f>
        <v/>
      </c>
      <c r="J138" s="50">
        <f>IF(A138&gt;Inputs!$C$62,"",IF(G138&gt;I138,I138,G138))</f>
        <v/>
      </c>
      <c r="K138" s="51">
        <f>IF(A138&gt;Inputs!$C$62,"",IF(G138=0,1,J138/G138))</f>
        <v/>
      </c>
      <c r="L138" s="51">
        <f>IF((Inputs!$C$36 + UnitEconomics!$B$12*Inputs!$C$37 + Inputs!$C$10*Inputs!$C$38 + Inputs!$C$70*(1-K138))&gt;1,1,(Inputs!$C$36 + UnitEconomics!$B$12*Inputs!$C$37 + Inputs!$C$10*Inputs!$C$38 + Inputs!$C$70*(1-K138)))</f>
        <v/>
      </c>
      <c r="M138" s="52">
        <f>IF(A138&gt;Inputs!$C$62,"",J138*Inputs!$C$7*(1-Inputs!$C$8)*(1-L138))</f>
        <v/>
      </c>
      <c r="N138" s="52">
        <f>IF(A138&gt;Inputs!$C$62,"",J138*UnitEconomics!$B$32*AI138 + (G138-J138)*Inputs!$C$71)</f>
        <v/>
      </c>
      <c r="O138" s="52">
        <f>M138-N138</f>
        <v/>
      </c>
      <c r="P138" s="52">
        <f>IF(A138&gt;Inputs!$C$62,"",Inputs!$C$40 + H138*Inputs!$C$41)</f>
        <v/>
      </c>
      <c r="Q138" s="52">
        <f>O138-P138</f>
        <v/>
      </c>
      <c r="R138" s="50">
        <f>IF(A138&gt;Inputs!$C$62,"",AD138*Inputs!$C$16*(Inputs!$C$9 + Inputs!$C$10*Inputs!$C$11 + Inputs!$C$12)*(1 + VLOOKUP(Inputs!$C$15,Lookups!$A$2:$B$20,2,TRUE)*(Scale!$B$9/IF(Scale!$B$8=0,1,Scale!$B$8)) + Inputs!$C$52))</f>
        <v/>
      </c>
      <c r="S138" s="50">
        <f>IF(A138=1,Scale!$B$13, W137)</f>
        <v/>
      </c>
      <c r="T138" s="50">
        <f>J138*Inputs!$C$16*(Inputs!$C$19 + Inputs!$C$20*Inputs!$C$21 + 1/Inputs!$C$18)</f>
        <v/>
      </c>
      <c r="U138" s="50">
        <f>MAX(0, (R138*(1+Inputs!$C$74)) - (S138 - T138))</f>
        <v/>
      </c>
      <c r="V138" s="50">
        <f>IF(A138&lt;=Inputs!$C$73,0,INDEX(U:U,ROW()-Inputs!$C$73))</f>
        <v/>
      </c>
      <c r="W138" s="50">
        <f>S138 - T138 + V138</f>
        <v/>
      </c>
      <c r="X138" s="52">
        <f>V138*Inputs!$C$17</f>
        <v/>
      </c>
      <c r="Y138" s="52">
        <f>IF(A138&gt;Inputs!$C$62,"",C138*AE138)</f>
        <v/>
      </c>
      <c r="Z138" s="52">
        <f>IF(A138=1,Inputs!$C$72,AA137)</f>
        <v/>
      </c>
      <c r="AA138" s="52">
        <f>Z138 + M138 - N138 - P138 - X138 - Y138</f>
        <v/>
      </c>
      <c r="AB138" s="53">
        <f>IF(AA138&lt;0,1,0)</f>
        <v/>
      </c>
      <c r="AC138" s="54">
        <f>IF(AD138=0,0,R138/(AD138*Inputs!$C$16))</f>
        <v/>
      </c>
      <c r="AD138" s="53">
        <f>IF(A138&gt;Inputs!$C$62,"",B138+C138)</f>
        <v/>
      </c>
      <c r="AE138" s="56">
        <f>IF(A138&gt;Inputs!$C$62,"", Inputs!$C$65*(1+Inputs!$C$89*POWER(MIN(1,IF(Inputs!$C$88=0,0,B138/Inputs!$C$88)),Inputs!$C$90)))</f>
        <v/>
      </c>
      <c r="AF138" s="52">
        <f>IF(A138&gt;Inputs!$C$62,"",IF(A138=1,Inputs!$C$86,MIN(Inputs!$C$86,Inputs!$C$87*M137)))</f>
        <v/>
      </c>
      <c r="AG138" s="51">
        <f>IF(A138&gt;Inputs!$C$62,"",MIN(0.5,MAX(0, Inputs!$C$67*L138 + Inputs!$C$68*(1-K138) + Inputs!$C$69*Inputs!$C$10)))</f>
        <v/>
      </c>
      <c r="AH138" s="51">
        <f>IF(A138&gt;Inputs!$C$62,"",INDEX(CapacityPlan!$G$7:$G$266,A138))</f>
        <v/>
      </c>
      <c r="AI138" s="54">
        <f>IF(A138&gt;Inputs!$C$62,"",INDEX(CapacityPlan!$J$7:$J$266,A138))</f>
        <v/>
      </c>
      <c r="AJ138" s="51">
        <f>IF(A138&gt;Inputs!$C$62,"",IF(I138=0,"",G138/I138))</f>
        <v/>
      </c>
    </row>
    <row r="139" ht="16" customHeight="1">
      <c r="A139" s="15" t="n">
        <v>117</v>
      </c>
      <c r="B139" s="50">
        <f>IF(A139&gt;Inputs!$C$62,"",IF(Inputs!$C$80=1,INDEX(Cohorts!$B$67:$B$326,A139),IF(A139=1,Inputs!$C$63,F138)))</f>
        <v/>
      </c>
      <c r="C139" s="50">
        <f>IF(A139&gt;Inputs!$C$62,"",IF(Inputs!$C$85=0,Inputs!$C$64,MIN(Inputs!$C$91,IF(AE139=0,0,AF139/AE139))))</f>
        <v/>
      </c>
      <c r="D139" s="51">
        <f>IF(A139&gt;Inputs!$C$62,"",IF(Inputs!$C$80=1,INDEX(Cohorts!$G$67:$G$326,A139),MAX(0, Inputs!$C$66 + Inputs!$C$67*L139 + Inputs!$C$68*(1-K139) + Inputs!$C$69*Inputs!$C$10)))</f>
        <v/>
      </c>
      <c r="E139" s="50">
        <f>IF(A139&gt;Inputs!$C$62,"",IF(Inputs!$C$80=1,INDEX(Cohorts!$H$67:$H$326,A139),D139*AD139))</f>
        <v/>
      </c>
      <c r="F139" s="50">
        <f>IF(A139&gt;Inputs!$C$62,"",IF(Inputs!$C$80=1,INDEX(Cohorts!$I$67:$I$326,A139),AD139-E139))</f>
        <v/>
      </c>
      <c r="G139" s="50">
        <f>IF(A139&gt;Inputs!$C$62,"",AD139)</f>
        <v/>
      </c>
      <c r="H139" s="50">
        <f>IF(A139&gt;Inputs!$C$62,"",INDEX(CapacityPlan!$E$7:$E$266,A139))</f>
        <v/>
      </c>
      <c r="I139" s="50">
        <f>IF(A139&gt;Inputs!$C$62,"",INDEX(CapacityPlan!$I$7:$I$266,A139))</f>
        <v/>
      </c>
      <c r="J139" s="50">
        <f>IF(A139&gt;Inputs!$C$62,"",IF(G139&gt;I139,I139,G139))</f>
        <v/>
      </c>
      <c r="K139" s="51">
        <f>IF(A139&gt;Inputs!$C$62,"",IF(G139=0,1,J139/G139))</f>
        <v/>
      </c>
      <c r="L139" s="51">
        <f>IF((Inputs!$C$36 + UnitEconomics!$B$12*Inputs!$C$37 + Inputs!$C$10*Inputs!$C$38 + Inputs!$C$70*(1-K139))&gt;1,1,(Inputs!$C$36 + UnitEconomics!$B$12*Inputs!$C$37 + Inputs!$C$10*Inputs!$C$38 + Inputs!$C$70*(1-K139)))</f>
        <v/>
      </c>
      <c r="M139" s="52">
        <f>IF(A139&gt;Inputs!$C$62,"",J139*Inputs!$C$7*(1-Inputs!$C$8)*(1-L139))</f>
        <v/>
      </c>
      <c r="N139" s="52">
        <f>IF(A139&gt;Inputs!$C$62,"",J139*UnitEconomics!$B$32*AI139 + (G139-J139)*Inputs!$C$71)</f>
        <v/>
      </c>
      <c r="O139" s="52">
        <f>M139-N139</f>
        <v/>
      </c>
      <c r="P139" s="52">
        <f>IF(A139&gt;Inputs!$C$62,"",Inputs!$C$40 + H139*Inputs!$C$41)</f>
        <v/>
      </c>
      <c r="Q139" s="52">
        <f>O139-P139</f>
        <v/>
      </c>
      <c r="R139" s="50">
        <f>IF(A139&gt;Inputs!$C$62,"",AD139*Inputs!$C$16*(Inputs!$C$9 + Inputs!$C$10*Inputs!$C$11 + Inputs!$C$12)*(1 + VLOOKUP(Inputs!$C$15,Lookups!$A$2:$B$20,2,TRUE)*(Scale!$B$9/IF(Scale!$B$8=0,1,Scale!$B$8)) + Inputs!$C$52))</f>
        <v/>
      </c>
      <c r="S139" s="50">
        <f>IF(A139=1,Scale!$B$13, W138)</f>
        <v/>
      </c>
      <c r="T139" s="50">
        <f>J139*Inputs!$C$16*(Inputs!$C$19 + Inputs!$C$20*Inputs!$C$21 + 1/Inputs!$C$18)</f>
        <v/>
      </c>
      <c r="U139" s="50">
        <f>MAX(0, (R139*(1+Inputs!$C$74)) - (S139 - T139))</f>
        <v/>
      </c>
      <c r="V139" s="50">
        <f>IF(A139&lt;=Inputs!$C$73,0,INDEX(U:U,ROW()-Inputs!$C$73))</f>
        <v/>
      </c>
      <c r="W139" s="50">
        <f>S139 - T139 + V139</f>
        <v/>
      </c>
      <c r="X139" s="52">
        <f>V139*Inputs!$C$17</f>
        <v/>
      </c>
      <c r="Y139" s="52">
        <f>IF(A139&gt;Inputs!$C$62,"",C139*AE139)</f>
        <v/>
      </c>
      <c r="Z139" s="52">
        <f>IF(A139=1,Inputs!$C$72,AA138)</f>
        <v/>
      </c>
      <c r="AA139" s="52">
        <f>Z139 + M139 - N139 - P139 - X139 - Y139</f>
        <v/>
      </c>
      <c r="AB139" s="53">
        <f>IF(AA139&lt;0,1,0)</f>
        <v/>
      </c>
      <c r="AC139" s="54">
        <f>IF(AD139=0,0,R139/(AD139*Inputs!$C$16))</f>
        <v/>
      </c>
      <c r="AD139" s="53">
        <f>IF(A139&gt;Inputs!$C$62,"",B139+C139)</f>
        <v/>
      </c>
      <c r="AE139" s="56">
        <f>IF(A139&gt;Inputs!$C$62,"", Inputs!$C$65*(1+Inputs!$C$89*POWER(MIN(1,IF(Inputs!$C$88=0,0,B139/Inputs!$C$88)),Inputs!$C$90)))</f>
        <v/>
      </c>
      <c r="AF139" s="52">
        <f>IF(A139&gt;Inputs!$C$62,"",IF(A139=1,Inputs!$C$86,MIN(Inputs!$C$86,Inputs!$C$87*M138)))</f>
        <v/>
      </c>
      <c r="AG139" s="51">
        <f>IF(A139&gt;Inputs!$C$62,"",MIN(0.5,MAX(0, Inputs!$C$67*L139 + Inputs!$C$68*(1-K139) + Inputs!$C$69*Inputs!$C$10)))</f>
        <v/>
      </c>
      <c r="AH139" s="51">
        <f>IF(A139&gt;Inputs!$C$62,"",INDEX(CapacityPlan!$G$7:$G$266,A139))</f>
        <v/>
      </c>
      <c r="AI139" s="54">
        <f>IF(A139&gt;Inputs!$C$62,"",INDEX(CapacityPlan!$J$7:$J$266,A139))</f>
        <v/>
      </c>
      <c r="AJ139" s="51">
        <f>IF(A139&gt;Inputs!$C$62,"",IF(I139=0,"",G139/I139))</f>
        <v/>
      </c>
    </row>
    <row r="140" ht="16" customHeight="1">
      <c r="A140" s="15" t="n">
        <v>118</v>
      </c>
      <c r="B140" s="50">
        <f>IF(A140&gt;Inputs!$C$62,"",IF(Inputs!$C$80=1,INDEX(Cohorts!$B$67:$B$326,A140),IF(A140=1,Inputs!$C$63,F139)))</f>
        <v/>
      </c>
      <c r="C140" s="50">
        <f>IF(A140&gt;Inputs!$C$62,"",IF(Inputs!$C$85=0,Inputs!$C$64,MIN(Inputs!$C$91,IF(AE140=0,0,AF140/AE140))))</f>
        <v/>
      </c>
      <c r="D140" s="51">
        <f>IF(A140&gt;Inputs!$C$62,"",IF(Inputs!$C$80=1,INDEX(Cohorts!$G$67:$G$326,A140),MAX(0, Inputs!$C$66 + Inputs!$C$67*L140 + Inputs!$C$68*(1-K140) + Inputs!$C$69*Inputs!$C$10)))</f>
        <v/>
      </c>
      <c r="E140" s="50">
        <f>IF(A140&gt;Inputs!$C$62,"",IF(Inputs!$C$80=1,INDEX(Cohorts!$H$67:$H$326,A140),D140*AD140))</f>
        <v/>
      </c>
      <c r="F140" s="50">
        <f>IF(A140&gt;Inputs!$C$62,"",IF(Inputs!$C$80=1,INDEX(Cohorts!$I$67:$I$326,A140),AD140-E140))</f>
        <v/>
      </c>
      <c r="G140" s="50">
        <f>IF(A140&gt;Inputs!$C$62,"",AD140)</f>
        <v/>
      </c>
      <c r="H140" s="50">
        <f>IF(A140&gt;Inputs!$C$62,"",INDEX(CapacityPlan!$E$7:$E$266,A140))</f>
        <v/>
      </c>
      <c r="I140" s="50">
        <f>IF(A140&gt;Inputs!$C$62,"",INDEX(CapacityPlan!$I$7:$I$266,A140))</f>
        <v/>
      </c>
      <c r="J140" s="50">
        <f>IF(A140&gt;Inputs!$C$62,"",IF(G140&gt;I140,I140,G140))</f>
        <v/>
      </c>
      <c r="K140" s="51">
        <f>IF(A140&gt;Inputs!$C$62,"",IF(G140=0,1,J140/G140))</f>
        <v/>
      </c>
      <c r="L140" s="51">
        <f>IF((Inputs!$C$36 + UnitEconomics!$B$12*Inputs!$C$37 + Inputs!$C$10*Inputs!$C$38 + Inputs!$C$70*(1-K140))&gt;1,1,(Inputs!$C$36 + UnitEconomics!$B$12*Inputs!$C$37 + Inputs!$C$10*Inputs!$C$38 + Inputs!$C$70*(1-K140)))</f>
        <v/>
      </c>
      <c r="M140" s="52">
        <f>IF(A140&gt;Inputs!$C$62,"",J140*Inputs!$C$7*(1-Inputs!$C$8)*(1-L140))</f>
        <v/>
      </c>
      <c r="N140" s="52">
        <f>IF(A140&gt;Inputs!$C$62,"",J140*UnitEconomics!$B$32*AI140 + (G140-J140)*Inputs!$C$71)</f>
        <v/>
      </c>
      <c r="O140" s="52">
        <f>M140-N140</f>
        <v/>
      </c>
      <c r="P140" s="52">
        <f>IF(A140&gt;Inputs!$C$62,"",Inputs!$C$40 + H140*Inputs!$C$41)</f>
        <v/>
      </c>
      <c r="Q140" s="52">
        <f>O140-P140</f>
        <v/>
      </c>
      <c r="R140" s="50">
        <f>IF(A140&gt;Inputs!$C$62,"",AD140*Inputs!$C$16*(Inputs!$C$9 + Inputs!$C$10*Inputs!$C$11 + Inputs!$C$12)*(1 + VLOOKUP(Inputs!$C$15,Lookups!$A$2:$B$20,2,TRUE)*(Scale!$B$9/IF(Scale!$B$8=0,1,Scale!$B$8)) + Inputs!$C$52))</f>
        <v/>
      </c>
      <c r="S140" s="50">
        <f>IF(A140=1,Scale!$B$13, W139)</f>
        <v/>
      </c>
      <c r="T140" s="50">
        <f>J140*Inputs!$C$16*(Inputs!$C$19 + Inputs!$C$20*Inputs!$C$21 + 1/Inputs!$C$18)</f>
        <v/>
      </c>
      <c r="U140" s="50">
        <f>MAX(0, (R140*(1+Inputs!$C$74)) - (S140 - T140))</f>
        <v/>
      </c>
      <c r="V140" s="50">
        <f>IF(A140&lt;=Inputs!$C$73,0,INDEX(U:U,ROW()-Inputs!$C$73))</f>
        <v/>
      </c>
      <c r="W140" s="50">
        <f>S140 - T140 + V140</f>
        <v/>
      </c>
      <c r="X140" s="52">
        <f>V140*Inputs!$C$17</f>
        <v/>
      </c>
      <c r="Y140" s="52">
        <f>IF(A140&gt;Inputs!$C$62,"",C140*AE140)</f>
        <v/>
      </c>
      <c r="Z140" s="52">
        <f>IF(A140=1,Inputs!$C$72,AA139)</f>
        <v/>
      </c>
      <c r="AA140" s="52">
        <f>Z140 + M140 - N140 - P140 - X140 - Y140</f>
        <v/>
      </c>
      <c r="AB140" s="53">
        <f>IF(AA140&lt;0,1,0)</f>
        <v/>
      </c>
      <c r="AC140" s="54">
        <f>IF(AD140=0,0,R140/(AD140*Inputs!$C$16))</f>
        <v/>
      </c>
      <c r="AD140" s="53">
        <f>IF(A140&gt;Inputs!$C$62,"",B140+C140)</f>
        <v/>
      </c>
      <c r="AE140" s="56">
        <f>IF(A140&gt;Inputs!$C$62,"", Inputs!$C$65*(1+Inputs!$C$89*POWER(MIN(1,IF(Inputs!$C$88=0,0,B140/Inputs!$C$88)),Inputs!$C$90)))</f>
        <v/>
      </c>
      <c r="AF140" s="52">
        <f>IF(A140&gt;Inputs!$C$62,"",IF(A140=1,Inputs!$C$86,MIN(Inputs!$C$86,Inputs!$C$87*M139)))</f>
        <v/>
      </c>
      <c r="AG140" s="51">
        <f>IF(A140&gt;Inputs!$C$62,"",MIN(0.5,MAX(0, Inputs!$C$67*L140 + Inputs!$C$68*(1-K140) + Inputs!$C$69*Inputs!$C$10)))</f>
        <v/>
      </c>
      <c r="AH140" s="51">
        <f>IF(A140&gt;Inputs!$C$62,"",INDEX(CapacityPlan!$G$7:$G$266,A140))</f>
        <v/>
      </c>
      <c r="AI140" s="54">
        <f>IF(A140&gt;Inputs!$C$62,"",INDEX(CapacityPlan!$J$7:$J$266,A140))</f>
        <v/>
      </c>
      <c r="AJ140" s="51">
        <f>IF(A140&gt;Inputs!$C$62,"",IF(I140=0,"",G140/I140))</f>
        <v/>
      </c>
    </row>
    <row r="141" ht="16" customHeight="1">
      <c r="A141" s="15" t="n">
        <v>119</v>
      </c>
      <c r="B141" s="50">
        <f>IF(A141&gt;Inputs!$C$62,"",IF(Inputs!$C$80=1,INDEX(Cohorts!$B$67:$B$326,A141),IF(A141=1,Inputs!$C$63,F140)))</f>
        <v/>
      </c>
      <c r="C141" s="50">
        <f>IF(A141&gt;Inputs!$C$62,"",IF(Inputs!$C$85=0,Inputs!$C$64,MIN(Inputs!$C$91,IF(AE141=0,0,AF141/AE141))))</f>
        <v/>
      </c>
      <c r="D141" s="51">
        <f>IF(A141&gt;Inputs!$C$62,"",IF(Inputs!$C$80=1,INDEX(Cohorts!$G$67:$G$326,A141),MAX(0, Inputs!$C$66 + Inputs!$C$67*L141 + Inputs!$C$68*(1-K141) + Inputs!$C$69*Inputs!$C$10)))</f>
        <v/>
      </c>
      <c r="E141" s="50">
        <f>IF(A141&gt;Inputs!$C$62,"",IF(Inputs!$C$80=1,INDEX(Cohorts!$H$67:$H$326,A141),D141*AD141))</f>
        <v/>
      </c>
      <c r="F141" s="50">
        <f>IF(A141&gt;Inputs!$C$62,"",IF(Inputs!$C$80=1,INDEX(Cohorts!$I$67:$I$326,A141),AD141-E141))</f>
        <v/>
      </c>
      <c r="G141" s="50">
        <f>IF(A141&gt;Inputs!$C$62,"",AD141)</f>
        <v/>
      </c>
      <c r="H141" s="50">
        <f>IF(A141&gt;Inputs!$C$62,"",INDEX(CapacityPlan!$E$7:$E$266,A141))</f>
        <v/>
      </c>
      <c r="I141" s="50">
        <f>IF(A141&gt;Inputs!$C$62,"",INDEX(CapacityPlan!$I$7:$I$266,A141))</f>
        <v/>
      </c>
      <c r="J141" s="50">
        <f>IF(A141&gt;Inputs!$C$62,"",IF(G141&gt;I141,I141,G141))</f>
        <v/>
      </c>
      <c r="K141" s="51">
        <f>IF(A141&gt;Inputs!$C$62,"",IF(G141=0,1,J141/G141))</f>
        <v/>
      </c>
      <c r="L141" s="51">
        <f>IF((Inputs!$C$36 + UnitEconomics!$B$12*Inputs!$C$37 + Inputs!$C$10*Inputs!$C$38 + Inputs!$C$70*(1-K141))&gt;1,1,(Inputs!$C$36 + UnitEconomics!$B$12*Inputs!$C$37 + Inputs!$C$10*Inputs!$C$38 + Inputs!$C$70*(1-K141)))</f>
        <v/>
      </c>
      <c r="M141" s="52">
        <f>IF(A141&gt;Inputs!$C$62,"",J141*Inputs!$C$7*(1-Inputs!$C$8)*(1-L141))</f>
        <v/>
      </c>
      <c r="N141" s="52">
        <f>IF(A141&gt;Inputs!$C$62,"",J141*UnitEconomics!$B$32*AI141 + (G141-J141)*Inputs!$C$71)</f>
        <v/>
      </c>
      <c r="O141" s="52">
        <f>M141-N141</f>
        <v/>
      </c>
      <c r="P141" s="52">
        <f>IF(A141&gt;Inputs!$C$62,"",Inputs!$C$40 + H141*Inputs!$C$41)</f>
        <v/>
      </c>
      <c r="Q141" s="52">
        <f>O141-P141</f>
        <v/>
      </c>
      <c r="R141" s="50">
        <f>IF(A141&gt;Inputs!$C$62,"",AD141*Inputs!$C$16*(Inputs!$C$9 + Inputs!$C$10*Inputs!$C$11 + Inputs!$C$12)*(1 + VLOOKUP(Inputs!$C$15,Lookups!$A$2:$B$20,2,TRUE)*(Scale!$B$9/IF(Scale!$B$8=0,1,Scale!$B$8)) + Inputs!$C$52))</f>
        <v/>
      </c>
      <c r="S141" s="50">
        <f>IF(A141=1,Scale!$B$13, W140)</f>
        <v/>
      </c>
      <c r="T141" s="50">
        <f>J141*Inputs!$C$16*(Inputs!$C$19 + Inputs!$C$20*Inputs!$C$21 + 1/Inputs!$C$18)</f>
        <v/>
      </c>
      <c r="U141" s="50">
        <f>MAX(0, (R141*(1+Inputs!$C$74)) - (S141 - T141))</f>
        <v/>
      </c>
      <c r="V141" s="50">
        <f>IF(A141&lt;=Inputs!$C$73,0,INDEX(U:U,ROW()-Inputs!$C$73))</f>
        <v/>
      </c>
      <c r="W141" s="50">
        <f>S141 - T141 + V141</f>
        <v/>
      </c>
      <c r="X141" s="52">
        <f>V141*Inputs!$C$17</f>
        <v/>
      </c>
      <c r="Y141" s="52">
        <f>IF(A141&gt;Inputs!$C$62,"",C141*AE141)</f>
        <v/>
      </c>
      <c r="Z141" s="52">
        <f>IF(A141=1,Inputs!$C$72,AA140)</f>
        <v/>
      </c>
      <c r="AA141" s="52">
        <f>Z141 + M141 - N141 - P141 - X141 - Y141</f>
        <v/>
      </c>
      <c r="AB141" s="53">
        <f>IF(AA141&lt;0,1,0)</f>
        <v/>
      </c>
      <c r="AC141" s="54">
        <f>IF(AD141=0,0,R141/(AD141*Inputs!$C$16))</f>
        <v/>
      </c>
      <c r="AD141" s="53">
        <f>IF(A141&gt;Inputs!$C$62,"",B141+C141)</f>
        <v/>
      </c>
      <c r="AE141" s="56">
        <f>IF(A141&gt;Inputs!$C$62,"", Inputs!$C$65*(1+Inputs!$C$89*POWER(MIN(1,IF(Inputs!$C$88=0,0,B141/Inputs!$C$88)),Inputs!$C$90)))</f>
        <v/>
      </c>
      <c r="AF141" s="52">
        <f>IF(A141&gt;Inputs!$C$62,"",IF(A141=1,Inputs!$C$86,MIN(Inputs!$C$86,Inputs!$C$87*M140)))</f>
        <v/>
      </c>
      <c r="AG141" s="51">
        <f>IF(A141&gt;Inputs!$C$62,"",MIN(0.5,MAX(0, Inputs!$C$67*L141 + Inputs!$C$68*(1-K141) + Inputs!$C$69*Inputs!$C$10)))</f>
        <v/>
      </c>
      <c r="AH141" s="51">
        <f>IF(A141&gt;Inputs!$C$62,"",INDEX(CapacityPlan!$G$7:$G$266,A141))</f>
        <v/>
      </c>
      <c r="AI141" s="54">
        <f>IF(A141&gt;Inputs!$C$62,"",INDEX(CapacityPlan!$J$7:$J$266,A141))</f>
        <v/>
      </c>
      <c r="AJ141" s="51">
        <f>IF(A141&gt;Inputs!$C$62,"",IF(I141=0,"",G141/I141))</f>
        <v/>
      </c>
    </row>
    <row r="142" ht="16" customHeight="1">
      <c r="A142" s="15" t="n">
        <v>120</v>
      </c>
      <c r="B142" s="50">
        <f>IF(A142&gt;Inputs!$C$62,"",IF(Inputs!$C$80=1,INDEX(Cohorts!$B$67:$B$326,A142),IF(A142=1,Inputs!$C$63,F141)))</f>
        <v/>
      </c>
      <c r="C142" s="50">
        <f>IF(A142&gt;Inputs!$C$62,"",IF(Inputs!$C$85=0,Inputs!$C$64,MIN(Inputs!$C$91,IF(AE142=0,0,AF142/AE142))))</f>
        <v/>
      </c>
      <c r="D142" s="51">
        <f>IF(A142&gt;Inputs!$C$62,"",IF(Inputs!$C$80=1,INDEX(Cohorts!$G$67:$G$326,A142),MAX(0, Inputs!$C$66 + Inputs!$C$67*L142 + Inputs!$C$68*(1-K142) + Inputs!$C$69*Inputs!$C$10)))</f>
        <v/>
      </c>
      <c r="E142" s="50">
        <f>IF(A142&gt;Inputs!$C$62,"",IF(Inputs!$C$80=1,INDEX(Cohorts!$H$67:$H$326,A142),D142*AD142))</f>
        <v/>
      </c>
      <c r="F142" s="50">
        <f>IF(A142&gt;Inputs!$C$62,"",IF(Inputs!$C$80=1,INDEX(Cohorts!$I$67:$I$326,A142),AD142-E142))</f>
        <v/>
      </c>
      <c r="G142" s="50">
        <f>IF(A142&gt;Inputs!$C$62,"",AD142)</f>
        <v/>
      </c>
      <c r="H142" s="50">
        <f>IF(A142&gt;Inputs!$C$62,"",INDEX(CapacityPlan!$E$7:$E$266,A142))</f>
        <v/>
      </c>
      <c r="I142" s="50">
        <f>IF(A142&gt;Inputs!$C$62,"",INDEX(CapacityPlan!$I$7:$I$266,A142))</f>
        <v/>
      </c>
      <c r="J142" s="50">
        <f>IF(A142&gt;Inputs!$C$62,"",IF(G142&gt;I142,I142,G142))</f>
        <v/>
      </c>
      <c r="K142" s="51">
        <f>IF(A142&gt;Inputs!$C$62,"",IF(G142=0,1,J142/G142))</f>
        <v/>
      </c>
      <c r="L142" s="51">
        <f>IF((Inputs!$C$36 + UnitEconomics!$B$12*Inputs!$C$37 + Inputs!$C$10*Inputs!$C$38 + Inputs!$C$70*(1-K142))&gt;1,1,(Inputs!$C$36 + UnitEconomics!$B$12*Inputs!$C$37 + Inputs!$C$10*Inputs!$C$38 + Inputs!$C$70*(1-K142)))</f>
        <v/>
      </c>
      <c r="M142" s="52">
        <f>IF(A142&gt;Inputs!$C$62,"",J142*Inputs!$C$7*(1-Inputs!$C$8)*(1-L142))</f>
        <v/>
      </c>
      <c r="N142" s="52">
        <f>IF(A142&gt;Inputs!$C$62,"",J142*UnitEconomics!$B$32*AI142 + (G142-J142)*Inputs!$C$71)</f>
        <v/>
      </c>
      <c r="O142" s="52">
        <f>M142-N142</f>
        <v/>
      </c>
      <c r="P142" s="52">
        <f>IF(A142&gt;Inputs!$C$62,"",Inputs!$C$40 + H142*Inputs!$C$41)</f>
        <v/>
      </c>
      <c r="Q142" s="52">
        <f>O142-P142</f>
        <v/>
      </c>
      <c r="R142" s="50">
        <f>IF(A142&gt;Inputs!$C$62,"",AD142*Inputs!$C$16*(Inputs!$C$9 + Inputs!$C$10*Inputs!$C$11 + Inputs!$C$12)*(1 + VLOOKUP(Inputs!$C$15,Lookups!$A$2:$B$20,2,TRUE)*(Scale!$B$9/IF(Scale!$B$8=0,1,Scale!$B$8)) + Inputs!$C$52))</f>
        <v/>
      </c>
      <c r="S142" s="50">
        <f>IF(A142=1,Scale!$B$13, W141)</f>
        <v/>
      </c>
      <c r="T142" s="50">
        <f>J142*Inputs!$C$16*(Inputs!$C$19 + Inputs!$C$20*Inputs!$C$21 + 1/Inputs!$C$18)</f>
        <v/>
      </c>
      <c r="U142" s="50">
        <f>MAX(0, (R142*(1+Inputs!$C$74)) - (S142 - T142))</f>
        <v/>
      </c>
      <c r="V142" s="50">
        <f>IF(A142&lt;=Inputs!$C$73,0,INDEX(U:U,ROW()-Inputs!$C$73))</f>
        <v/>
      </c>
      <c r="W142" s="50">
        <f>S142 - T142 + V142</f>
        <v/>
      </c>
      <c r="X142" s="52">
        <f>V142*Inputs!$C$17</f>
        <v/>
      </c>
      <c r="Y142" s="52">
        <f>IF(A142&gt;Inputs!$C$62,"",C142*AE142)</f>
        <v/>
      </c>
      <c r="Z142" s="52">
        <f>IF(A142=1,Inputs!$C$72,AA141)</f>
        <v/>
      </c>
      <c r="AA142" s="52">
        <f>Z142 + M142 - N142 - P142 - X142 - Y142</f>
        <v/>
      </c>
      <c r="AB142" s="53">
        <f>IF(AA142&lt;0,1,0)</f>
        <v/>
      </c>
      <c r="AC142" s="54">
        <f>IF(AD142=0,0,R142/(AD142*Inputs!$C$16))</f>
        <v/>
      </c>
      <c r="AD142" s="53">
        <f>IF(A142&gt;Inputs!$C$62,"",B142+C142)</f>
        <v/>
      </c>
      <c r="AE142" s="56">
        <f>IF(A142&gt;Inputs!$C$62,"", Inputs!$C$65*(1+Inputs!$C$89*POWER(MIN(1,IF(Inputs!$C$88=0,0,B142/Inputs!$C$88)),Inputs!$C$90)))</f>
        <v/>
      </c>
      <c r="AF142" s="52">
        <f>IF(A142&gt;Inputs!$C$62,"",IF(A142=1,Inputs!$C$86,MIN(Inputs!$C$86,Inputs!$C$87*M141)))</f>
        <v/>
      </c>
      <c r="AG142" s="51">
        <f>IF(A142&gt;Inputs!$C$62,"",MIN(0.5,MAX(0, Inputs!$C$67*L142 + Inputs!$C$68*(1-K142) + Inputs!$C$69*Inputs!$C$10)))</f>
        <v/>
      </c>
      <c r="AH142" s="51">
        <f>IF(A142&gt;Inputs!$C$62,"",INDEX(CapacityPlan!$G$7:$G$266,A142))</f>
        <v/>
      </c>
      <c r="AI142" s="54">
        <f>IF(A142&gt;Inputs!$C$62,"",INDEX(CapacityPlan!$J$7:$J$266,A142))</f>
        <v/>
      </c>
      <c r="AJ142" s="51">
        <f>IF(A142&gt;Inputs!$C$62,"",IF(I142=0,"",G142/I142))</f>
        <v/>
      </c>
    </row>
    <row r="143" ht="16" customHeight="1">
      <c r="A143" s="15" t="n">
        <v>121</v>
      </c>
      <c r="B143" s="50">
        <f>IF(A143&gt;Inputs!$C$62,"",IF(Inputs!$C$80=1,INDEX(Cohorts!$B$67:$B$326,A143),IF(A143=1,Inputs!$C$63,F142)))</f>
        <v/>
      </c>
      <c r="C143" s="50">
        <f>IF(A143&gt;Inputs!$C$62,"",IF(Inputs!$C$85=0,Inputs!$C$64,MIN(Inputs!$C$91,IF(AE143=0,0,AF143/AE143))))</f>
        <v/>
      </c>
      <c r="D143" s="51">
        <f>IF(A143&gt;Inputs!$C$62,"",IF(Inputs!$C$80=1,INDEX(Cohorts!$G$67:$G$326,A143),MAX(0, Inputs!$C$66 + Inputs!$C$67*L143 + Inputs!$C$68*(1-K143) + Inputs!$C$69*Inputs!$C$10)))</f>
        <v/>
      </c>
      <c r="E143" s="50">
        <f>IF(A143&gt;Inputs!$C$62,"",IF(Inputs!$C$80=1,INDEX(Cohorts!$H$67:$H$326,A143),D143*AD143))</f>
        <v/>
      </c>
      <c r="F143" s="50">
        <f>IF(A143&gt;Inputs!$C$62,"",IF(Inputs!$C$80=1,INDEX(Cohorts!$I$67:$I$326,A143),AD143-E143))</f>
        <v/>
      </c>
      <c r="G143" s="50">
        <f>IF(A143&gt;Inputs!$C$62,"",AD143)</f>
        <v/>
      </c>
      <c r="H143" s="50">
        <f>IF(A143&gt;Inputs!$C$62,"",INDEX(CapacityPlan!$E$7:$E$266,A143))</f>
        <v/>
      </c>
      <c r="I143" s="50">
        <f>IF(A143&gt;Inputs!$C$62,"",INDEX(CapacityPlan!$I$7:$I$266,A143))</f>
        <v/>
      </c>
      <c r="J143" s="50">
        <f>IF(A143&gt;Inputs!$C$62,"",IF(G143&gt;I143,I143,G143))</f>
        <v/>
      </c>
      <c r="K143" s="51">
        <f>IF(A143&gt;Inputs!$C$62,"",IF(G143=0,1,J143/G143))</f>
        <v/>
      </c>
      <c r="L143" s="51">
        <f>IF((Inputs!$C$36 + UnitEconomics!$B$12*Inputs!$C$37 + Inputs!$C$10*Inputs!$C$38 + Inputs!$C$70*(1-K143))&gt;1,1,(Inputs!$C$36 + UnitEconomics!$B$12*Inputs!$C$37 + Inputs!$C$10*Inputs!$C$38 + Inputs!$C$70*(1-K143)))</f>
        <v/>
      </c>
      <c r="M143" s="52">
        <f>IF(A143&gt;Inputs!$C$62,"",J143*Inputs!$C$7*(1-Inputs!$C$8)*(1-L143))</f>
        <v/>
      </c>
      <c r="N143" s="52">
        <f>IF(A143&gt;Inputs!$C$62,"",J143*UnitEconomics!$B$32*AI143 + (G143-J143)*Inputs!$C$71)</f>
        <v/>
      </c>
      <c r="O143" s="52">
        <f>M143-N143</f>
        <v/>
      </c>
      <c r="P143" s="52">
        <f>IF(A143&gt;Inputs!$C$62,"",Inputs!$C$40 + H143*Inputs!$C$41)</f>
        <v/>
      </c>
      <c r="Q143" s="52">
        <f>O143-P143</f>
        <v/>
      </c>
      <c r="R143" s="50">
        <f>IF(A143&gt;Inputs!$C$62,"",AD143*Inputs!$C$16*(Inputs!$C$9 + Inputs!$C$10*Inputs!$C$11 + Inputs!$C$12)*(1 + VLOOKUP(Inputs!$C$15,Lookups!$A$2:$B$20,2,TRUE)*(Scale!$B$9/IF(Scale!$B$8=0,1,Scale!$B$8)) + Inputs!$C$52))</f>
        <v/>
      </c>
      <c r="S143" s="50">
        <f>IF(A143=1,Scale!$B$13, W142)</f>
        <v/>
      </c>
      <c r="T143" s="50">
        <f>J143*Inputs!$C$16*(Inputs!$C$19 + Inputs!$C$20*Inputs!$C$21 + 1/Inputs!$C$18)</f>
        <v/>
      </c>
      <c r="U143" s="50">
        <f>MAX(0, (R143*(1+Inputs!$C$74)) - (S143 - T143))</f>
        <v/>
      </c>
      <c r="V143" s="50">
        <f>IF(A143&lt;=Inputs!$C$73,0,INDEX(U:U,ROW()-Inputs!$C$73))</f>
        <v/>
      </c>
      <c r="W143" s="50">
        <f>S143 - T143 + V143</f>
        <v/>
      </c>
      <c r="X143" s="52">
        <f>V143*Inputs!$C$17</f>
        <v/>
      </c>
      <c r="Y143" s="52">
        <f>IF(A143&gt;Inputs!$C$62,"",C143*AE143)</f>
        <v/>
      </c>
      <c r="Z143" s="52">
        <f>IF(A143=1,Inputs!$C$72,AA142)</f>
        <v/>
      </c>
      <c r="AA143" s="52">
        <f>Z143 + M143 - N143 - P143 - X143 - Y143</f>
        <v/>
      </c>
      <c r="AB143" s="53">
        <f>IF(AA143&lt;0,1,0)</f>
        <v/>
      </c>
      <c r="AC143" s="54">
        <f>IF(AD143=0,0,R143/(AD143*Inputs!$C$16))</f>
        <v/>
      </c>
      <c r="AD143" s="53">
        <f>IF(A143&gt;Inputs!$C$62,"",B143+C143)</f>
        <v/>
      </c>
      <c r="AE143" s="56">
        <f>IF(A143&gt;Inputs!$C$62,"", Inputs!$C$65*(1+Inputs!$C$89*POWER(MIN(1,IF(Inputs!$C$88=0,0,B143/Inputs!$C$88)),Inputs!$C$90)))</f>
        <v/>
      </c>
      <c r="AF143" s="52">
        <f>IF(A143&gt;Inputs!$C$62,"",IF(A143=1,Inputs!$C$86,MIN(Inputs!$C$86,Inputs!$C$87*M142)))</f>
        <v/>
      </c>
      <c r="AG143" s="51">
        <f>IF(A143&gt;Inputs!$C$62,"",MIN(0.5,MAX(0, Inputs!$C$67*L143 + Inputs!$C$68*(1-K143) + Inputs!$C$69*Inputs!$C$10)))</f>
        <v/>
      </c>
      <c r="AH143" s="51">
        <f>IF(A143&gt;Inputs!$C$62,"",INDEX(CapacityPlan!$G$7:$G$266,A143))</f>
        <v/>
      </c>
      <c r="AI143" s="54">
        <f>IF(A143&gt;Inputs!$C$62,"",INDEX(CapacityPlan!$J$7:$J$266,A143))</f>
        <v/>
      </c>
      <c r="AJ143" s="51">
        <f>IF(A143&gt;Inputs!$C$62,"",IF(I143=0,"",G143/I143))</f>
        <v/>
      </c>
    </row>
    <row r="144" ht="16" customHeight="1">
      <c r="A144" s="15" t="n">
        <v>122</v>
      </c>
      <c r="B144" s="50">
        <f>IF(A144&gt;Inputs!$C$62,"",IF(Inputs!$C$80=1,INDEX(Cohorts!$B$67:$B$326,A144),IF(A144=1,Inputs!$C$63,F143)))</f>
        <v/>
      </c>
      <c r="C144" s="50">
        <f>IF(A144&gt;Inputs!$C$62,"",IF(Inputs!$C$85=0,Inputs!$C$64,MIN(Inputs!$C$91,IF(AE144=0,0,AF144/AE144))))</f>
        <v/>
      </c>
      <c r="D144" s="51">
        <f>IF(A144&gt;Inputs!$C$62,"",IF(Inputs!$C$80=1,INDEX(Cohorts!$G$67:$G$326,A144),MAX(0, Inputs!$C$66 + Inputs!$C$67*L144 + Inputs!$C$68*(1-K144) + Inputs!$C$69*Inputs!$C$10)))</f>
        <v/>
      </c>
      <c r="E144" s="50">
        <f>IF(A144&gt;Inputs!$C$62,"",IF(Inputs!$C$80=1,INDEX(Cohorts!$H$67:$H$326,A144),D144*AD144))</f>
        <v/>
      </c>
      <c r="F144" s="50">
        <f>IF(A144&gt;Inputs!$C$62,"",IF(Inputs!$C$80=1,INDEX(Cohorts!$I$67:$I$326,A144),AD144-E144))</f>
        <v/>
      </c>
      <c r="G144" s="50">
        <f>IF(A144&gt;Inputs!$C$62,"",AD144)</f>
        <v/>
      </c>
      <c r="H144" s="50">
        <f>IF(A144&gt;Inputs!$C$62,"",INDEX(CapacityPlan!$E$7:$E$266,A144))</f>
        <v/>
      </c>
      <c r="I144" s="50">
        <f>IF(A144&gt;Inputs!$C$62,"",INDEX(CapacityPlan!$I$7:$I$266,A144))</f>
        <v/>
      </c>
      <c r="J144" s="50">
        <f>IF(A144&gt;Inputs!$C$62,"",IF(G144&gt;I144,I144,G144))</f>
        <v/>
      </c>
      <c r="K144" s="51">
        <f>IF(A144&gt;Inputs!$C$62,"",IF(G144=0,1,J144/G144))</f>
        <v/>
      </c>
      <c r="L144" s="51">
        <f>IF((Inputs!$C$36 + UnitEconomics!$B$12*Inputs!$C$37 + Inputs!$C$10*Inputs!$C$38 + Inputs!$C$70*(1-K144))&gt;1,1,(Inputs!$C$36 + UnitEconomics!$B$12*Inputs!$C$37 + Inputs!$C$10*Inputs!$C$38 + Inputs!$C$70*(1-K144)))</f>
        <v/>
      </c>
      <c r="M144" s="52">
        <f>IF(A144&gt;Inputs!$C$62,"",J144*Inputs!$C$7*(1-Inputs!$C$8)*(1-L144))</f>
        <v/>
      </c>
      <c r="N144" s="52">
        <f>IF(A144&gt;Inputs!$C$62,"",J144*UnitEconomics!$B$32*AI144 + (G144-J144)*Inputs!$C$71)</f>
        <v/>
      </c>
      <c r="O144" s="52">
        <f>M144-N144</f>
        <v/>
      </c>
      <c r="P144" s="52">
        <f>IF(A144&gt;Inputs!$C$62,"",Inputs!$C$40 + H144*Inputs!$C$41)</f>
        <v/>
      </c>
      <c r="Q144" s="52">
        <f>O144-P144</f>
        <v/>
      </c>
      <c r="R144" s="50">
        <f>IF(A144&gt;Inputs!$C$62,"",AD144*Inputs!$C$16*(Inputs!$C$9 + Inputs!$C$10*Inputs!$C$11 + Inputs!$C$12)*(1 + VLOOKUP(Inputs!$C$15,Lookups!$A$2:$B$20,2,TRUE)*(Scale!$B$9/IF(Scale!$B$8=0,1,Scale!$B$8)) + Inputs!$C$52))</f>
        <v/>
      </c>
      <c r="S144" s="50">
        <f>IF(A144=1,Scale!$B$13, W143)</f>
        <v/>
      </c>
      <c r="T144" s="50">
        <f>J144*Inputs!$C$16*(Inputs!$C$19 + Inputs!$C$20*Inputs!$C$21 + 1/Inputs!$C$18)</f>
        <v/>
      </c>
      <c r="U144" s="50">
        <f>MAX(0, (R144*(1+Inputs!$C$74)) - (S144 - T144))</f>
        <v/>
      </c>
      <c r="V144" s="50">
        <f>IF(A144&lt;=Inputs!$C$73,0,INDEX(U:U,ROW()-Inputs!$C$73))</f>
        <v/>
      </c>
      <c r="W144" s="50">
        <f>S144 - T144 + V144</f>
        <v/>
      </c>
      <c r="X144" s="52">
        <f>V144*Inputs!$C$17</f>
        <v/>
      </c>
      <c r="Y144" s="52">
        <f>IF(A144&gt;Inputs!$C$62,"",C144*AE144)</f>
        <v/>
      </c>
      <c r="Z144" s="52">
        <f>IF(A144=1,Inputs!$C$72,AA143)</f>
        <v/>
      </c>
      <c r="AA144" s="52">
        <f>Z144 + M144 - N144 - P144 - X144 - Y144</f>
        <v/>
      </c>
      <c r="AB144" s="53">
        <f>IF(AA144&lt;0,1,0)</f>
        <v/>
      </c>
      <c r="AC144" s="54">
        <f>IF(AD144=0,0,R144/(AD144*Inputs!$C$16))</f>
        <v/>
      </c>
      <c r="AD144" s="53">
        <f>IF(A144&gt;Inputs!$C$62,"",B144+C144)</f>
        <v/>
      </c>
      <c r="AE144" s="56">
        <f>IF(A144&gt;Inputs!$C$62,"", Inputs!$C$65*(1+Inputs!$C$89*POWER(MIN(1,IF(Inputs!$C$88=0,0,B144/Inputs!$C$88)),Inputs!$C$90)))</f>
        <v/>
      </c>
      <c r="AF144" s="52">
        <f>IF(A144&gt;Inputs!$C$62,"",IF(A144=1,Inputs!$C$86,MIN(Inputs!$C$86,Inputs!$C$87*M143)))</f>
        <v/>
      </c>
      <c r="AG144" s="51">
        <f>IF(A144&gt;Inputs!$C$62,"",MIN(0.5,MAX(0, Inputs!$C$67*L144 + Inputs!$C$68*(1-K144) + Inputs!$C$69*Inputs!$C$10)))</f>
        <v/>
      </c>
      <c r="AH144" s="51">
        <f>IF(A144&gt;Inputs!$C$62,"",INDEX(CapacityPlan!$G$7:$G$266,A144))</f>
        <v/>
      </c>
      <c r="AI144" s="54">
        <f>IF(A144&gt;Inputs!$C$62,"",INDEX(CapacityPlan!$J$7:$J$266,A144))</f>
        <v/>
      </c>
      <c r="AJ144" s="51">
        <f>IF(A144&gt;Inputs!$C$62,"",IF(I144=0,"",G144/I144))</f>
        <v/>
      </c>
    </row>
    <row r="145" ht="16" customHeight="1">
      <c r="A145" s="15" t="n">
        <v>123</v>
      </c>
      <c r="B145" s="50">
        <f>IF(A145&gt;Inputs!$C$62,"",IF(Inputs!$C$80=1,INDEX(Cohorts!$B$67:$B$326,A145),IF(A145=1,Inputs!$C$63,F144)))</f>
        <v/>
      </c>
      <c r="C145" s="50">
        <f>IF(A145&gt;Inputs!$C$62,"",IF(Inputs!$C$85=0,Inputs!$C$64,MIN(Inputs!$C$91,IF(AE145=0,0,AF145/AE145))))</f>
        <v/>
      </c>
      <c r="D145" s="51">
        <f>IF(A145&gt;Inputs!$C$62,"",IF(Inputs!$C$80=1,INDEX(Cohorts!$G$67:$G$326,A145),MAX(0, Inputs!$C$66 + Inputs!$C$67*L145 + Inputs!$C$68*(1-K145) + Inputs!$C$69*Inputs!$C$10)))</f>
        <v/>
      </c>
      <c r="E145" s="50">
        <f>IF(A145&gt;Inputs!$C$62,"",IF(Inputs!$C$80=1,INDEX(Cohorts!$H$67:$H$326,A145),D145*AD145))</f>
        <v/>
      </c>
      <c r="F145" s="50">
        <f>IF(A145&gt;Inputs!$C$62,"",IF(Inputs!$C$80=1,INDEX(Cohorts!$I$67:$I$326,A145),AD145-E145))</f>
        <v/>
      </c>
      <c r="G145" s="50">
        <f>IF(A145&gt;Inputs!$C$62,"",AD145)</f>
        <v/>
      </c>
      <c r="H145" s="50">
        <f>IF(A145&gt;Inputs!$C$62,"",INDEX(CapacityPlan!$E$7:$E$266,A145))</f>
        <v/>
      </c>
      <c r="I145" s="50">
        <f>IF(A145&gt;Inputs!$C$62,"",INDEX(CapacityPlan!$I$7:$I$266,A145))</f>
        <v/>
      </c>
      <c r="J145" s="50">
        <f>IF(A145&gt;Inputs!$C$62,"",IF(G145&gt;I145,I145,G145))</f>
        <v/>
      </c>
      <c r="K145" s="51">
        <f>IF(A145&gt;Inputs!$C$62,"",IF(G145=0,1,J145/G145))</f>
        <v/>
      </c>
      <c r="L145" s="51">
        <f>IF((Inputs!$C$36 + UnitEconomics!$B$12*Inputs!$C$37 + Inputs!$C$10*Inputs!$C$38 + Inputs!$C$70*(1-K145))&gt;1,1,(Inputs!$C$36 + UnitEconomics!$B$12*Inputs!$C$37 + Inputs!$C$10*Inputs!$C$38 + Inputs!$C$70*(1-K145)))</f>
        <v/>
      </c>
      <c r="M145" s="52">
        <f>IF(A145&gt;Inputs!$C$62,"",J145*Inputs!$C$7*(1-Inputs!$C$8)*(1-L145))</f>
        <v/>
      </c>
      <c r="N145" s="52">
        <f>IF(A145&gt;Inputs!$C$62,"",J145*UnitEconomics!$B$32*AI145 + (G145-J145)*Inputs!$C$71)</f>
        <v/>
      </c>
      <c r="O145" s="52">
        <f>M145-N145</f>
        <v/>
      </c>
      <c r="P145" s="52">
        <f>IF(A145&gt;Inputs!$C$62,"",Inputs!$C$40 + H145*Inputs!$C$41)</f>
        <v/>
      </c>
      <c r="Q145" s="52">
        <f>O145-P145</f>
        <v/>
      </c>
      <c r="R145" s="50">
        <f>IF(A145&gt;Inputs!$C$62,"",AD145*Inputs!$C$16*(Inputs!$C$9 + Inputs!$C$10*Inputs!$C$11 + Inputs!$C$12)*(1 + VLOOKUP(Inputs!$C$15,Lookups!$A$2:$B$20,2,TRUE)*(Scale!$B$9/IF(Scale!$B$8=0,1,Scale!$B$8)) + Inputs!$C$52))</f>
        <v/>
      </c>
      <c r="S145" s="50">
        <f>IF(A145=1,Scale!$B$13, W144)</f>
        <v/>
      </c>
      <c r="T145" s="50">
        <f>J145*Inputs!$C$16*(Inputs!$C$19 + Inputs!$C$20*Inputs!$C$21 + 1/Inputs!$C$18)</f>
        <v/>
      </c>
      <c r="U145" s="50">
        <f>MAX(0, (R145*(1+Inputs!$C$74)) - (S145 - T145))</f>
        <v/>
      </c>
      <c r="V145" s="50">
        <f>IF(A145&lt;=Inputs!$C$73,0,INDEX(U:U,ROW()-Inputs!$C$73))</f>
        <v/>
      </c>
      <c r="W145" s="50">
        <f>S145 - T145 + V145</f>
        <v/>
      </c>
      <c r="X145" s="52">
        <f>V145*Inputs!$C$17</f>
        <v/>
      </c>
      <c r="Y145" s="52">
        <f>IF(A145&gt;Inputs!$C$62,"",C145*AE145)</f>
        <v/>
      </c>
      <c r="Z145" s="52">
        <f>IF(A145=1,Inputs!$C$72,AA144)</f>
        <v/>
      </c>
      <c r="AA145" s="52">
        <f>Z145 + M145 - N145 - P145 - X145 - Y145</f>
        <v/>
      </c>
      <c r="AB145" s="53">
        <f>IF(AA145&lt;0,1,0)</f>
        <v/>
      </c>
      <c r="AC145" s="54">
        <f>IF(AD145=0,0,R145/(AD145*Inputs!$C$16))</f>
        <v/>
      </c>
      <c r="AD145" s="53">
        <f>IF(A145&gt;Inputs!$C$62,"",B145+C145)</f>
        <v/>
      </c>
      <c r="AE145" s="56">
        <f>IF(A145&gt;Inputs!$C$62,"", Inputs!$C$65*(1+Inputs!$C$89*POWER(MIN(1,IF(Inputs!$C$88=0,0,B145/Inputs!$C$88)),Inputs!$C$90)))</f>
        <v/>
      </c>
      <c r="AF145" s="52">
        <f>IF(A145&gt;Inputs!$C$62,"",IF(A145=1,Inputs!$C$86,MIN(Inputs!$C$86,Inputs!$C$87*M144)))</f>
        <v/>
      </c>
      <c r="AG145" s="51">
        <f>IF(A145&gt;Inputs!$C$62,"",MIN(0.5,MAX(0, Inputs!$C$67*L145 + Inputs!$C$68*(1-K145) + Inputs!$C$69*Inputs!$C$10)))</f>
        <v/>
      </c>
      <c r="AH145" s="51">
        <f>IF(A145&gt;Inputs!$C$62,"",INDEX(CapacityPlan!$G$7:$G$266,A145))</f>
        <v/>
      </c>
      <c r="AI145" s="54">
        <f>IF(A145&gt;Inputs!$C$62,"",INDEX(CapacityPlan!$J$7:$J$266,A145))</f>
        <v/>
      </c>
      <c r="AJ145" s="51">
        <f>IF(A145&gt;Inputs!$C$62,"",IF(I145=0,"",G145/I145))</f>
        <v/>
      </c>
    </row>
    <row r="146" ht="16" customHeight="1">
      <c r="A146" s="15" t="n">
        <v>124</v>
      </c>
      <c r="B146" s="50">
        <f>IF(A146&gt;Inputs!$C$62,"",IF(Inputs!$C$80=1,INDEX(Cohorts!$B$67:$B$326,A146),IF(A146=1,Inputs!$C$63,F145)))</f>
        <v/>
      </c>
      <c r="C146" s="50">
        <f>IF(A146&gt;Inputs!$C$62,"",IF(Inputs!$C$85=0,Inputs!$C$64,MIN(Inputs!$C$91,IF(AE146=0,0,AF146/AE146))))</f>
        <v/>
      </c>
      <c r="D146" s="51">
        <f>IF(A146&gt;Inputs!$C$62,"",IF(Inputs!$C$80=1,INDEX(Cohorts!$G$67:$G$326,A146),MAX(0, Inputs!$C$66 + Inputs!$C$67*L146 + Inputs!$C$68*(1-K146) + Inputs!$C$69*Inputs!$C$10)))</f>
        <v/>
      </c>
      <c r="E146" s="50">
        <f>IF(A146&gt;Inputs!$C$62,"",IF(Inputs!$C$80=1,INDEX(Cohorts!$H$67:$H$326,A146),D146*AD146))</f>
        <v/>
      </c>
      <c r="F146" s="50">
        <f>IF(A146&gt;Inputs!$C$62,"",IF(Inputs!$C$80=1,INDEX(Cohorts!$I$67:$I$326,A146),AD146-E146))</f>
        <v/>
      </c>
      <c r="G146" s="50">
        <f>IF(A146&gt;Inputs!$C$62,"",AD146)</f>
        <v/>
      </c>
      <c r="H146" s="50">
        <f>IF(A146&gt;Inputs!$C$62,"",INDEX(CapacityPlan!$E$7:$E$266,A146))</f>
        <v/>
      </c>
      <c r="I146" s="50">
        <f>IF(A146&gt;Inputs!$C$62,"",INDEX(CapacityPlan!$I$7:$I$266,A146))</f>
        <v/>
      </c>
      <c r="J146" s="50">
        <f>IF(A146&gt;Inputs!$C$62,"",IF(G146&gt;I146,I146,G146))</f>
        <v/>
      </c>
      <c r="K146" s="51">
        <f>IF(A146&gt;Inputs!$C$62,"",IF(G146=0,1,J146/G146))</f>
        <v/>
      </c>
      <c r="L146" s="51">
        <f>IF((Inputs!$C$36 + UnitEconomics!$B$12*Inputs!$C$37 + Inputs!$C$10*Inputs!$C$38 + Inputs!$C$70*(1-K146))&gt;1,1,(Inputs!$C$36 + UnitEconomics!$B$12*Inputs!$C$37 + Inputs!$C$10*Inputs!$C$38 + Inputs!$C$70*(1-K146)))</f>
        <v/>
      </c>
      <c r="M146" s="52">
        <f>IF(A146&gt;Inputs!$C$62,"",J146*Inputs!$C$7*(1-Inputs!$C$8)*(1-L146))</f>
        <v/>
      </c>
      <c r="N146" s="52">
        <f>IF(A146&gt;Inputs!$C$62,"",J146*UnitEconomics!$B$32*AI146 + (G146-J146)*Inputs!$C$71)</f>
        <v/>
      </c>
      <c r="O146" s="52">
        <f>M146-N146</f>
        <v/>
      </c>
      <c r="P146" s="52">
        <f>IF(A146&gt;Inputs!$C$62,"",Inputs!$C$40 + H146*Inputs!$C$41)</f>
        <v/>
      </c>
      <c r="Q146" s="52">
        <f>O146-P146</f>
        <v/>
      </c>
      <c r="R146" s="50">
        <f>IF(A146&gt;Inputs!$C$62,"",AD146*Inputs!$C$16*(Inputs!$C$9 + Inputs!$C$10*Inputs!$C$11 + Inputs!$C$12)*(1 + VLOOKUP(Inputs!$C$15,Lookups!$A$2:$B$20,2,TRUE)*(Scale!$B$9/IF(Scale!$B$8=0,1,Scale!$B$8)) + Inputs!$C$52))</f>
        <v/>
      </c>
      <c r="S146" s="50">
        <f>IF(A146=1,Scale!$B$13, W145)</f>
        <v/>
      </c>
      <c r="T146" s="50">
        <f>J146*Inputs!$C$16*(Inputs!$C$19 + Inputs!$C$20*Inputs!$C$21 + 1/Inputs!$C$18)</f>
        <v/>
      </c>
      <c r="U146" s="50">
        <f>MAX(0, (R146*(1+Inputs!$C$74)) - (S146 - T146))</f>
        <v/>
      </c>
      <c r="V146" s="50">
        <f>IF(A146&lt;=Inputs!$C$73,0,INDEX(U:U,ROW()-Inputs!$C$73))</f>
        <v/>
      </c>
      <c r="W146" s="50">
        <f>S146 - T146 + V146</f>
        <v/>
      </c>
      <c r="X146" s="52">
        <f>V146*Inputs!$C$17</f>
        <v/>
      </c>
      <c r="Y146" s="52">
        <f>IF(A146&gt;Inputs!$C$62,"",C146*AE146)</f>
        <v/>
      </c>
      <c r="Z146" s="52">
        <f>IF(A146=1,Inputs!$C$72,AA145)</f>
        <v/>
      </c>
      <c r="AA146" s="52">
        <f>Z146 + M146 - N146 - P146 - X146 - Y146</f>
        <v/>
      </c>
      <c r="AB146" s="53">
        <f>IF(AA146&lt;0,1,0)</f>
        <v/>
      </c>
      <c r="AC146" s="54">
        <f>IF(AD146=0,0,R146/(AD146*Inputs!$C$16))</f>
        <v/>
      </c>
      <c r="AD146" s="53">
        <f>IF(A146&gt;Inputs!$C$62,"",B146+C146)</f>
        <v/>
      </c>
      <c r="AE146" s="56">
        <f>IF(A146&gt;Inputs!$C$62,"", Inputs!$C$65*(1+Inputs!$C$89*POWER(MIN(1,IF(Inputs!$C$88=0,0,B146/Inputs!$C$88)),Inputs!$C$90)))</f>
        <v/>
      </c>
      <c r="AF146" s="52">
        <f>IF(A146&gt;Inputs!$C$62,"",IF(A146=1,Inputs!$C$86,MIN(Inputs!$C$86,Inputs!$C$87*M145)))</f>
        <v/>
      </c>
      <c r="AG146" s="51">
        <f>IF(A146&gt;Inputs!$C$62,"",MIN(0.5,MAX(0, Inputs!$C$67*L146 + Inputs!$C$68*(1-K146) + Inputs!$C$69*Inputs!$C$10)))</f>
        <v/>
      </c>
      <c r="AH146" s="51">
        <f>IF(A146&gt;Inputs!$C$62,"",INDEX(CapacityPlan!$G$7:$G$266,A146))</f>
        <v/>
      </c>
      <c r="AI146" s="54">
        <f>IF(A146&gt;Inputs!$C$62,"",INDEX(CapacityPlan!$J$7:$J$266,A146))</f>
        <v/>
      </c>
      <c r="AJ146" s="51">
        <f>IF(A146&gt;Inputs!$C$62,"",IF(I146=0,"",G146/I146))</f>
        <v/>
      </c>
    </row>
    <row r="147" ht="16" customHeight="1">
      <c r="A147" s="15" t="n">
        <v>125</v>
      </c>
      <c r="B147" s="50">
        <f>IF(A147&gt;Inputs!$C$62,"",IF(Inputs!$C$80=1,INDEX(Cohorts!$B$67:$B$326,A147),IF(A147=1,Inputs!$C$63,F146)))</f>
        <v/>
      </c>
      <c r="C147" s="50">
        <f>IF(A147&gt;Inputs!$C$62,"",IF(Inputs!$C$85=0,Inputs!$C$64,MIN(Inputs!$C$91,IF(AE147=0,0,AF147/AE147))))</f>
        <v/>
      </c>
      <c r="D147" s="51">
        <f>IF(A147&gt;Inputs!$C$62,"",IF(Inputs!$C$80=1,INDEX(Cohorts!$G$67:$G$326,A147),MAX(0, Inputs!$C$66 + Inputs!$C$67*L147 + Inputs!$C$68*(1-K147) + Inputs!$C$69*Inputs!$C$10)))</f>
        <v/>
      </c>
      <c r="E147" s="50">
        <f>IF(A147&gt;Inputs!$C$62,"",IF(Inputs!$C$80=1,INDEX(Cohorts!$H$67:$H$326,A147),D147*AD147))</f>
        <v/>
      </c>
      <c r="F147" s="50">
        <f>IF(A147&gt;Inputs!$C$62,"",IF(Inputs!$C$80=1,INDEX(Cohorts!$I$67:$I$326,A147),AD147-E147))</f>
        <v/>
      </c>
      <c r="G147" s="50">
        <f>IF(A147&gt;Inputs!$C$62,"",AD147)</f>
        <v/>
      </c>
      <c r="H147" s="50">
        <f>IF(A147&gt;Inputs!$C$62,"",INDEX(CapacityPlan!$E$7:$E$266,A147))</f>
        <v/>
      </c>
      <c r="I147" s="50">
        <f>IF(A147&gt;Inputs!$C$62,"",INDEX(CapacityPlan!$I$7:$I$266,A147))</f>
        <v/>
      </c>
      <c r="J147" s="50">
        <f>IF(A147&gt;Inputs!$C$62,"",IF(G147&gt;I147,I147,G147))</f>
        <v/>
      </c>
      <c r="K147" s="51">
        <f>IF(A147&gt;Inputs!$C$62,"",IF(G147=0,1,J147/G147))</f>
        <v/>
      </c>
      <c r="L147" s="51">
        <f>IF((Inputs!$C$36 + UnitEconomics!$B$12*Inputs!$C$37 + Inputs!$C$10*Inputs!$C$38 + Inputs!$C$70*(1-K147))&gt;1,1,(Inputs!$C$36 + UnitEconomics!$B$12*Inputs!$C$37 + Inputs!$C$10*Inputs!$C$38 + Inputs!$C$70*(1-K147)))</f>
        <v/>
      </c>
      <c r="M147" s="52">
        <f>IF(A147&gt;Inputs!$C$62,"",J147*Inputs!$C$7*(1-Inputs!$C$8)*(1-L147))</f>
        <v/>
      </c>
      <c r="N147" s="52">
        <f>IF(A147&gt;Inputs!$C$62,"",J147*UnitEconomics!$B$32*AI147 + (G147-J147)*Inputs!$C$71)</f>
        <v/>
      </c>
      <c r="O147" s="52">
        <f>M147-N147</f>
        <v/>
      </c>
      <c r="P147" s="52">
        <f>IF(A147&gt;Inputs!$C$62,"",Inputs!$C$40 + H147*Inputs!$C$41)</f>
        <v/>
      </c>
      <c r="Q147" s="52">
        <f>O147-P147</f>
        <v/>
      </c>
      <c r="R147" s="50">
        <f>IF(A147&gt;Inputs!$C$62,"",AD147*Inputs!$C$16*(Inputs!$C$9 + Inputs!$C$10*Inputs!$C$11 + Inputs!$C$12)*(1 + VLOOKUP(Inputs!$C$15,Lookups!$A$2:$B$20,2,TRUE)*(Scale!$B$9/IF(Scale!$B$8=0,1,Scale!$B$8)) + Inputs!$C$52))</f>
        <v/>
      </c>
      <c r="S147" s="50">
        <f>IF(A147=1,Scale!$B$13, W146)</f>
        <v/>
      </c>
      <c r="T147" s="50">
        <f>J147*Inputs!$C$16*(Inputs!$C$19 + Inputs!$C$20*Inputs!$C$21 + 1/Inputs!$C$18)</f>
        <v/>
      </c>
      <c r="U147" s="50">
        <f>MAX(0, (R147*(1+Inputs!$C$74)) - (S147 - T147))</f>
        <v/>
      </c>
      <c r="V147" s="50">
        <f>IF(A147&lt;=Inputs!$C$73,0,INDEX(U:U,ROW()-Inputs!$C$73))</f>
        <v/>
      </c>
      <c r="W147" s="50">
        <f>S147 - T147 + V147</f>
        <v/>
      </c>
      <c r="X147" s="52">
        <f>V147*Inputs!$C$17</f>
        <v/>
      </c>
      <c r="Y147" s="52">
        <f>IF(A147&gt;Inputs!$C$62,"",C147*AE147)</f>
        <v/>
      </c>
      <c r="Z147" s="52">
        <f>IF(A147=1,Inputs!$C$72,AA146)</f>
        <v/>
      </c>
      <c r="AA147" s="52">
        <f>Z147 + M147 - N147 - P147 - X147 - Y147</f>
        <v/>
      </c>
      <c r="AB147" s="53">
        <f>IF(AA147&lt;0,1,0)</f>
        <v/>
      </c>
      <c r="AC147" s="54">
        <f>IF(AD147=0,0,R147/(AD147*Inputs!$C$16))</f>
        <v/>
      </c>
      <c r="AD147" s="53">
        <f>IF(A147&gt;Inputs!$C$62,"",B147+C147)</f>
        <v/>
      </c>
      <c r="AE147" s="56">
        <f>IF(A147&gt;Inputs!$C$62,"", Inputs!$C$65*(1+Inputs!$C$89*POWER(MIN(1,IF(Inputs!$C$88=0,0,B147/Inputs!$C$88)),Inputs!$C$90)))</f>
        <v/>
      </c>
      <c r="AF147" s="52">
        <f>IF(A147&gt;Inputs!$C$62,"",IF(A147=1,Inputs!$C$86,MIN(Inputs!$C$86,Inputs!$C$87*M146)))</f>
        <v/>
      </c>
      <c r="AG147" s="51">
        <f>IF(A147&gt;Inputs!$C$62,"",MIN(0.5,MAX(0, Inputs!$C$67*L147 + Inputs!$C$68*(1-K147) + Inputs!$C$69*Inputs!$C$10)))</f>
        <v/>
      </c>
      <c r="AH147" s="51">
        <f>IF(A147&gt;Inputs!$C$62,"",INDEX(CapacityPlan!$G$7:$G$266,A147))</f>
        <v/>
      </c>
      <c r="AI147" s="54">
        <f>IF(A147&gt;Inputs!$C$62,"",INDEX(CapacityPlan!$J$7:$J$266,A147))</f>
        <v/>
      </c>
      <c r="AJ147" s="51">
        <f>IF(A147&gt;Inputs!$C$62,"",IF(I147=0,"",G147/I147))</f>
        <v/>
      </c>
    </row>
    <row r="148" ht="16" customHeight="1">
      <c r="A148" s="15" t="n">
        <v>126</v>
      </c>
      <c r="B148" s="50">
        <f>IF(A148&gt;Inputs!$C$62,"",IF(Inputs!$C$80=1,INDEX(Cohorts!$B$67:$B$326,A148),IF(A148=1,Inputs!$C$63,F147)))</f>
        <v/>
      </c>
      <c r="C148" s="50">
        <f>IF(A148&gt;Inputs!$C$62,"",IF(Inputs!$C$85=0,Inputs!$C$64,MIN(Inputs!$C$91,IF(AE148=0,0,AF148/AE148))))</f>
        <v/>
      </c>
      <c r="D148" s="51">
        <f>IF(A148&gt;Inputs!$C$62,"",IF(Inputs!$C$80=1,INDEX(Cohorts!$G$67:$G$326,A148),MAX(0, Inputs!$C$66 + Inputs!$C$67*L148 + Inputs!$C$68*(1-K148) + Inputs!$C$69*Inputs!$C$10)))</f>
        <v/>
      </c>
      <c r="E148" s="50">
        <f>IF(A148&gt;Inputs!$C$62,"",IF(Inputs!$C$80=1,INDEX(Cohorts!$H$67:$H$326,A148),D148*AD148))</f>
        <v/>
      </c>
      <c r="F148" s="50">
        <f>IF(A148&gt;Inputs!$C$62,"",IF(Inputs!$C$80=1,INDEX(Cohorts!$I$67:$I$326,A148),AD148-E148))</f>
        <v/>
      </c>
      <c r="G148" s="50">
        <f>IF(A148&gt;Inputs!$C$62,"",AD148)</f>
        <v/>
      </c>
      <c r="H148" s="50">
        <f>IF(A148&gt;Inputs!$C$62,"",INDEX(CapacityPlan!$E$7:$E$266,A148))</f>
        <v/>
      </c>
      <c r="I148" s="50">
        <f>IF(A148&gt;Inputs!$C$62,"",INDEX(CapacityPlan!$I$7:$I$266,A148))</f>
        <v/>
      </c>
      <c r="J148" s="50">
        <f>IF(A148&gt;Inputs!$C$62,"",IF(G148&gt;I148,I148,G148))</f>
        <v/>
      </c>
      <c r="K148" s="51">
        <f>IF(A148&gt;Inputs!$C$62,"",IF(G148=0,1,J148/G148))</f>
        <v/>
      </c>
      <c r="L148" s="51">
        <f>IF((Inputs!$C$36 + UnitEconomics!$B$12*Inputs!$C$37 + Inputs!$C$10*Inputs!$C$38 + Inputs!$C$70*(1-K148))&gt;1,1,(Inputs!$C$36 + UnitEconomics!$B$12*Inputs!$C$37 + Inputs!$C$10*Inputs!$C$38 + Inputs!$C$70*(1-K148)))</f>
        <v/>
      </c>
      <c r="M148" s="52">
        <f>IF(A148&gt;Inputs!$C$62,"",J148*Inputs!$C$7*(1-Inputs!$C$8)*(1-L148))</f>
        <v/>
      </c>
      <c r="N148" s="52">
        <f>IF(A148&gt;Inputs!$C$62,"",J148*UnitEconomics!$B$32*AI148 + (G148-J148)*Inputs!$C$71)</f>
        <v/>
      </c>
      <c r="O148" s="52">
        <f>M148-N148</f>
        <v/>
      </c>
      <c r="P148" s="52">
        <f>IF(A148&gt;Inputs!$C$62,"",Inputs!$C$40 + H148*Inputs!$C$41)</f>
        <v/>
      </c>
      <c r="Q148" s="52">
        <f>O148-P148</f>
        <v/>
      </c>
      <c r="R148" s="50">
        <f>IF(A148&gt;Inputs!$C$62,"",AD148*Inputs!$C$16*(Inputs!$C$9 + Inputs!$C$10*Inputs!$C$11 + Inputs!$C$12)*(1 + VLOOKUP(Inputs!$C$15,Lookups!$A$2:$B$20,2,TRUE)*(Scale!$B$9/IF(Scale!$B$8=0,1,Scale!$B$8)) + Inputs!$C$52))</f>
        <v/>
      </c>
      <c r="S148" s="50">
        <f>IF(A148=1,Scale!$B$13, W147)</f>
        <v/>
      </c>
      <c r="T148" s="50">
        <f>J148*Inputs!$C$16*(Inputs!$C$19 + Inputs!$C$20*Inputs!$C$21 + 1/Inputs!$C$18)</f>
        <v/>
      </c>
      <c r="U148" s="50">
        <f>MAX(0, (R148*(1+Inputs!$C$74)) - (S148 - T148))</f>
        <v/>
      </c>
      <c r="V148" s="50">
        <f>IF(A148&lt;=Inputs!$C$73,0,INDEX(U:U,ROW()-Inputs!$C$73))</f>
        <v/>
      </c>
      <c r="W148" s="50">
        <f>S148 - T148 + V148</f>
        <v/>
      </c>
      <c r="X148" s="52">
        <f>V148*Inputs!$C$17</f>
        <v/>
      </c>
      <c r="Y148" s="52">
        <f>IF(A148&gt;Inputs!$C$62,"",C148*AE148)</f>
        <v/>
      </c>
      <c r="Z148" s="52">
        <f>IF(A148=1,Inputs!$C$72,AA147)</f>
        <v/>
      </c>
      <c r="AA148" s="52">
        <f>Z148 + M148 - N148 - P148 - X148 - Y148</f>
        <v/>
      </c>
      <c r="AB148" s="53">
        <f>IF(AA148&lt;0,1,0)</f>
        <v/>
      </c>
      <c r="AC148" s="54">
        <f>IF(AD148=0,0,R148/(AD148*Inputs!$C$16))</f>
        <v/>
      </c>
      <c r="AD148" s="53">
        <f>IF(A148&gt;Inputs!$C$62,"",B148+C148)</f>
        <v/>
      </c>
      <c r="AE148" s="56">
        <f>IF(A148&gt;Inputs!$C$62,"", Inputs!$C$65*(1+Inputs!$C$89*POWER(MIN(1,IF(Inputs!$C$88=0,0,B148/Inputs!$C$88)),Inputs!$C$90)))</f>
        <v/>
      </c>
      <c r="AF148" s="52">
        <f>IF(A148&gt;Inputs!$C$62,"",IF(A148=1,Inputs!$C$86,MIN(Inputs!$C$86,Inputs!$C$87*M147)))</f>
        <v/>
      </c>
      <c r="AG148" s="51">
        <f>IF(A148&gt;Inputs!$C$62,"",MIN(0.5,MAX(0, Inputs!$C$67*L148 + Inputs!$C$68*(1-K148) + Inputs!$C$69*Inputs!$C$10)))</f>
        <v/>
      </c>
      <c r="AH148" s="51">
        <f>IF(A148&gt;Inputs!$C$62,"",INDEX(CapacityPlan!$G$7:$G$266,A148))</f>
        <v/>
      </c>
      <c r="AI148" s="54">
        <f>IF(A148&gt;Inputs!$C$62,"",INDEX(CapacityPlan!$J$7:$J$266,A148))</f>
        <v/>
      </c>
      <c r="AJ148" s="51">
        <f>IF(A148&gt;Inputs!$C$62,"",IF(I148=0,"",G148/I148))</f>
        <v/>
      </c>
    </row>
    <row r="149" ht="16" customHeight="1">
      <c r="A149" s="15" t="n">
        <v>127</v>
      </c>
      <c r="B149" s="50">
        <f>IF(A149&gt;Inputs!$C$62,"",IF(Inputs!$C$80=1,INDEX(Cohorts!$B$67:$B$326,A149),IF(A149=1,Inputs!$C$63,F148)))</f>
        <v/>
      </c>
      <c r="C149" s="50">
        <f>IF(A149&gt;Inputs!$C$62,"",IF(Inputs!$C$85=0,Inputs!$C$64,MIN(Inputs!$C$91,IF(AE149=0,0,AF149/AE149))))</f>
        <v/>
      </c>
      <c r="D149" s="51">
        <f>IF(A149&gt;Inputs!$C$62,"",IF(Inputs!$C$80=1,INDEX(Cohorts!$G$67:$G$326,A149),MAX(0, Inputs!$C$66 + Inputs!$C$67*L149 + Inputs!$C$68*(1-K149) + Inputs!$C$69*Inputs!$C$10)))</f>
        <v/>
      </c>
      <c r="E149" s="50">
        <f>IF(A149&gt;Inputs!$C$62,"",IF(Inputs!$C$80=1,INDEX(Cohorts!$H$67:$H$326,A149),D149*AD149))</f>
        <v/>
      </c>
      <c r="F149" s="50">
        <f>IF(A149&gt;Inputs!$C$62,"",IF(Inputs!$C$80=1,INDEX(Cohorts!$I$67:$I$326,A149),AD149-E149))</f>
        <v/>
      </c>
      <c r="G149" s="50">
        <f>IF(A149&gt;Inputs!$C$62,"",AD149)</f>
        <v/>
      </c>
      <c r="H149" s="50">
        <f>IF(A149&gt;Inputs!$C$62,"",INDEX(CapacityPlan!$E$7:$E$266,A149))</f>
        <v/>
      </c>
      <c r="I149" s="50">
        <f>IF(A149&gt;Inputs!$C$62,"",INDEX(CapacityPlan!$I$7:$I$266,A149))</f>
        <v/>
      </c>
      <c r="J149" s="50">
        <f>IF(A149&gt;Inputs!$C$62,"",IF(G149&gt;I149,I149,G149))</f>
        <v/>
      </c>
      <c r="K149" s="51">
        <f>IF(A149&gt;Inputs!$C$62,"",IF(G149=0,1,J149/G149))</f>
        <v/>
      </c>
      <c r="L149" s="51">
        <f>IF((Inputs!$C$36 + UnitEconomics!$B$12*Inputs!$C$37 + Inputs!$C$10*Inputs!$C$38 + Inputs!$C$70*(1-K149))&gt;1,1,(Inputs!$C$36 + UnitEconomics!$B$12*Inputs!$C$37 + Inputs!$C$10*Inputs!$C$38 + Inputs!$C$70*(1-K149)))</f>
        <v/>
      </c>
      <c r="M149" s="52">
        <f>IF(A149&gt;Inputs!$C$62,"",J149*Inputs!$C$7*(1-Inputs!$C$8)*(1-L149))</f>
        <v/>
      </c>
      <c r="N149" s="52">
        <f>IF(A149&gt;Inputs!$C$62,"",J149*UnitEconomics!$B$32*AI149 + (G149-J149)*Inputs!$C$71)</f>
        <v/>
      </c>
      <c r="O149" s="52">
        <f>M149-N149</f>
        <v/>
      </c>
      <c r="P149" s="52">
        <f>IF(A149&gt;Inputs!$C$62,"",Inputs!$C$40 + H149*Inputs!$C$41)</f>
        <v/>
      </c>
      <c r="Q149" s="52">
        <f>O149-P149</f>
        <v/>
      </c>
      <c r="R149" s="50">
        <f>IF(A149&gt;Inputs!$C$62,"",AD149*Inputs!$C$16*(Inputs!$C$9 + Inputs!$C$10*Inputs!$C$11 + Inputs!$C$12)*(1 + VLOOKUP(Inputs!$C$15,Lookups!$A$2:$B$20,2,TRUE)*(Scale!$B$9/IF(Scale!$B$8=0,1,Scale!$B$8)) + Inputs!$C$52))</f>
        <v/>
      </c>
      <c r="S149" s="50">
        <f>IF(A149=1,Scale!$B$13, W148)</f>
        <v/>
      </c>
      <c r="T149" s="50">
        <f>J149*Inputs!$C$16*(Inputs!$C$19 + Inputs!$C$20*Inputs!$C$21 + 1/Inputs!$C$18)</f>
        <v/>
      </c>
      <c r="U149" s="50">
        <f>MAX(0, (R149*(1+Inputs!$C$74)) - (S149 - T149))</f>
        <v/>
      </c>
      <c r="V149" s="50">
        <f>IF(A149&lt;=Inputs!$C$73,0,INDEX(U:U,ROW()-Inputs!$C$73))</f>
        <v/>
      </c>
      <c r="W149" s="50">
        <f>S149 - T149 + V149</f>
        <v/>
      </c>
      <c r="X149" s="52">
        <f>V149*Inputs!$C$17</f>
        <v/>
      </c>
      <c r="Y149" s="52">
        <f>IF(A149&gt;Inputs!$C$62,"",C149*AE149)</f>
        <v/>
      </c>
      <c r="Z149" s="52">
        <f>IF(A149=1,Inputs!$C$72,AA148)</f>
        <v/>
      </c>
      <c r="AA149" s="52">
        <f>Z149 + M149 - N149 - P149 - X149 - Y149</f>
        <v/>
      </c>
      <c r="AB149" s="53">
        <f>IF(AA149&lt;0,1,0)</f>
        <v/>
      </c>
      <c r="AC149" s="54">
        <f>IF(AD149=0,0,R149/(AD149*Inputs!$C$16))</f>
        <v/>
      </c>
      <c r="AD149" s="53">
        <f>IF(A149&gt;Inputs!$C$62,"",B149+C149)</f>
        <v/>
      </c>
      <c r="AE149" s="56">
        <f>IF(A149&gt;Inputs!$C$62,"", Inputs!$C$65*(1+Inputs!$C$89*POWER(MIN(1,IF(Inputs!$C$88=0,0,B149/Inputs!$C$88)),Inputs!$C$90)))</f>
        <v/>
      </c>
      <c r="AF149" s="52">
        <f>IF(A149&gt;Inputs!$C$62,"",IF(A149=1,Inputs!$C$86,MIN(Inputs!$C$86,Inputs!$C$87*M148)))</f>
        <v/>
      </c>
      <c r="AG149" s="51">
        <f>IF(A149&gt;Inputs!$C$62,"",MIN(0.5,MAX(0, Inputs!$C$67*L149 + Inputs!$C$68*(1-K149) + Inputs!$C$69*Inputs!$C$10)))</f>
        <v/>
      </c>
      <c r="AH149" s="51">
        <f>IF(A149&gt;Inputs!$C$62,"",INDEX(CapacityPlan!$G$7:$G$266,A149))</f>
        <v/>
      </c>
      <c r="AI149" s="54">
        <f>IF(A149&gt;Inputs!$C$62,"",INDEX(CapacityPlan!$J$7:$J$266,A149))</f>
        <v/>
      </c>
      <c r="AJ149" s="51">
        <f>IF(A149&gt;Inputs!$C$62,"",IF(I149=0,"",G149/I149))</f>
        <v/>
      </c>
    </row>
    <row r="150" ht="16" customHeight="1">
      <c r="A150" s="15" t="n">
        <v>128</v>
      </c>
      <c r="B150" s="50">
        <f>IF(A150&gt;Inputs!$C$62,"",IF(Inputs!$C$80=1,INDEX(Cohorts!$B$67:$B$326,A150),IF(A150=1,Inputs!$C$63,F149)))</f>
        <v/>
      </c>
      <c r="C150" s="50">
        <f>IF(A150&gt;Inputs!$C$62,"",IF(Inputs!$C$85=0,Inputs!$C$64,MIN(Inputs!$C$91,IF(AE150=0,0,AF150/AE150))))</f>
        <v/>
      </c>
      <c r="D150" s="51">
        <f>IF(A150&gt;Inputs!$C$62,"",IF(Inputs!$C$80=1,INDEX(Cohorts!$G$67:$G$326,A150),MAX(0, Inputs!$C$66 + Inputs!$C$67*L150 + Inputs!$C$68*(1-K150) + Inputs!$C$69*Inputs!$C$10)))</f>
        <v/>
      </c>
      <c r="E150" s="50">
        <f>IF(A150&gt;Inputs!$C$62,"",IF(Inputs!$C$80=1,INDEX(Cohorts!$H$67:$H$326,A150),D150*AD150))</f>
        <v/>
      </c>
      <c r="F150" s="50">
        <f>IF(A150&gt;Inputs!$C$62,"",IF(Inputs!$C$80=1,INDEX(Cohorts!$I$67:$I$326,A150),AD150-E150))</f>
        <v/>
      </c>
      <c r="G150" s="50">
        <f>IF(A150&gt;Inputs!$C$62,"",AD150)</f>
        <v/>
      </c>
      <c r="H150" s="50">
        <f>IF(A150&gt;Inputs!$C$62,"",INDEX(CapacityPlan!$E$7:$E$266,A150))</f>
        <v/>
      </c>
      <c r="I150" s="50">
        <f>IF(A150&gt;Inputs!$C$62,"",INDEX(CapacityPlan!$I$7:$I$266,A150))</f>
        <v/>
      </c>
      <c r="J150" s="50">
        <f>IF(A150&gt;Inputs!$C$62,"",IF(G150&gt;I150,I150,G150))</f>
        <v/>
      </c>
      <c r="K150" s="51">
        <f>IF(A150&gt;Inputs!$C$62,"",IF(G150=0,1,J150/G150))</f>
        <v/>
      </c>
      <c r="L150" s="51">
        <f>IF((Inputs!$C$36 + UnitEconomics!$B$12*Inputs!$C$37 + Inputs!$C$10*Inputs!$C$38 + Inputs!$C$70*(1-K150))&gt;1,1,(Inputs!$C$36 + UnitEconomics!$B$12*Inputs!$C$37 + Inputs!$C$10*Inputs!$C$38 + Inputs!$C$70*(1-K150)))</f>
        <v/>
      </c>
      <c r="M150" s="52">
        <f>IF(A150&gt;Inputs!$C$62,"",J150*Inputs!$C$7*(1-Inputs!$C$8)*(1-L150))</f>
        <v/>
      </c>
      <c r="N150" s="52">
        <f>IF(A150&gt;Inputs!$C$62,"",J150*UnitEconomics!$B$32*AI150 + (G150-J150)*Inputs!$C$71)</f>
        <v/>
      </c>
      <c r="O150" s="52">
        <f>M150-N150</f>
        <v/>
      </c>
      <c r="P150" s="52">
        <f>IF(A150&gt;Inputs!$C$62,"",Inputs!$C$40 + H150*Inputs!$C$41)</f>
        <v/>
      </c>
      <c r="Q150" s="52">
        <f>O150-P150</f>
        <v/>
      </c>
      <c r="R150" s="50">
        <f>IF(A150&gt;Inputs!$C$62,"",AD150*Inputs!$C$16*(Inputs!$C$9 + Inputs!$C$10*Inputs!$C$11 + Inputs!$C$12)*(1 + VLOOKUP(Inputs!$C$15,Lookups!$A$2:$B$20,2,TRUE)*(Scale!$B$9/IF(Scale!$B$8=0,1,Scale!$B$8)) + Inputs!$C$52))</f>
        <v/>
      </c>
      <c r="S150" s="50">
        <f>IF(A150=1,Scale!$B$13, W149)</f>
        <v/>
      </c>
      <c r="T150" s="50">
        <f>J150*Inputs!$C$16*(Inputs!$C$19 + Inputs!$C$20*Inputs!$C$21 + 1/Inputs!$C$18)</f>
        <v/>
      </c>
      <c r="U150" s="50">
        <f>MAX(0, (R150*(1+Inputs!$C$74)) - (S150 - T150))</f>
        <v/>
      </c>
      <c r="V150" s="50">
        <f>IF(A150&lt;=Inputs!$C$73,0,INDEX(U:U,ROW()-Inputs!$C$73))</f>
        <v/>
      </c>
      <c r="W150" s="50">
        <f>S150 - T150 + V150</f>
        <v/>
      </c>
      <c r="X150" s="52">
        <f>V150*Inputs!$C$17</f>
        <v/>
      </c>
      <c r="Y150" s="52">
        <f>IF(A150&gt;Inputs!$C$62,"",C150*AE150)</f>
        <v/>
      </c>
      <c r="Z150" s="52">
        <f>IF(A150=1,Inputs!$C$72,AA149)</f>
        <v/>
      </c>
      <c r="AA150" s="52">
        <f>Z150 + M150 - N150 - P150 - X150 - Y150</f>
        <v/>
      </c>
      <c r="AB150" s="53">
        <f>IF(AA150&lt;0,1,0)</f>
        <v/>
      </c>
      <c r="AC150" s="54">
        <f>IF(AD150=0,0,R150/(AD150*Inputs!$C$16))</f>
        <v/>
      </c>
      <c r="AD150" s="53">
        <f>IF(A150&gt;Inputs!$C$62,"",B150+C150)</f>
        <v/>
      </c>
      <c r="AE150" s="56">
        <f>IF(A150&gt;Inputs!$C$62,"", Inputs!$C$65*(1+Inputs!$C$89*POWER(MIN(1,IF(Inputs!$C$88=0,0,B150/Inputs!$C$88)),Inputs!$C$90)))</f>
        <v/>
      </c>
      <c r="AF150" s="52">
        <f>IF(A150&gt;Inputs!$C$62,"",IF(A150=1,Inputs!$C$86,MIN(Inputs!$C$86,Inputs!$C$87*M149)))</f>
        <v/>
      </c>
      <c r="AG150" s="51">
        <f>IF(A150&gt;Inputs!$C$62,"",MIN(0.5,MAX(0, Inputs!$C$67*L150 + Inputs!$C$68*(1-K150) + Inputs!$C$69*Inputs!$C$10)))</f>
        <v/>
      </c>
      <c r="AH150" s="51">
        <f>IF(A150&gt;Inputs!$C$62,"",INDEX(CapacityPlan!$G$7:$G$266,A150))</f>
        <v/>
      </c>
      <c r="AI150" s="54">
        <f>IF(A150&gt;Inputs!$C$62,"",INDEX(CapacityPlan!$J$7:$J$266,A150))</f>
        <v/>
      </c>
      <c r="AJ150" s="51">
        <f>IF(A150&gt;Inputs!$C$62,"",IF(I150=0,"",G150/I150))</f>
        <v/>
      </c>
    </row>
    <row r="151" ht="16" customHeight="1">
      <c r="A151" s="15" t="n">
        <v>129</v>
      </c>
      <c r="B151" s="50">
        <f>IF(A151&gt;Inputs!$C$62,"",IF(Inputs!$C$80=1,INDEX(Cohorts!$B$67:$B$326,A151),IF(A151=1,Inputs!$C$63,F150)))</f>
        <v/>
      </c>
      <c r="C151" s="50">
        <f>IF(A151&gt;Inputs!$C$62,"",IF(Inputs!$C$85=0,Inputs!$C$64,MIN(Inputs!$C$91,IF(AE151=0,0,AF151/AE151))))</f>
        <v/>
      </c>
      <c r="D151" s="51">
        <f>IF(A151&gt;Inputs!$C$62,"",IF(Inputs!$C$80=1,INDEX(Cohorts!$G$67:$G$326,A151),MAX(0, Inputs!$C$66 + Inputs!$C$67*L151 + Inputs!$C$68*(1-K151) + Inputs!$C$69*Inputs!$C$10)))</f>
        <v/>
      </c>
      <c r="E151" s="50">
        <f>IF(A151&gt;Inputs!$C$62,"",IF(Inputs!$C$80=1,INDEX(Cohorts!$H$67:$H$326,A151),D151*AD151))</f>
        <v/>
      </c>
      <c r="F151" s="50">
        <f>IF(A151&gt;Inputs!$C$62,"",IF(Inputs!$C$80=1,INDEX(Cohorts!$I$67:$I$326,A151),AD151-E151))</f>
        <v/>
      </c>
      <c r="G151" s="50">
        <f>IF(A151&gt;Inputs!$C$62,"",AD151)</f>
        <v/>
      </c>
      <c r="H151" s="50">
        <f>IF(A151&gt;Inputs!$C$62,"",INDEX(CapacityPlan!$E$7:$E$266,A151))</f>
        <v/>
      </c>
      <c r="I151" s="50">
        <f>IF(A151&gt;Inputs!$C$62,"",INDEX(CapacityPlan!$I$7:$I$266,A151))</f>
        <v/>
      </c>
      <c r="J151" s="50">
        <f>IF(A151&gt;Inputs!$C$62,"",IF(G151&gt;I151,I151,G151))</f>
        <v/>
      </c>
      <c r="K151" s="51">
        <f>IF(A151&gt;Inputs!$C$62,"",IF(G151=0,1,J151/G151))</f>
        <v/>
      </c>
      <c r="L151" s="51">
        <f>IF((Inputs!$C$36 + UnitEconomics!$B$12*Inputs!$C$37 + Inputs!$C$10*Inputs!$C$38 + Inputs!$C$70*(1-K151))&gt;1,1,(Inputs!$C$36 + UnitEconomics!$B$12*Inputs!$C$37 + Inputs!$C$10*Inputs!$C$38 + Inputs!$C$70*(1-K151)))</f>
        <v/>
      </c>
      <c r="M151" s="52">
        <f>IF(A151&gt;Inputs!$C$62,"",J151*Inputs!$C$7*(1-Inputs!$C$8)*(1-L151))</f>
        <v/>
      </c>
      <c r="N151" s="52">
        <f>IF(A151&gt;Inputs!$C$62,"",J151*UnitEconomics!$B$32*AI151 + (G151-J151)*Inputs!$C$71)</f>
        <v/>
      </c>
      <c r="O151" s="52">
        <f>M151-N151</f>
        <v/>
      </c>
      <c r="P151" s="52">
        <f>IF(A151&gt;Inputs!$C$62,"",Inputs!$C$40 + H151*Inputs!$C$41)</f>
        <v/>
      </c>
      <c r="Q151" s="52">
        <f>O151-P151</f>
        <v/>
      </c>
      <c r="R151" s="50">
        <f>IF(A151&gt;Inputs!$C$62,"",AD151*Inputs!$C$16*(Inputs!$C$9 + Inputs!$C$10*Inputs!$C$11 + Inputs!$C$12)*(1 + VLOOKUP(Inputs!$C$15,Lookups!$A$2:$B$20,2,TRUE)*(Scale!$B$9/IF(Scale!$B$8=0,1,Scale!$B$8)) + Inputs!$C$52))</f>
        <v/>
      </c>
      <c r="S151" s="50">
        <f>IF(A151=1,Scale!$B$13, W150)</f>
        <v/>
      </c>
      <c r="T151" s="50">
        <f>J151*Inputs!$C$16*(Inputs!$C$19 + Inputs!$C$20*Inputs!$C$21 + 1/Inputs!$C$18)</f>
        <v/>
      </c>
      <c r="U151" s="50">
        <f>MAX(0, (R151*(1+Inputs!$C$74)) - (S151 - T151))</f>
        <v/>
      </c>
      <c r="V151" s="50">
        <f>IF(A151&lt;=Inputs!$C$73,0,INDEX(U:U,ROW()-Inputs!$C$73))</f>
        <v/>
      </c>
      <c r="W151" s="50">
        <f>S151 - T151 + V151</f>
        <v/>
      </c>
      <c r="X151" s="52">
        <f>V151*Inputs!$C$17</f>
        <v/>
      </c>
      <c r="Y151" s="52">
        <f>IF(A151&gt;Inputs!$C$62,"",C151*AE151)</f>
        <v/>
      </c>
      <c r="Z151" s="52">
        <f>IF(A151=1,Inputs!$C$72,AA150)</f>
        <v/>
      </c>
      <c r="AA151" s="52">
        <f>Z151 + M151 - N151 - P151 - X151 - Y151</f>
        <v/>
      </c>
      <c r="AB151" s="53">
        <f>IF(AA151&lt;0,1,0)</f>
        <v/>
      </c>
      <c r="AC151" s="54">
        <f>IF(AD151=0,0,R151/(AD151*Inputs!$C$16))</f>
        <v/>
      </c>
      <c r="AD151" s="53">
        <f>IF(A151&gt;Inputs!$C$62,"",B151+C151)</f>
        <v/>
      </c>
      <c r="AE151" s="56">
        <f>IF(A151&gt;Inputs!$C$62,"", Inputs!$C$65*(1+Inputs!$C$89*POWER(MIN(1,IF(Inputs!$C$88=0,0,B151/Inputs!$C$88)),Inputs!$C$90)))</f>
        <v/>
      </c>
      <c r="AF151" s="52">
        <f>IF(A151&gt;Inputs!$C$62,"",IF(A151=1,Inputs!$C$86,MIN(Inputs!$C$86,Inputs!$C$87*M150)))</f>
        <v/>
      </c>
      <c r="AG151" s="51">
        <f>IF(A151&gt;Inputs!$C$62,"",MIN(0.5,MAX(0, Inputs!$C$67*L151 + Inputs!$C$68*(1-K151) + Inputs!$C$69*Inputs!$C$10)))</f>
        <v/>
      </c>
      <c r="AH151" s="51">
        <f>IF(A151&gt;Inputs!$C$62,"",INDEX(CapacityPlan!$G$7:$G$266,A151))</f>
        <v/>
      </c>
      <c r="AI151" s="54">
        <f>IF(A151&gt;Inputs!$C$62,"",INDEX(CapacityPlan!$J$7:$J$266,A151))</f>
        <v/>
      </c>
      <c r="AJ151" s="51">
        <f>IF(A151&gt;Inputs!$C$62,"",IF(I151=0,"",G151/I151))</f>
        <v/>
      </c>
    </row>
    <row r="152" ht="16" customHeight="1">
      <c r="A152" s="15" t="n">
        <v>130</v>
      </c>
      <c r="B152" s="50">
        <f>IF(A152&gt;Inputs!$C$62,"",IF(Inputs!$C$80=1,INDEX(Cohorts!$B$67:$B$326,A152),IF(A152=1,Inputs!$C$63,F151)))</f>
        <v/>
      </c>
      <c r="C152" s="50">
        <f>IF(A152&gt;Inputs!$C$62,"",IF(Inputs!$C$85=0,Inputs!$C$64,MIN(Inputs!$C$91,IF(AE152=0,0,AF152/AE152))))</f>
        <v/>
      </c>
      <c r="D152" s="51">
        <f>IF(A152&gt;Inputs!$C$62,"",IF(Inputs!$C$80=1,INDEX(Cohorts!$G$67:$G$326,A152),MAX(0, Inputs!$C$66 + Inputs!$C$67*L152 + Inputs!$C$68*(1-K152) + Inputs!$C$69*Inputs!$C$10)))</f>
        <v/>
      </c>
      <c r="E152" s="50">
        <f>IF(A152&gt;Inputs!$C$62,"",IF(Inputs!$C$80=1,INDEX(Cohorts!$H$67:$H$326,A152),D152*AD152))</f>
        <v/>
      </c>
      <c r="F152" s="50">
        <f>IF(A152&gt;Inputs!$C$62,"",IF(Inputs!$C$80=1,INDEX(Cohorts!$I$67:$I$326,A152),AD152-E152))</f>
        <v/>
      </c>
      <c r="G152" s="50">
        <f>IF(A152&gt;Inputs!$C$62,"",AD152)</f>
        <v/>
      </c>
      <c r="H152" s="50">
        <f>IF(A152&gt;Inputs!$C$62,"",INDEX(CapacityPlan!$E$7:$E$266,A152))</f>
        <v/>
      </c>
      <c r="I152" s="50">
        <f>IF(A152&gt;Inputs!$C$62,"",INDEX(CapacityPlan!$I$7:$I$266,A152))</f>
        <v/>
      </c>
      <c r="J152" s="50">
        <f>IF(A152&gt;Inputs!$C$62,"",IF(G152&gt;I152,I152,G152))</f>
        <v/>
      </c>
      <c r="K152" s="51">
        <f>IF(A152&gt;Inputs!$C$62,"",IF(G152=0,1,J152/G152))</f>
        <v/>
      </c>
      <c r="L152" s="51">
        <f>IF((Inputs!$C$36 + UnitEconomics!$B$12*Inputs!$C$37 + Inputs!$C$10*Inputs!$C$38 + Inputs!$C$70*(1-K152))&gt;1,1,(Inputs!$C$36 + UnitEconomics!$B$12*Inputs!$C$37 + Inputs!$C$10*Inputs!$C$38 + Inputs!$C$70*(1-K152)))</f>
        <v/>
      </c>
      <c r="M152" s="52">
        <f>IF(A152&gt;Inputs!$C$62,"",J152*Inputs!$C$7*(1-Inputs!$C$8)*(1-L152))</f>
        <v/>
      </c>
      <c r="N152" s="52">
        <f>IF(A152&gt;Inputs!$C$62,"",J152*UnitEconomics!$B$32*AI152 + (G152-J152)*Inputs!$C$71)</f>
        <v/>
      </c>
      <c r="O152" s="52">
        <f>M152-N152</f>
        <v/>
      </c>
      <c r="P152" s="52">
        <f>IF(A152&gt;Inputs!$C$62,"",Inputs!$C$40 + H152*Inputs!$C$41)</f>
        <v/>
      </c>
      <c r="Q152" s="52">
        <f>O152-P152</f>
        <v/>
      </c>
      <c r="R152" s="50">
        <f>IF(A152&gt;Inputs!$C$62,"",AD152*Inputs!$C$16*(Inputs!$C$9 + Inputs!$C$10*Inputs!$C$11 + Inputs!$C$12)*(1 + VLOOKUP(Inputs!$C$15,Lookups!$A$2:$B$20,2,TRUE)*(Scale!$B$9/IF(Scale!$B$8=0,1,Scale!$B$8)) + Inputs!$C$52))</f>
        <v/>
      </c>
      <c r="S152" s="50">
        <f>IF(A152=1,Scale!$B$13, W151)</f>
        <v/>
      </c>
      <c r="T152" s="50">
        <f>J152*Inputs!$C$16*(Inputs!$C$19 + Inputs!$C$20*Inputs!$C$21 + 1/Inputs!$C$18)</f>
        <v/>
      </c>
      <c r="U152" s="50">
        <f>MAX(0, (R152*(1+Inputs!$C$74)) - (S152 - T152))</f>
        <v/>
      </c>
      <c r="V152" s="50">
        <f>IF(A152&lt;=Inputs!$C$73,0,INDEX(U:U,ROW()-Inputs!$C$73))</f>
        <v/>
      </c>
      <c r="W152" s="50">
        <f>S152 - T152 + V152</f>
        <v/>
      </c>
      <c r="X152" s="52">
        <f>V152*Inputs!$C$17</f>
        <v/>
      </c>
      <c r="Y152" s="52">
        <f>IF(A152&gt;Inputs!$C$62,"",C152*AE152)</f>
        <v/>
      </c>
      <c r="Z152" s="52">
        <f>IF(A152=1,Inputs!$C$72,AA151)</f>
        <v/>
      </c>
      <c r="AA152" s="52">
        <f>Z152 + M152 - N152 - P152 - X152 - Y152</f>
        <v/>
      </c>
      <c r="AB152" s="53">
        <f>IF(AA152&lt;0,1,0)</f>
        <v/>
      </c>
      <c r="AC152" s="54">
        <f>IF(AD152=0,0,R152/(AD152*Inputs!$C$16))</f>
        <v/>
      </c>
      <c r="AD152" s="53">
        <f>IF(A152&gt;Inputs!$C$62,"",B152+C152)</f>
        <v/>
      </c>
      <c r="AE152" s="56">
        <f>IF(A152&gt;Inputs!$C$62,"", Inputs!$C$65*(1+Inputs!$C$89*POWER(MIN(1,IF(Inputs!$C$88=0,0,B152/Inputs!$C$88)),Inputs!$C$90)))</f>
        <v/>
      </c>
      <c r="AF152" s="52">
        <f>IF(A152&gt;Inputs!$C$62,"",IF(A152=1,Inputs!$C$86,MIN(Inputs!$C$86,Inputs!$C$87*M151)))</f>
        <v/>
      </c>
      <c r="AG152" s="51">
        <f>IF(A152&gt;Inputs!$C$62,"",MIN(0.5,MAX(0, Inputs!$C$67*L152 + Inputs!$C$68*(1-K152) + Inputs!$C$69*Inputs!$C$10)))</f>
        <v/>
      </c>
      <c r="AH152" s="51">
        <f>IF(A152&gt;Inputs!$C$62,"",INDEX(CapacityPlan!$G$7:$G$266,A152))</f>
        <v/>
      </c>
      <c r="AI152" s="54">
        <f>IF(A152&gt;Inputs!$C$62,"",INDEX(CapacityPlan!$J$7:$J$266,A152))</f>
        <v/>
      </c>
      <c r="AJ152" s="51">
        <f>IF(A152&gt;Inputs!$C$62,"",IF(I152=0,"",G152/I152))</f>
        <v/>
      </c>
    </row>
    <row r="153" ht="16" customHeight="1">
      <c r="A153" s="15" t="n">
        <v>131</v>
      </c>
      <c r="B153" s="50">
        <f>IF(A153&gt;Inputs!$C$62,"",IF(Inputs!$C$80=1,INDEX(Cohorts!$B$67:$B$326,A153),IF(A153=1,Inputs!$C$63,F152)))</f>
        <v/>
      </c>
      <c r="C153" s="50">
        <f>IF(A153&gt;Inputs!$C$62,"",IF(Inputs!$C$85=0,Inputs!$C$64,MIN(Inputs!$C$91,IF(AE153=0,0,AF153/AE153))))</f>
        <v/>
      </c>
      <c r="D153" s="51">
        <f>IF(A153&gt;Inputs!$C$62,"",IF(Inputs!$C$80=1,INDEX(Cohorts!$G$67:$G$326,A153),MAX(0, Inputs!$C$66 + Inputs!$C$67*L153 + Inputs!$C$68*(1-K153) + Inputs!$C$69*Inputs!$C$10)))</f>
        <v/>
      </c>
      <c r="E153" s="50">
        <f>IF(A153&gt;Inputs!$C$62,"",IF(Inputs!$C$80=1,INDEX(Cohorts!$H$67:$H$326,A153),D153*AD153))</f>
        <v/>
      </c>
      <c r="F153" s="50">
        <f>IF(A153&gt;Inputs!$C$62,"",IF(Inputs!$C$80=1,INDEX(Cohorts!$I$67:$I$326,A153),AD153-E153))</f>
        <v/>
      </c>
      <c r="G153" s="50">
        <f>IF(A153&gt;Inputs!$C$62,"",AD153)</f>
        <v/>
      </c>
      <c r="H153" s="50">
        <f>IF(A153&gt;Inputs!$C$62,"",INDEX(CapacityPlan!$E$7:$E$266,A153))</f>
        <v/>
      </c>
      <c r="I153" s="50">
        <f>IF(A153&gt;Inputs!$C$62,"",INDEX(CapacityPlan!$I$7:$I$266,A153))</f>
        <v/>
      </c>
      <c r="J153" s="50">
        <f>IF(A153&gt;Inputs!$C$62,"",IF(G153&gt;I153,I153,G153))</f>
        <v/>
      </c>
      <c r="K153" s="51">
        <f>IF(A153&gt;Inputs!$C$62,"",IF(G153=0,1,J153/G153))</f>
        <v/>
      </c>
      <c r="L153" s="51">
        <f>IF((Inputs!$C$36 + UnitEconomics!$B$12*Inputs!$C$37 + Inputs!$C$10*Inputs!$C$38 + Inputs!$C$70*(1-K153))&gt;1,1,(Inputs!$C$36 + UnitEconomics!$B$12*Inputs!$C$37 + Inputs!$C$10*Inputs!$C$38 + Inputs!$C$70*(1-K153)))</f>
        <v/>
      </c>
      <c r="M153" s="52">
        <f>IF(A153&gt;Inputs!$C$62,"",J153*Inputs!$C$7*(1-Inputs!$C$8)*(1-L153))</f>
        <v/>
      </c>
      <c r="N153" s="52">
        <f>IF(A153&gt;Inputs!$C$62,"",J153*UnitEconomics!$B$32*AI153 + (G153-J153)*Inputs!$C$71)</f>
        <v/>
      </c>
      <c r="O153" s="52">
        <f>M153-N153</f>
        <v/>
      </c>
      <c r="P153" s="52">
        <f>IF(A153&gt;Inputs!$C$62,"",Inputs!$C$40 + H153*Inputs!$C$41)</f>
        <v/>
      </c>
      <c r="Q153" s="52">
        <f>O153-P153</f>
        <v/>
      </c>
      <c r="R153" s="50">
        <f>IF(A153&gt;Inputs!$C$62,"",AD153*Inputs!$C$16*(Inputs!$C$9 + Inputs!$C$10*Inputs!$C$11 + Inputs!$C$12)*(1 + VLOOKUP(Inputs!$C$15,Lookups!$A$2:$B$20,2,TRUE)*(Scale!$B$9/IF(Scale!$B$8=0,1,Scale!$B$8)) + Inputs!$C$52))</f>
        <v/>
      </c>
      <c r="S153" s="50">
        <f>IF(A153=1,Scale!$B$13, W152)</f>
        <v/>
      </c>
      <c r="T153" s="50">
        <f>J153*Inputs!$C$16*(Inputs!$C$19 + Inputs!$C$20*Inputs!$C$21 + 1/Inputs!$C$18)</f>
        <v/>
      </c>
      <c r="U153" s="50">
        <f>MAX(0, (R153*(1+Inputs!$C$74)) - (S153 - T153))</f>
        <v/>
      </c>
      <c r="V153" s="50">
        <f>IF(A153&lt;=Inputs!$C$73,0,INDEX(U:U,ROW()-Inputs!$C$73))</f>
        <v/>
      </c>
      <c r="W153" s="50">
        <f>S153 - T153 + V153</f>
        <v/>
      </c>
      <c r="X153" s="52">
        <f>V153*Inputs!$C$17</f>
        <v/>
      </c>
      <c r="Y153" s="52">
        <f>IF(A153&gt;Inputs!$C$62,"",C153*AE153)</f>
        <v/>
      </c>
      <c r="Z153" s="52">
        <f>IF(A153=1,Inputs!$C$72,AA152)</f>
        <v/>
      </c>
      <c r="AA153" s="52">
        <f>Z153 + M153 - N153 - P153 - X153 - Y153</f>
        <v/>
      </c>
      <c r="AB153" s="53">
        <f>IF(AA153&lt;0,1,0)</f>
        <v/>
      </c>
      <c r="AC153" s="54">
        <f>IF(AD153=0,0,R153/(AD153*Inputs!$C$16))</f>
        <v/>
      </c>
      <c r="AD153" s="53">
        <f>IF(A153&gt;Inputs!$C$62,"",B153+C153)</f>
        <v/>
      </c>
      <c r="AE153" s="56">
        <f>IF(A153&gt;Inputs!$C$62,"", Inputs!$C$65*(1+Inputs!$C$89*POWER(MIN(1,IF(Inputs!$C$88=0,0,B153/Inputs!$C$88)),Inputs!$C$90)))</f>
        <v/>
      </c>
      <c r="AF153" s="52">
        <f>IF(A153&gt;Inputs!$C$62,"",IF(A153=1,Inputs!$C$86,MIN(Inputs!$C$86,Inputs!$C$87*M152)))</f>
        <v/>
      </c>
      <c r="AG153" s="51">
        <f>IF(A153&gt;Inputs!$C$62,"",MIN(0.5,MAX(0, Inputs!$C$67*L153 + Inputs!$C$68*(1-K153) + Inputs!$C$69*Inputs!$C$10)))</f>
        <v/>
      </c>
      <c r="AH153" s="51">
        <f>IF(A153&gt;Inputs!$C$62,"",INDEX(CapacityPlan!$G$7:$G$266,A153))</f>
        <v/>
      </c>
      <c r="AI153" s="54">
        <f>IF(A153&gt;Inputs!$C$62,"",INDEX(CapacityPlan!$J$7:$J$266,A153))</f>
        <v/>
      </c>
      <c r="AJ153" s="51">
        <f>IF(A153&gt;Inputs!$C$62,"",IF(I153=0,"",G153/I153))</f>
        <v/>
      </c>
    </row>
    <row r="154" ht="16" customHeight="1">
      <c r="A154" s="15" t="n">
        <v>132</v>
      </c>
      <c r="B154" s="50">
        <f>IF(A154&gt;Inputs!$C$62,"",IF(Inputs!$C$80=1,INDEX(Cohorts!$B$67:$B$326,A154),IF(A154=1,Inputs!$C$63,F153)))</f>
        <v/>
      </c>
      <c r="C154" s="50">
        <f>IF(A154&gt;Inputs!$C$62,"",IF(Inputs!$C$85=0,Inputs!$C$64,MIN(Inputs!$C$91,IF(AE154=0,0,AF154/AE154))))</f>
        <v/>
      </c>
      <c r="D154" s="51">
        <f>IF(A154&gt;Inputs!$C$62,"",IF(Inputs!$C$80=1,INDEX(Cohorts!$G$67:$G$326,A154),MAX(0, Inputs!$C$66 + Inputs!$C$67*L154 + Inputs!$C$68*(1-K154) + Inputs!$C$69*Inputs!$C$10)))</f>
        <v/>
      </c>
      <c r="E154" s="50">
        <f>IF(A154&gt;Inputs!$C$62,"",IF(Inputs!$C$80=1,INDEX(Cohorts!$H$67:$H$326,A154),D154*AD154))</f>
        <v/>
      </c>
      <c r="F154" s="50">
        <f>IF(A154&gt;Inputs!$C$62,"",IF(Inputs!$C$80=1,INDEX(Cohorts!$I$67:$I$326,A154),AD154-E154))</f>
        <v/>
      </c>
      <c r="G154" s="50">
        <f>IF(A154&gt;Inputs!$C$62,"",AD154)</f>
        <v/>
      </c>
      <c r="H154" s="50">
        <f>IF(A154&gt;Inputs!$C$62,"",INDEX(CapacityPlan!$E$7:$E$266,A154))</f>
        <v/>
      </c>
      <c r="I154" s="50">
        <f>IF(A154&gt;Inputs!$C$62,"",INDEX(CapacityPlan!$I$7:$I$266,A154))</f>
        <v/>
      </c>
      <c r="J154" s="50">
        <f>IF(A154&gt;Inputs!$C$62,"",IF(G154&gt;I154,I154,G154))</f>
        <v/>
      </c>
      <c r="K154" s="51">
        <f>IF(A154&gt;Inputs!$C$62,"",IF(G154=0,1,J154/G154))</f>
        <v/>
      </c>
      <c r="L154" s="51">
        <f>IF((Inputs!$C$36 + UnitEconomics!$B$12*Inputs!$C$37 + Inputs!$C$10*Inputs!$C$38 + Inputs!$C$70*(1-K154))&gt;1,1,(Inputs!$C$36 + UnitEconomics!$B$12*Inputs!$C$37 + Inputs!$C$10*Inputs!$C$38 + Inputs!$C$70*(1-K154)))</f>
        <v/>
      </c>
      <c r="M154" s="52">
        <f>IF(A154&gt;Inputs!$C$62,"",J154*Inputs!$C$7*(1-Inputs!$C$8)*(1-L154))</f>
        <v/>
      </c>
      <c r="N154" s="52">
        <f>IF(A154&gt;Inputs!$C$62,"",J154*UnitEconomics!$B$32*AI154 + (G154-J154)*Inputs!$C$71)</f>
        <v/>
      </c>
      <c r="O154" s="52">
        <f>M154-N154</f>
        <v/>
      </c>
      <c r="P154" s="52">
        <f>IF(A154&gt;Inputs!$C$62,"",Inputs!$C$40 + H154*Inputs!$C$41)</f>
        <v/>
      </c>
      <c r="Q154" s="52">
        <f>O154-P154</f>
        <v/>
      </c>
      <c r="R154" s="50">
        <f>IF(A154&gt;Inputs!$C$62,"",AD154*Inputs!$C$16*(Inputs!$C$9 + Inputs!$C$10*Inputs!$C$11 + Inputs!$C$12)*(1 + VLOOKUP(Inputs!$C$15,Lookups!$A$2:$B$20,2,TRUE)*(Scale!$B$9/IF(Scale!$B$8=0,1,Scale!$B$8)) + Inputs!$C$52))</f>
        <v/>
      </c>
      <c r="S154" s="50">
        <f>IF(A154=1,Scale!$B$13, W153)</f>
        <v/>
      </c>
      <c r="T154" s="50">
        <f>J154*Inputs!$C$16*(Inputs!$C$19 + Inputs!$C$20*Inputs!$C$21 + 1/Inputs!$C$18)</f>
        <v/>
      </c>
      <c r="U154" s="50">
        <f>MAX(0, (R154*(1+Inputs!$C$74)) - (S154 - T154))</f>
        <v/>
      </c>
      <c r="V154" s="50">
        <f>IF(A154&lt;=Inputs!$C$73,0,INDEX(U:U,ROW()-Inputs!$C$73))</f>
        <v/>
      </c>
      <c r="W154" s="50">
        <f>S154 - T154 + V154</f>
        <v/>
      </c>
      <c r="X154" s="52">
        <f>V154*Inputs!$C$17</f>
        <v/>
      </c>
      <c r="Y154" s="52">
        <f>IF(A154&gt;Inputs!$C$62,"",C154*AE154)</f>
        <v/>
      </c>
      <c r="Z154" s="52">
        <f>IF(A154=1,Inputs!$C$72,AA153)</f>
        <v/>
      </c>
      <c r="AA154" s="52">
        <f>Z154 + M154 - N154 - P154 - X154 - Y154</f>
        <v/>
      </c>
      <c r="AB154" s="53">
        <f>IF(AA154&lt;0,1,0)</f>
        <v/>
      </c>
      <c r="AC154" s="54">
        <f>IF(AD154=0,0,R154/(AD154*Inputs!$C$16))</f>
        <v/>
      </c>
      <c r="AD154" s="53">
        <f>IF(A154&gt;Inputs!$C$62,"",B154+C154)</f>
        <v/>
      </c>
      <c r="AE154" s="56">
        <f>IF(A154&gt;Inputs!$C$62,"", Inputs!$C$65*(1+Inputs!$C$89*POWER(MIN(1,IF(Inputs!$C$88=0,0,B154/Inputs!$C$88)),Inputs!$C$90)))</f>
        <v/>
      </c>
      <c r="AF154" s="52">
        <f>IF(A154&gt;Inputs!$C$62,"",IF(A154=1,Inputs!$C$86,MIN(Inputs!$C$86,Inputs!$C$87*M153)))</f>
        <v/>
      </c>
      <c r="AG154" s="51">
        <f>IF(A154&gt;Inputs!$C$62,"",MIN(0.5,MAX(0, Inputs!$C$67*L154 + Inputs!$C$68*(1-K154) + Inputs!$C$69*Inputs!$C$10)))</f>
        <v/>
      </c>
      <c r="AH154" s="51">
        <f>IF(A154&gt;Inputs!$C$62,"",INDEX(CapacityPlan!$G$7:$G$266,A154))</f>
        <v/>
      </c>
      <c r="AI154" s="54">
        <f>IF(A154&gt;Inputs!$C$62,"",INDEX(CapacityPlan!$J$7:$J$266,A154))</f>
        <v/>
      </c>
      <c r="AJ154" s="51">
        <f>IF(A154&gt;Inputs!$C$62,"",IF(I154=0,"",G154/I154))</f>
        <v/>
      </c>
    </row>
    <row r="155" ht="16" customHeight="1">
      <c r="A155" s="15" t="n">
        <v>133</v>
      </c>
      <c r="B155" s="50">
        <f>IF(A155&gt;Inputs!$C$62,"",IF(Inputs!$C$80=1,INDEX(Cohorts!$B$67:$B$326,A155),IF(A155=1,Inputs!$C$63,F154)))</f>
        <v/>
      </c>
      <c r="C155" s="50">
        <f>IF(A155&gt;Inputs!$C$62,"",IF(Inputs!$C$85=0,Inputs!$C$64,MIN(Inputs!$C$91,IF(AE155=0,0,AF155/AE155))))</f>
        <v/>
      </c>
      <c r="D155" s="51">
        <f>IF(A155&gt;Inputs!$C$62,"",IF(Inputs!$C$80=1,INDEX(Cohorts!$G$67:$G$326,A155),MAX(0, Inputs!$C$66 + Inputs!$C$67*L155 + Inputs!$C$68*(1-K155) + Inputs!$C$69*Inputs!$C$10)))</f>
        <v/>
      </c>
      <c r="E155" s="50">
        <f>IF(A155&gt;Inputs!$C$62,"",IF(Inputs!$C$80=1,INDEX(Cohorts!$H$67:$H$326,A155),D155*AD155))</f>
        <v/>
      </c>
      <c r="F155" s="50">
        <f>IF(A155&gt;Inputs!$C$62,"",IF(Inputs!$C$80=1,INDEX(Cohorts!$I$67:$I$326,A155),AD155-E155))</f>
        <v/>
      </c>
      <c r="G155" s="50">
        <f>IF(A155&gt;Inputs!$C$62,"",AD155)</f>
        <v/>
      </c>
      <c r="H155" s="50">
        <f>IF(A155&gt;Inputs!$C$62,"",INDEX(CapacityPlan!$E$7:$E$266,A155))</f>
        <v/>
      </c>
      <c r="I155" s="50">
        <f>IF(A155&gt;Inputs!$C$62,"",INDEX(CapacityPlan!$I$7:$I$266,A155))</f>
        <v/>
      </c>
      <c r="J155" s="50">
        <f>IF(A155&gt;Inputs!$C$62,"",IF(G155&gt;I155,I155,G155))</f>
        <v/>
      </c>
      <c r="K155" s="51">
        <f>IF(A155&gt;Inputs!$C$62,"",IF(G155=0,1,J155/G155))</f>
        <v/>
      </c>
      <c r="L155" s="51">
        <f>IF((Inputs!$C$36 + UnitEconomics!$B$12*Inputs!$C$37 + Inputs!$C$10*Inputs!$C$38 + Inputs!$C$70*(1-K155))&gt;1,1,(Inputs!$C$36 + UnitEconomics!$B$12*Inputs!$C$37 + Inputs!$C$10*Inputs!$C$38 + Inputs!$C$70*(1-K155)))</f>
        <v/>
      </c>
      <c r="M155" s="52">
        <f>IF(A155&gt;Inputs!$C$62,"",J155*Inputs!$C$7*(1-Inputs!$C$8)*(1-L155))</f>
        <v/>
      </c>
      <c r="N155" s="52">
        <f>IF(A155&gt;Inputs!$C$62,"",J155*UnitEconomics!$B$32*AI155 + (G155-J155)*Inputs!$C$71)</f>
        <v/>
      </c>
      <c r="O155" s="52">
        <f>M155-N155</f>
        <v/>
      </c>
      <c r="P155" s="52">
        <f>IF(A155&gt;Inputs!$C$62,"",Inputs!$C$40 + H155*Inputs!$C$41)</f>
        <v/>
      </c>
      <c r="Q155" s="52">
        <f>O155-P155</f>
        <v/>
      </c>
      <c r="R155" s="50">
        <f>IF(A155&gt;Inputs!$C$62,"",AD155*Inputs!$C$16*(Inputs!$C$9 + Inputs!$C$10*Inputs!$C$11 + Inputs!$C$12)*(1 + VLOOKUP(Inputs!$C$15,Lookups!$A$2:$B$20,2,TRUE)*(Scale!$B$9/IF(Scale!$B$8=0,1,Scale!$B$8)) + Inputs!$C$52))</f>
        <v/>
      </c>
      <c r="S155" s="50">
        <f>IF(A155=1,Scale!$B$13, W154)</f>
        <v/>
      </c>
      <c r="T155" s="50">
        <f>J155*Inputs!$C$16*(Inputs!$C$19 + Inputs!$C$20*Inputs!$C$21 + 1/Inputs!$C$18)</f>
        <v/>
      </c>
      <c r="U155" s="50">
        <f>MAX(0, (R155*(1+Inputs!$C$74)) - (S155 - T155))</f>
        <v/>
      </c>
      <c r="V155" s="50">
        <f>IF(A155&lt;=Inputs!$C$73,0,INDEX(U:U,ROW()-Inputs!$C$73))</f>
        <v/>
      </c>
      <c r="W155" s="50">
        <f>S155 - T155 + V155</f>
        <v/>
      </c>
      <c r="X155" s="52">
        <f>V155*Inputs!$C$17</f>
        <v/>
      </c>
      <c r="Y155" s="52">
        <f>IF(A155&gt;Inputs!$C$62,"",C155*AE155)</f>
        <v/>
      </c>
      <c r="Z155" s="52">
        <f>IF(A155=1,Inputs!$C$72,AA154)</f>
        <v/>
      </c>
      <c r="AA155" s="52">
        <f>Z155 + M155 - N155 - P155 - X155 - Y155</f>
        <v/>
      </c>
      <c r="AB155" s="53">
        <f>IF(AA155&lt;0,1,0)</f>
        <v/>
      </c>
      <c r="AC155" s="54">
        <f>IF(AD155=0,0,R155/(AD155*Inputs!$C$16))</f>
        <v/>
      </c>
      <c r="AD155" s="53">
        <f>IF(A155&gt;Inputs!$C$62,"",B155+C155)</f>
        <v/>
      </c>
      <c r="AE155" s="56">
        <f>IF(A155&gt;Inputs!$C$62,"", Inputs!$C$65*(1+Inputs!$C$89*POWER(MIN(1,IF(Inputs!$C$88=0,0,B155/Inputs!$C$88)),Inputs!$C$90)))</f>
        <v/>
      </c>
      <c r="AF155" s="52">
        <f>IF(A155&gt;Inputs!$C$62,"",IF(A155=1,Inputs!$C$86,MIN(Inputs!$C$86,Inputs!$C$87*M154)))</f>
        <v/>
      </c>
      <c r="AG155" s="51">
        <f>IF(A155&gt;Inputs!$C$62,"",MIN(0.5,MAX(0, Inputs!$C$67*L155 + Inputs!$C$68*(1-K155) + Inputs!$C$69*Inputs!$C$10)))</f>
        <v/>
      </c>
      <c r="AH155" s="51">
        <f>IF(A155&gt;Inputs!$C$62,"",INDEX(CapacityPlan!$G$7:$G$266,A155))</f>
        <v/>
      </c>
      <c r="AI155" s="54">
        <f>IF(A155&gt;Inputs!$C$62,"",INDEX(CapacityPlan!$J$7:$J$266,A155))</f>
        <v/>
      </c>
      <c r="AJ155" s="51">
        <f>IF(A155&gt;Inputs!$C$62,"",IF(I155=0,"",G155/I155))</f>
        <v/>
      </c>
    </row>
    <row r="156" ht="16" customHeight="1">
      <c r="A156" s="15" t="n">
        <v>134</v>
      </c>
      <c r="B156" s="50">
        <f>IF(A156&gt;Inputs!$C$62,"",IF(Inputs!$C$80=1,INDEX(Cohorts!$B$67:$B$326,A156),IF(A156=1,Inputs!$C$63,F155)))</f>
        <v/>
      </c>
      <c r="C156" s="50">
        <f>IF(A156&gt;Inputs!$C$62,"",IF(Inputs!$C$85=0,Inputs!$C$64,MIN(Inputs!$C$91,IF(AE156=0,0,AF156/AE156))))</f>
        <v/>
      </c>
      <c r="D156" s="51">
        <f>IF(A156&gt;Inputs!$C$62,"",IF(Inputs!$C$80=1,INDEX(Cohorts!$G$67:$G$326,A156),MAX(0, Inputs!$C$66 + Inputs!$C$67*L156 + Inputs!$C$68*(1-K156) + Inputs!$C$69*Inputs!$C$10)))</f>
        <v/>
      </c>
      <c r="E156" s="50">
        <f>IF(A156&gt;Inputs!$C$62,"",IF(Inputs!$C$80=1,INDEX(Cohorts!$H$67:$H$326,A156),D156*AD156))</f>
        <v/>
      </c>
      <c r="F156" s="50">
        <f>IF(A156&gt;Inputs!$C$62,"",IF(Inputs!$C$80=1,INDEX(Cohorts!$I$67:$I$326,A156),AD156-E156))</f>
        <v/>
      </c>
      <c r="G156" s="50">
        <f>IF(A156&gt;Inputs!$C$62,"",AD156)</f>
        <v/>
      </c>
      <c r="H156" s="50">
        <f>IF(A156&gt;Inputs!$C$62,"",INDEX(CapacityPlan!$E$7:$E$266,A156))</f>
        <v/>
      </c>
      <c r="I156" s="50">
        <f>IF(A156&gt;Inputs!$C$62,"",INDEX(CapacityPlan!$I$7:$I$266,A156))</f>
        <v/>
      </c>
      <c r="J156" s="50">
        <f>IF(A156&gt;Inputs!$C$62,"",IF(G156&gt;I156,I156,G156))</f>
        <v/>
      </c>
      <c r="K156" s="51">
        <f>IF(A156&gt;Inputs!$C$62,"",IF(G156=0,1,J156/G156))</f>
        <v/>
      </c>
      <c r="L156" s="51">
        <f>IF((Inputs!$C$36 + UnitEconomics!$B$12*Inputs!$C$37 + Inputs!$C$10*Inputs!$C$38 + Inputs!$C$70*(1-K156))&gt;1,1,(Inputs!$C$36 + UnitEconomics!$B$12*Inputs!$C$37 + Inputs!$C$10*Inputs!$C$38 + Inputs!$C$70*(1-K156)))</f>
        <v/>
      </c>
      <c r="M156" s="52">
        <f>IF(A156&gt;Inputs!$C$62,"",J156*Inputs!$C$7*(1-Inputs!$C$8)*(1-L156))</f>
        <v/>
      </c>
      <c r="N156" s="52">
        <f>IF(A156&gt;Inputs!$C$62,"",J156*UnitEconomics!$B$32*AI156 + (G156-J156)*Inputs!$C$71)</f>
        <v/>
      </c>
      <c r="O156" s="52">
        <f>M156-N156</f>
        <v/>
      </c>
      <c r="P156" s="52">
        <f>IF(A156&gt;Inputs!$C$62,"",Inputs!$C$40 + H156*Inputs!$C$41)</f>
        <v/>
      </c>
      <c r="Q156" s="52">
        <f>O156-P156</f>
        <v/>
      </c>
      <c r="R156" s="50">
        <f>IF(A156&gt;Inputs!$C$62,"",AD156*Inputs!$C$16*(Inputs!$C$9 + Inputs!$C$10*Inputs!$C$11 + Inputs!$C$12)*(1 + VLOOKUP(Inputs!$C$15,Lookups!$A$2:$B$20,2,TRUE)*(Scale!$B$9/IF(Scale!$B$8=0,1,Scale!$B$8)) + Inputs!$C$52))</f>
        <v/>
      </c>
      <c r="S156" s="50">
        <f>IF(A156=1,Scale!$B$13, W155)</f>
        <v/>
      </c>
      <c r="T156" s="50">
        <f>J156*Inputs!$C$16*(Inputs!$C$19 + Inputs!$C$20*Inputs!$C$21 + 1/Inputs!$C$18)</f>
        <v/>
      </c>
      <c r="U156" s="50">
        <f>MAX(0, (R156*(1+Inputs!$C$74)) - (S156 - T156))</f>
        <v/>
      </c>
      <c r="V156" s="50">
        <f>IF(A156&lt;=Inputs!$C$73,0,INDEX(U:U,ROW()-Inputs!$C$73))</f>
        <v/>
      </c>
      <c r="W156" s="50">
        <f>S156 - T156 + V156</f>
        <v/>
      </c>
      <c r="X156" s="52">
        <f>V156*Inputs!$C$17</f>
        <v/>
      </c>
      <c r="Y156" s="52">
        <f>IF(A156&gt;Inputs!$C$62,"",C156*AE156)</f>
        <v/>
      </c>
      <c r="Z156" s="52">
        <f>IF(A156=1,Inputs!$C$72,AA155)</f>
        <v/>
      </c>
      <c r="AA156" s="52">
        <f>Z156 + M156 - N156 - P156 - X156 - Y156</f>
        <v/>
      </c>
      <c r="AB156" s="53">
        <f>IF(AA156&lt;0,1,0)</f>
        <v/>
      </c>
      <c r="AC156" s="54">
        <f>IF(AD156=0,0,R156/(AD156*Inputs!$C$16))</f>
        <v/>
      </c>
      <c r="AD156" s="53">
        <f>IF(A156&gt;Inputs!$C$62,"",B156+C156)</f>
        <v/>
      </c>
      <c r="AE156" s="56">
        <f>IF(A156&gt;Inputs!$C$62,"", Inputs!$C$65*(1+Inputs!$C$89*POWER(MIN(1,IF(Inputs!$C$88=0,0,B156/Inputs!$C$88)),Inputs!$C$90)))</f>
        <v/>
      </c>
      <c r="AF156" s="52">
        <f>IF(A156&gt;Inputs!$C$62,"",IF(A156=1,Inputs!$C$86,MIN(Inputs!$C$86,Inputs!$C$87*M155)))</f>
        <v/>
      </c>
      <c r="AG156" s="51">
        <f>IF(A156&gt;Inputs!$C$62,"",MIN(0.5,MAX(0, Inputs!$C$67*L156 + Inputs!$C$68*(1-K156) + Inputs!$C$69*Inputs!$C$10)))</f>
        <v/>
      </c>
      <c r="AH156" s="51">
        <f>IF(A156&gt;Inputs!$C$62,"",INDEX(CapacityPlan!$G$7:$G$266,A156))</f>
        <v/>
      </c>
      <c r="AI156" s="54">
        <f>IF(A156&gt;Inputs!$C$62,"",INDEX(CapacityPlan!$J$7:$J$266,A156))</f>
        <v/>
      </c>
      <c r="AJ156" s="51">
        <f>IF(A156&gt;Inputs!$C$62,"",IF(I156=0,"",G156/I156))</f>
        <v/>
      </c>
    </row>
    <row r="157" ht="16" customHeight="1">
      <c r="A157" s="15" t="n">
        <v>135</v>
      </c>
      <c r="B157" s="50">
        <f>IF(A157&gt;Inputs!$C$62,"",IF(Inputs!$C$80=1,INDEX(Cohorts!$B$67:$B$326,A157),IF(A157=1,Inputs!$C$63,F156)))</f>
        <v/>
      </c>
      <c r="C157" s="50">
        <f>IF(A157&gt;Inputs!$C$62,"",IF(Inputs!$C$85=0,Inputs!$C$64,MIN(Inputs!$C$91,IF(AE157=0,0,AF157/AE157))))</f>
        <v/>
      </c>
      <c r="D157" s="51">
        <f>IF(A157&gt;Inputs!$C$62,"",IF(Inputs!$C$80=1,INDEX(Cohorts!$G$67:$G$326,A157),MAX(0, Inputs!$C$66 + Inputs!$C$67*L157 + Inputs!$C$68*(1-K157) + Inputs!$C$69*Inputs!$C$10)))</f>
        <v/>
      </c>
      <c r="E157" s="50">
        <f>IF(A157&gt;Inputs!$C$62,"",IF(Inputs!$C$80=1,INDEX(Cohorts!$H$67:$H$326,A157),D157*AD157))</f>
        <v/>
      </c>
      <c r="F157" s="50">
        <f>IF(A157&gt;Inputs!$C$62,"",IF(Inputs!$C$80=1,INDEX(Cohorts!$I$67:$I$326,A157),AD157-E157))</f>
        <v/>
      </c>
      <c r="G157" s="50">
        <f>IF(A157&gt;Inputs!$C$62,"",AD157)</f>
        <v/>
      </c>
      <c r="H157" s="50">
        <f>IF(A157&gt;Inputs!$C$62,"",INDEX(CapacityPlan!$E$7:$E$266,A157))</f>
        <v/>
      </c>
      <c r="I157" s="50">
        <f>IF(A157&gt;Inputs!$C$62,"",INDEX(CapacityPlan!$I$7:$I$266,A157))</f>
        <v/>
      </c>
      <c r="J157" s="50">
        <f>IF(A157&gt;Inputs!$C$62,"",IF(G157&gt;I157,I157,G157))</f>
        <v/>
      </c>
      <c r="K157" s="51">
        <f>IF(A157&gt;Inputs!$C$62,"",IF(G157=0,1,J157/G157))</f>
        <v/>
      </c>
      <c r="L157" s="51">
        <f>IF((Inputs!$C$36 + UnitEconomics!$B$12*Inputs!$C$37 + Inputs!$C$10*Inputs!$C$38 + Inputs!$C$70*(1-K157))&gt;1,1,(Inputs!$C$36 + UnitEconomics!$B$12*Inputs!$C$37 + Inputs!$C$10*Inputs!$C$38 + Inputs!$C$70*(1-K157)))</f>
        <v/>
      </c>
      <c r="M157" s="52">
        <f>IF(A157&gt;Inputs!$C$62,"",J157*Inputs!$C$7*(1-Inputs!$C$8)*(1-L157))</f>
        <v/>
      </c>
      <c r="N157" s="52">
        <f>IF(A157&gt;Inputs!$C$62,"",J157*UnitEconomics!$B$32*AI157 + (G157-J157)*Inputs!$C$71)</f>
        <v/>
      </c>
      <c r="O157" s="52">
        <f>M157-N157</f>
        <v/>
      </c>
      <c r="P157" s="52">
        <f>IF(A157&gt;Inputs!$C$62,"",Inputs!$C$40 + H157*Inputs!$C$41)</f>
        <v/>
      </c>
      <c r="Q157" s="52">
        <f>O157-P157</f>
        <v/>
      </c>
      <c r="R157" s="50">
        <f>IF(A157&gt;Inputs!$C$62,"",AD157*Inputs!$C$16*(Inputs!$C$9 + Inputs!$C$10*Inputs!$C$11 + Inputs!$C$12)*(1 + VLOOKUP(Inputs!$C$15,Lookups!$A$2:$B$20,2,TRUE)*(Scale!$B$9/IF(Scale!$B$8=0,1,Scale!$B$8)) + Inputs!$C$52))</f>
        <v/>
      </c>
      <c r="S157" s="50">
        <f>IF(A157=1,Scale!$B$13, W156)</f>
        <v/>
      </c>
      <c r="T157" s="50">
        <f>J157*Inputs!$C$16*(Inputs!$C$19 + Inputs!$C$20*Inputs!$C$21 + 1/Inputs!$C$18)</f>
        <v/>
      </c>
      <c r="U157" s="50">
        <f>MAX(0, (R157*(1+Inputs!$C$74)) - (S157 - T157))</f>
        <v/>
      </c>
      <c r="V157" s="50">
        <f>IF(A157&lt;=Inputs!$C$73,0,INDEX(U:U,ROW()-Inputs!$C$73))</f>
        <v/>
      </c>
      <c r="W157" s="50">
        <f>S157 - T157 + V157</f>
        <v/>
      </c>
      <c r="X157" s="52">
        <f>V157*Inputs!$C$17</f>
        <v/>
      </c>
      <c r="Y157" s="52">
        <f>IF(A157&gt;Inputs!$C$62,"",C157*AE157)</f>
        <v/>
      </c>
      <c r="Z157" s="52">
        <f>IF(A157=1,Inputs!$C$72,AA156)</f>
        <v/>
      </c>
      <c r="AA157" s="52">
        <f>Z157 + M157 - N157 - P157 - X157 - Y157</f>
        <v/>
      </c>
      <c r="AB157" s="53">
        <f>IF(AA157&lt;0,1,0)</f>
        <v/>
      </c>
      <c r="AC157" s="54">
        <f>IF(AD157=0,0,R157/(AD157*Inputs!$C$16))</f>
        <v/>
      </c>
      <c r="AD157" s="53">
        <f>IF(A157&gt;Inputs!$C$62,"",B157+C157)</f>
        <v/>
      </c>
      <c r="AE157" s="56">
        <f>IF(A157&gt;Inputs!$C$62,"", Inputs!$C$65*(1+Inputs!$C$89*POWER(MIN(1,IF(Inputs!$C$88=0,0,B157/Inputs!$C$88)),Inputs!$C$90)))</f>
        <v/>
      </c>
      <c r="AF157" s="52">
        <f>IF(A157&gt;Inputs!$C$62,"",IF(A157=1,Inputs!$C$86,MIN(Inputs!$C$86,Inputs!$C$87*M156)))</f>
        <v/>
      </c>
      <c r="AG157" s="51">
        <f>IF(A157&gt;Inputs!$C$62,"",MIN(0.5,MAX(0, Inputs!$C$67*L157 + Inputs!$C$68*(1-K157) + Inputs!$C$69*Inputs!$C$10)))</f>
        <v/>
      </c>
      <c r="AH157" s="51">
        <f>IF(A157&gt;Inputs!$C$62,"",INDEX(CapacityPlan!$G$7:$G$266,A157))</f>
        <v/>
      </c>
      <c r="AI157" s="54">
        <f>IF(A157&gt;Inputs!$C$62,"",INDEX(CapacityPlan!$J$7:$J$266,A157))</f>
        <v/>
      </c>
      <c r="AJ157" s="51">
        <f>IF(A157&gt;Inputs!$C$62,"",IF(I157=0,"",G157/I157))</f>
        <v/>
      </c>
    </row>
    <row r="158" ht="16" customHeight="1">
      <c r="A158" s="15" t="n">
        <v>136</v>
      </c>
      <c r="B158" s="50">
        <f>IF(A158&gt;Inputs!$C$62,"",IF(Inputs!$C$80=1,INDEX(Cohorts!$B$67:$B$326,A158),IF(A158=1,Inputs!$C$63,F157)))</f>
        <v/>
      </c>
      <c r="C158" s="50">
        <f>IF(A158&gt;Inputs!$C$62,"",IF(Inputs!$C$85=0,Inputs!$C$64,MIN(Inputs!$C$91,IF(AE158=0,0,AF158/AE158))))</f>
        <v/>
      </c>
      <c r="D158" s="51">
        <f>IF(A158&gt;Inputs!$C$62,"",IF(Inputs!$C$80=1,INDEX(Cohorts!$G$67:$G$326,A158),MAX(0, Inputs!$C$66 + Inputs!$C$67*L158 + Inputs!$C$68*(1-K158) + Inputs!$C$69*Inputs!$C$10)))</f>
        <v/>
      </c>
      <c r="E158" s="50">
        <f>IF(A158&gt;Inputs!$C$62,"",IF(Inputs!$C$80=1,INDEX(Cohorts!$H$67:$H$326,A158),D158*AD158))</f>
        <v/>
      </c>
      <c r="F158" s="50">
        <f>IF(A158&gt;Inputs!$C$62,"",IF(Inputs!$C$80=1,INDEX(Cohorts!$I$67:$I$326,A158),AD158-E158))</f>
        <v/>
      </c>
      <c r="G158" s="50">
        <f>IF(A158&gt;Inputs!$C$62,"",AD158)</f>
        <v/>
      </c>
      <c r="H158" s="50">
        <f>IF(A158&gt;Inputs!$C$62,"",INDEX(CapacityPlan!$E$7:$E$266,A158))</f>
        <v/>
      </c>
      <c r="I158" s="50">
        <f>IF(A158&gt;Inputs!$C$62,"",INDEX(CapacityPlan!$I$7:$I$266,A158))</f>
        <v/>
      </c>
      <c r="J158" s="50">
        <f>IF(A158&gt;Inputs!$C$62,"",IF(G158&gt;I158,I158,G158))</f>
        <v/>
      </c>
      <c r="K158" s="51">
        <f>IF(A158&gt;Inputs!$C$62,"",IF(G158=0,1,J158/G158))</f>
        <v/>
      </c>
      <c r="L158" s="51">
        <f>IF((Inputs!$C$36 + UnitEconomics!$B$12*Inputs!$C$37 + Inputs!$C$10*Inputs!$C$38 + Inputs!$C$70*(1-K158))&gt;1,1,(Inputs!$C$36 + UnitEconomics!$B$12*Inputs!$C$37 + Inputs!$C$10*Inputs!$C$38 + Inputs!$C$70*(1-K158)))</f>
        <v/>
      </c>
      <c r="M158" s="52">
        <f>IF(A158&gt;Inputs!$C$62,"",J158*Inputs!$C$7*(1-Inputs!$C$8)*(1-L158))</f>
        <v/>
      </c>
      <c r="N158" s="52">
        <f>IF(A158&gt;Inputs!$C$62,"",J158*UnitEconomics!$B$32*AI158 + (G158-J158)*Inputs!$C$71)</f>
        <v/>
      </c>
      <c r="O158" s="52">
        <f>M158-N158</f>
        <v/>
      </c>
      <c r="P158" s="52">
        <f>IF(A158&gt;Inputs!$C$62,"",Inputs!$C$40 + H158*Inputs!$C$41)</f>
        <v/>
      </c>
      <c r="Q158" s="52">
        <f>O158-P158</f>
        <v/>
      </c>
      <c r="R158" s="50">
        <f>IF(A158&gt;Inputs!$C$62,"",AD158*Inputs!$C$16*(Inputs!$C$9 + Inputs!$C$10*Inputs!$C$11 + Inputs!$C$12)*(1 + VLOOKUP(Inputs!$C$15,Lookups!$A$2:$B$20,2,TRUE)*(Scale!$B$9/IF(Scale!$B$8=0,1,Scale!$B$8)) + Inputs!$C$52))</f>
        <v/>
      </c>
      <c r="S158" s="50">
        <f>IF(A158=1,Scale!$B$13, W157)</f>
        <v/>
      </c>
      <c r="T158" s="50">
        <f>J158*Inputs!$C$16*(Inputs!$C$19 + Inputs!$C$20*Inputs!$C$21 + 1/Inputs!$C$18)</f>
        <v/>
      </c>
      <c r="U158" s="50">
        <f>MAX(0, (R158*(1+Inputs!$C$74)) - (S158 - T158))</f>
        <v/>
      </c>
      <c r="V158" s="50">
        <f>IF(A158&lt;=Inputs!$C$73,0,INDEX(U:U,ROW()-Inputs!$C$73))</f>
        <v/>
      </c>
      <c r="W158" s="50">
        <f>S158 - T158 + V158</f>
        <v/>
      </c>
      <c r="X158" s="52">
        <f>V158*Inputs!$C$17</f>
        <v/>
      </c>
      <c r="Y158" s="52">
        <f>IF(A158&gt;Inputs!$C$62,"",C158*AE158)</f>
        <v/>
      </c>
      <c r="Z158" s="52">
        <f>IF(A158=1,Inputs!$C$72,AA157)</f>
        <v/>
      </c>
      <c r="AA158" s="52">
        <f>Z158 + M158 - N158 - P158 - X158 - Y158</f>
        <v/>
      </c>
      <c r="AB158" s="53">
        <f>IF(AA158&lt;0,1,0)</f>
        <v/>
      </c>
      <c r="AC158" s="54">
        <f>IF(AD158=0,0,R158/(AD158*Inputs!$C$16))</f>
        <v/>
      </c>
      <c r="AD158" s="53">
        <f>IF(A158&gt;Inputs!$C$62,"",B158+C158)</f>
        <v/>
      </c>
      <c r="AE158" s="56">
        <f>IF(A158&gt;Inputs!$C$62,"", Inputs!$C$65*(1+Inputs!$C$89*POWER(MIN(1,IF(Inputs!$C$88=0,0,B158/Inputs!$C$88)),Inputs!$C$90)))</f>
        <v/>
      </c>
      <c r="AF158" s="52">
        <f>IF(A158&gt;Inputs!$C$62,"",IF(A158=1,Inputs!$C$86,MIN(Inputs!$C$86,Inputs!$C$87*M157)))</f>
        <v/>
      </c>
      <c r="AG158" s="51">
        <f>IF(A158&gt;Inputs!$C$62,"",MIN(0.5,MAX(0, Inputs!$C$67*L158 + Inputs!$C$68*(1-K158) + Inputs!$C$69*Inputs!$C$10)))</f>
        <v/>
      </c>
      <c r="AH158" s="51">
        <f>IF(A158&gt;Inputs!$C$62,"",INDEX(CapacityPlan!$G$7:$G$266,A158))</f>
        <v/>
      </c>
      <c r="AI158" s="54">
        <f>IF(A158&gt;Inputs!$C$62,"",INDEX(CapacityPlan!$J$7:$J$266,A158))</f>
        <v/>
      </c>
      <c r="AJ158" s="51">
        <f>IF(A158&gt;Inputs!$C$62,"",IF(I158=0,"",G158/I158))</f>
        <v/>
      </c>
    </row>
    <row r="159" ht="16" customHeight="1">
      <c r="A159" s="15" t="n">
        <v>137</v>
      </c>
      <c r="B159" s="50">
        <f>IF(A159&gt;Inputs!$C$62,"",IF(Inputs!$C$80=1,INDEX(Cohorts!$B$67:$B$326,A159),IF(A159=1,Inputs!$C$63,F158)))</f>
        <v/>
      </c>
      <c r="C159" s="50">
        <f>IF(A159&gt;Inputs!$C$62,"",IF(Inputs!$C$85=0,Inputs!$C$64,MIN(Inputs!$C$91,IF(AE159=0,0,AF159/AE159))))</f>
        <v/>
      </c>
      <c r="D159" s="51">
        <f>IF(A159&gt;Inputs!$C$62,"",IF(Inputs!$C$80=1,INDEX(Cohorts!$G$67:$G$326,A159),MAX(0, Inputs!$C$66 + Inputs!$C$67*L159 + Inputs!$C$68*(1-K159) + Inputs!$C$69*Inputs!$C$10)))</f>
        <v/>
      </c>
      <c r="E159" s="50">
        <f>IF(A159&gt;Inputs!$C$62,"",IF(Inputs!$C$80=1,INDEX(Cohorts!$H$67:$H$326,A159),D159*AD159))</f>
        <v/>
      </c>
      <c r="F159" s="50">
        <f>IF(A159&gt;Inputs!$C$62,"",IF(Inputs!$C$80=1,INDEX(Cohorts!$I$67:$I$326,A159),AD159-E159))</f>
        <v/>
      </c>
      <c r="G159" s="50">
        <f>IF(A159&gt;Inputs!$C$62,"",AD159)</f>
        <v/>
      </c>
      <c r="H159" s="50">
        <f>IF(A159&gt;Inputs!$C$62,"",INDEX(CapacityPlan!$E$7:$E$266,A159))</f>
        <v/>
      </c>
      <c r="I159" s="50">
        <f>IF(A159&gt;Inputs!$C$62,"",INDEX(CapacityPlan!$I$7:$I$266,A159))</f>
        <v/>
      </c>
      <c r="J159" s="50">
        <f>IF(A159&gt;Inputs!$C$62,"",IF(G159&gt;I159,I159,G159))</f>
        <v/>
      </c>
      <c r="K159" s="51">
        <f>IF(A159&gt;Inputs!$C$62,"",IF(G159=0,1,J159/G159))</f>
        <v/>
      </c>
      <c r="L159" s="51">
        <f>IF((Inputs!$C$36 + UnitEconomics!$B$12*Inputs!$C$37 + Inputs!$C$10*Inputs!$C$38 + Inputs!$C$70*(1-K159))&gt;1,1,(Inputs!$C$36 + UnitEconomics!$B$12*Inputs!$C$37 + Inputs!$C$10*Inputs!$C$38 + Inputs!$C$70*(1-K159)))</f>
        <v/>
      </c>
      <c r="M159" s="52">
        <f>IF(A159&gt;Inputs!$C$62,"",J159*Inputs!$C$7*(1-Inputs!$C$8)*(1-L159))</f>
        <v/>
      </c>
      <c r="N159" s="52">
        <f>IF(A159&gt;Inputs!$C$62,"",J159*UnitEconomics!$B$32*AI159 + (G159-J159)*Inputs!$C$71)</f>
        <v/>
      </c>
      <c r="O159" s="52">
        <f>M159-N159</f>
        <v/>
      </c>
      <c r="P159" s="52">
        <f>IF(A159&gt;Inputs!$C$62,"",Inputs!$C$40 + H159*Inputs!$C$41)</f>
        <v/>
      </c>
      <c r="Q159" s="52">
        <f>O159-P159</f>
        <v/>
      </c>
      <c r="R159" s="50">
        <f>IF(A159&gt;Inputs!$C$62,"",AD159*Inputs!$C$16*(Inputs!$C$9 + Inputs!$C$10*Inputs!$C$11 + Inputs!$C$12)*(1 + VLOOKUP(Inputs!$C$15,Lookups!$A$2:$B$20,2,TRUE)*(Scale!$B$9/IF(Scale!$B$8=0,1,Scale!$B$8)) + Inputs!$C$52))</f>
        <v/>
      </c>
      <c r="S159" s="50">
        <f>IF(A159=1,Scale!$B$13, W158)</f>
        <v/>
      </c>
      <c r="T159" s="50">
        <f>J159*Inputs!$C$16*(Inputs!$C$19 + Inputs!$C$20*Inputs!$C$21 + 1/Inputs!$C$18)</f>
        <v/>
      </c>
      <c r="U159" s="50">
        <f>MAX(0, (R159*(1+Inputs!$C$74)) - (S159 - T159))</f>
        <v/>
      </c>
      <c r="V159" s="50">
        <f>IF(A159&lt;=Inputs!$C$73,0,INDEX(U:U,ROW()-Inputs!$C$73))</f>
        <v/>
      </c>
      <c r="W159" s="50">
        <f>S159 - T159 + V159</f>
        <v/>
      </c>
      <c r="X159" s="52">
        <f>V159*Inputs!$C$17</f>
        <v/>
      </c>
      <c r="Y159" s="52">
        <f>IF(A159&gt;Inputs!$C$62,"",C159*AE159)</f>
        <v/>
      </c>
      <c r="Z159" s="52">
        <f>IF(A159=1,Inputs!$C$72,AA158)</f>
        <v/>
      </c>
      <c r="AA159" s="52">
        <f>Z159 + M159 - N159 - P159 - X159 - Y159</f>
        <v/>
      </c>
      <c r="AB159" s="53">
        <f>IF(AA159&lt;0,1,0)</f>
        <v/>
      </c>
      <c r="AC159" s="54">
        <f>IF(AD159=0,0,R159/(AD159*Inputs!$C$16))</f>
        <v/>
      </c>
      <c r="AD159" s="53">
        <f>IF(A159&gt;Inputs!$C$62,"",B159+C159)</f>
        <v/>
      </c>
      <c r="AE159" s="56">
        <f>IF(A159&gt;Inputs!$C$62,"", Inputs!$C$65*(1+Inputs!$C$89*POWER(MIN(1,IF(Inputs!$C$88=0,0,B159/Inputs!$C$88)),Inputs!$C$90)))</f>
        <v/>
      </c>
      <c r="AF159" s="52">
        <f>IF(A159&gt;Inputs!$C$62,"",IF(A159=1,Inputs!$C$86,MIN(Inputs!$C$86,Inputs!$C$87*M158)))</f>
        <v/>
      </c>
      <c r="AG159" s="51">
        <f>IF(A159&gt;Inputs!$C$62,"",MIN(0.5,MAX(0, Inputs!$C$67*L159 + Inputs!$C$68*(1-K159) + Inputs!$C$69*Inputs!$C$10)))</f>
        <v/>
      </c>
      <c r="AH159" s="51">
        <f>IF(A159&gt;Inputs!$C$62,"",INDEX(CapacityPlan!$G$7:$G$266,A159))</f>
        <v/>
      </c>
      <c r="AI159" s="54">
        <f>IF(A159&gt;Inputs!$C$62,"",INDEX(CapacityPlan!$J$7:$J$266,A159))</f>
        <v/>
      </c>
      <c r="AJ159" s="51">
        <f>IF(A159&gt;Inputs!$C$62,"",IF(I159=0,"",G159/I159))</f>
        <v/>
      </c>
    </row>
    <row r="160" ht="16" customHeight="1">
      <c r="A160" s="15" t="n">
        <v>138</v>
      </c>
      <c r="B160" s="50">
        <f>IF(A160&gt;Inputs!$C$62,"",IF(Inputs!$C$80=1,INDEX(Cohorts!$B$67:$B$326,A160),IF(A160=1,Inputs!$C$63,F159)))</f>
        <v/>
      </c>
      <c r="C160" s="50">
        <f>IF(A160&gt;Inputs!$C$62,"",IF(Inputs!$C$85=0,Inputs!$C$64,MIN(Inputs!$C$91,IF(AE160=0,0,AF160/AE160))))</f>
        <v/>
      </c>
      <c r="D160" s="51">
        <f>IF(A160&gt;Inputs!$C$62,"",IF(Inputs!$C$80=1,INDEX(Cohorts!$G$67:$G$326,A160),MAX(0, Inputs!$C$66 + Inputs!$C$67*L160 + Inputs!$C$68*(1-K160) + Inputs!$C$69*Inputs!$C$10)))</f>
        <v/>
      </c>
      <c r="E160" s="50">
        <f>IF(A160&gt;Inputs!$C$62,"",IF(Inputs!$C$80=1,INDEX(Cohorts!$H$67:$H$326,A160),D160*AD160))</f>
        <v/>
      </c>
      <c r="F160" s="50">
        <f>IF(A160&gt;Inputs!$C$62,"",IF(Inputs!$C$80=1,INDEX(Cohorts!$I$67:$I$326,A160),AD160-E160))</f>
        <v/>
      </c>
      <c r="G160" s="50">
        <f>IF(A160&gt;Inputs!$C$62,"",AD160)</f>
        <v/>
      </c>
      <c r="H160" s="50">
        <f>IF(A160&gt;Inputs!$C$62,"",INDEX(CapacityPlan!$E$7:$E$266,A160))</f>
        <v/>
      </c>
      <c r="I160" s="50">
        <f>IF(A160&gt;Inputs!$C$62,"",INDEX(CapacityPlan!$I$7:$I$266,A160))</f>
        <v/>
      </c>
      <c r="J160" s="50">
        <f>IF(A160&gt;Inputs!$C$62,"",IF(G160&gt;I160,I160,G160))</f>
        <v/>
      </c>
      <c r="K160" s="51">
        <f>IF(A160&gt;Inputs!$C$62,"",IF(G160=0,1,J160/G160))</f>
        <v/>
      </c>
      <c r="L160" s="51">
        <f>IF((Inputs!$C$36 + UnitEconomics!$B$12*Inputs!$C$37 + Inputs!$C$10*Inputs!$C$38 + Inputs!$C$70*(1-K160))&gt;1,1,(Inputs!$C$36 + UnitEconomics!$B$12*Inputs!$C$37 + Inputs!$C$10*Inputs!$C$38 + Inputs!$C$70*(1-K160)))</f>
        <v/>
      </c>
      <c r="M160" s="52">
        <f>IF(A160&gt;Inputs!$C$62,"",J160*Inputs!$C$7*(1-Inputs!$C$8)*(1-L160))</f>
        <v/>
      </c>
      <c r="N160" s="52">
        <f>IF(A160&gt;Inputs!$C$62,"",J160*UnitEconomics!$B$32*AI160 + (G160-J160)*Inputs!$C$71)</f>
        <v/>
      </c>
      <c r="O160" s="52">
        <f>M160-N160</f>
        <v/>
      </c>
      <c r="P160" s="52">
        <f>IF(A160&gt;Inputs!$C$62,"",Inputs!$C$40 + H160*Inputs!$C$41)</f>
        <v/>
      </c>
      <c r="Q160" s="52">
        <f>O160-P160</f>
        <v/>
      </c>
      <c r="R160" s="50">
        <f>IF(A160&gt;Inputs!$C$62,"",AD160*Inputs!$C$16*(Inputs!$C$9 + Inputs!$C$10*Inputs!$C$11 + Inputs!$C$12)*(1 + VLOOKUP(Inputs!$C$15,Lookups!$A$2:$B$20,2,TRUE)*(Scale!$B$9/IF(Scale!$B$8=0,1,Scale!$B$8)) + Inputs!$C$52))</f>
        <v/>
      </c>
      <c r="S160" s="50">
        <f>IF(A160=1,Scale!$B$13, W159)</f>
        <v/>
      </c>
      <c r="T160" s="50">
        <f>J160*Inputs!$C$16*(Inputs!$C$19 + Inputs!$C$20*Inputs!$C$21 + 1/Inputs!$C$18)</f>
        <v/>
      </c>
      <c r="U160" s="50">
        <f>MAX(0, (R160*(1+Inputs!$C$74)) - (S160 - T160))</f>
        <v/>
      </c>
      <c r="V160" s="50">
        <f>IF(A160&lt;=Inputs!$C$73,0,INDEX(U:U,ROW()-Inputs!$C$73))</f>
        <v/>
      </c>
      <c r="W160" s="50">
        <f>S160 - T160 + V160</f>
        <v/>
      </c>
      <c r="X160" s="52">
        <f>V160*Inputs!$C$17</f>
        <v/>
      </c>
      <c r="Y160" s="52">
        <f>IF(A160&gt;Inputs!$C$62,"",C160*AE160)</f>
        <v/>
      </c>
      <c r="Z160" s="52">
        <f>IF(A160=1,Inputs!$C$72,AA159)</f>
        <v/>
      </c>
      <c r="AA160" s="52">
        <f>Z160 + M160 - N160 - P160 - X160 - Y160</f>
        <v/>
      </c>
      <c r="AB160" s="53">
        <f>IF(AA160&lt;0,1,0)</f>
        <v/>
      </c>
      <c r="AC160" s="54">
        <f>IF(AD160=0,0,R160/(AD160*Inputs!$C$16))</f>
        <v/>
      </c>
      <c r="AD160" s="53">
        <f>IF(A160&gt;Inputs!$C$62,"",B160+C160)</f>
        <v/>
      </c>
      <c r="AE160" s="56">
        <f>IF(A160&gt;Inputs!$C$62,"", Inputs!$C$65*(1+Inputs!$C$89*POWER(MIN(1,IF(Inputs!$C$88=0,0,B160/Inputs!$C$88)),Inputs!$C$90)))</f>
        <v/>
      </c>
      <c r="AF160" s="52">
        <f>IF(A160&gt;Inputs!$C$62,"",IF(A160=1,Inputs!$C$86,MIN(Inputs!$C$86,Inputs!$C$87*M159)))</f>
        <v/>
      </c>
      <c r="AG160" s="51">
        <f>IF(A160&gt;Inputs!$C$62,"",MIN(0.5,MAX(0, Inputs!$C$67*L160 + Inputs!$C$68*(1-K160) + Inputs!$C$69*Inputs!$C$10)))</f>
        <v/>
      </c>
      <c r="AH160" s="51">
        <f>IF(A160&gt;Inputs!$C$62,"",INDEX(CapacityPlan!$G$7:$G$266,A160))</f>
        <v/>
      </c>
      <c r="AI160" s="54">
        <f>IF(A160&gt;Inputs!$C$62,"",INDEX(CapacityPlan!$J$7:$J$266,A160))</f>
        <v/>
      </c>
      <c r="AJ160" s="51">
        <f>IF(A160&gt;Inputs!$C$62,"",IF(I160=0,"",G160/I160))</f>
        <v/>
      </c>
    </row>
    <row r="161" ht="16" customHeight="1">
      <c r="A161" s="15" t="n">
        <v>139</v>
      </c>
      <c r="B161" s="50">
        <f>IF(A161&gt;Inputs!$C$62,"",IF(Inputs!$C$80=1,INDEX(Cohorts!$B$67:$B$326,A161),IF(A161=1,Inputs!$C$63,F160)))</f>
        <v/>
      </c>
      <c r="C161" s="50">
        <f>IF(A161&gt;Inputs!$C$62,"",IF(Inputs!$C$85=0,Inputs!$C$64,MIN(Inputs!$C$91,IF(AE161=0,0,AF161/AE161))))</f>
        <v/>
      </c>
      <c r="D161" s="51">
        <f>IF(A161&gt;Inputs!$C$62,"",IF(Inputs!$C$80=1,INDEX(Cohorts!$G$67:$G$326,A161),MAX(0, Inputs!$C$66 + Inputs!$C$67*L161 + Inputs!$C$68*(1-K161) + Inputs!$C$69*Inputs!$C$10)))</f>
        <v/>
      </c>
      <c r="E161" s="50">
        <f>IF(A161&gt;Inputs!$C$62,"",IF(Inputs!$C$80=1,INDEX(Cohorts!$H$67:$H$326,A161),D161*AD161))</f>
        <v/>
      </c>
      <c r="F161" s="50">
        <f>IF(A161&gt;Inputs!$C$62,"",IF(Inputs!$C$80=1,INDEX(Cohorts!$I$67:$I$326,A161),AD161-E161))</f>
        <v/>
      </c>
      <c r="G161" s="50">
        <f>IF(A161&gt;Inputs!$C$62,"",AD161)</f>
        <v/>
      </c>
      <c r="H161" s="50">
        <f>IF(A161&gt;Inputs!$C$62,"",INDEX(CapacityPlan!$E$7:$E$266,A161))</f>
        <v/>
      </c>
      <c r="I161" s="50">
        <f>IF(A161&gt;Inputs!$C$62,"",INDEX(CapacityPlan!$I$7:$I$266,A161))</f>
        <v/>
      </c>
      <c r="J161" s="50">
        <f>IF(A161&gt;Inputs!$C$62,"",IF(G161&gt;I161,I161,G161))</f>
        <v/>
      </c>
      <c r="K161" s="51">
        <f>IF(A161&gt;Inputs!$C$62,"",IF(G161=0,1,J161/G161))</f>
        <v/>
      </c>
      <c r="L161" s="51">
        <f>IF((Inputs!$C$36 + UnitEconomics!$B$12*Inputs!$C$37 + Inputs!$C$10*Inputs!$C$38 + Inputs!$C$70*(1-K161))&gt;1,1,(Inputs!$C$36 + UnitEconomics!$B$12*Inputs!$C$37 + Inputs!$C$10*Inputs!$C$38 + Inputs!$C$70*(1-K161)))</f>
        <v/>
      </c>
      <c r="M161" s="52">
        <f>IF(A161&gt;Inputs!$C$62,"",J161*Inputs!$C$7*(1-Inputs!$C$8)*(1-L161))</f>
        <v/>
      </c>
      <c r="N161" s="52">
        <f>IF(A161&gt;Inputs!$C$62,"",J161*UnitEconomics!$B$32*AI161 + (G161-J161)*Inputs!$C$71)</f>
        <v/>
      </c>
      <c r="O161" s="52">
        <f>M161-N161</f>
        <v/>
      </c>
      <c r="P161" s="52">
        <f>IF(A161&gt;Inputs!$C$62,"",Inputs!$C$40 + H161*Inputs!$C$41)</f>
        <v/>
      </c>
      <c r="Q161" s="52">
        <f>O161-P161</f>
        <v/>
      </c>
      <c r="R161" s="50">
        <f>IF(A161&gt;Inputs!$C$62,"",AD161*Inputs!$C$16*(Inputs!$C$9 + Inputs!$C$10*Inputs!$C$11 + Inputs!$C$12)*(1 + VLOOKUP(Inputs!$C$15,Lookups!$A$2:$B$20,2,TRUE)*(Scale!$B$9/IF(Scale!$B$8=0,1,Scale!$B$8)) + Inputs!$C$52))</f>
        <v/>
      </c>
      <c r="S161" s="50">
        <f>IF(A161=1,Scale!$B$13, W160)</f>
        <v/>
      </c>
      <c r="T161" s="50">
        <f>J161*Inputs!$C$16*(Inputs!$C$19 + Inputs!$C$20*Inputs!$C$21 + 1/Inputs!$C$18)</f>
        <v/>
      </c>
      <c r="U161" s="50">
        <f>MAX(0, (R161*(1+Inputs!$C$74)) - (S161 - T161))</f>
        <v/>
      </c>
      <c r="V161" s="50">
        <f>IF(A161&lt;=Inputs!$C$73,0,INDEX(U:U,ROW()-Inputs!$C$73))</f>
        <v/>
      </c>
      <c r="W161" s="50">
        <f>S161 - T161 + V161</f>
        <v/>
      </c>
      <c r="X161" s="52">
        <f>V161*Inputs!$C$17</f>
        <v/>
      </c>
      <c r="Y161" s="52">
        <f>IF(A161&gt;Inputs!$C$62,"",C161*AE161)</f>
        <v/>
      </c>
      <c r="Z161" s="52">
        <f>IF(A161=1,Inputs!$C$72,AA160)</f>
        <v/>
      </c>
      <c r="AA161" s="52">
        <f>Z161 + M161 - N161 - P161 - X161 - Y161</f>
        <v/>
      </c>
      <c r="AB161" s="53">
        <f>IF(AA161&lt;0,1,0)</f>
        <v/>
      </c>
      <c r="AC161" s="54">
        <f>IF(AD161=0,0,R161/(AD161*Inputs!$C$16))</f>
        <v/>
      </c>
      <c r="AD161" s="53">
        <f>IF(A161&gt;Inputs!$C$62,"",B161+C161)</f>
        <v/>
      </c>
      <c r="AE161" s="56">
        <f>IF(A161&gt;Inputs!$C$62,"", Inputs!$C$65*(1+Inputs!$C$89*POWER(MIN(1,IF(Inputs!$C$88=0,0,B161/Inputs!$C$88)),Inputs!$C$90)))</f>
        <v/>
      </c>
      <c r="AF161" s="52">
        <f>IF(A161&gt;Inputs!$C$62,"",IF(A161=1,Inputs!$C$86,MIN(Inputs!$C$86,Inputs!$C$87*M160)))</f>
        <v/>
      </c>
      <c r="AG161" s="51">
        <f>IF(A161&gt;Inputs!$C$62,"",MIN(0.5,MAX(0, Inputs!$C$67*L161 + Inputs!$C$68*(1-K161) + Inputs!$C$69*Inputs!$C$10)))</f>
        <v/>
      </c>
      <c r="AH161" s="51">
        <f>IF(A161&gt;Inputs!$C$62,"",INDEX(CapacityPlan!$G$7:$G$266,A161))</f>
        <v/>
      </c>
      <c r="AI161" s="54">
        <f>IF(A161&gt;Inputs!$C$62,"",INDEX(CapacityPlan!$J$7:$J$266,A161))</f>
        <v/>
      </c>
      <c r="AJ161" s="51">
        <f>IF(A161&gt;Inputs!$C$62,"",IF(I161=0,"",G161/I161))</f>
        <v/>
      </c>
    </row>
    <row r="162" ht="16" customHeight="1">
      <c r="A162" s="15" t="n">
        <v>140</v>
      </c>
      <c r="B162" s="50">
        <f>IF(A162&gt;Inputs!$C$62,"",IF(Inputs!$C$80=1,INDEX(Cohorts!$B$67:$B$326,A162),IF(A162=1,Inputs!$C$63,F161)))</f>
        <v/>
      </c>
      <c r="C162" s="50">
        <f>IF(A162&gt;Inputs!$C$62,"",IF(Inputs!$C$85=0,Inputs!$C$64,MIN(Inputs!$C$91,IF(AE162=0,0,AF162/AE162))))</f>
        <v/>
      </c>
      <c r="D162" s="51">
        <f>IF(A162&gt;Inputs!$C$62,"",IF(Inputs!$C$80=1,INDEX(Cohorts!$G$67:$G$326,A162),MAX(0, Inputs!$C$66 + Inputs!$C$67*L162 + Inputs!$C$68*(1-K162) + Inputs!$C$69*Inputs!$C$10)))</f>
        <v/>
      </c>
      <c r="E162" s="50">
        <f>IF(A162&gt;Inputs!$C$62,"",IF(Inputs!$C$80=1,INDEX(Cohorts!$H$67:$H$326,A162),D162*AD162))</f>
        <v/>
      </c>
      <c r="F162" s="50">
        <f>IF(A162&gt;Inputs!$C$62,"",IF(Inputs!$C$80=1,INDEX(Cohorts!$I$67:$I$326,A162),AD162-E162))</f>
        <v/>
      </c>
      <c r="G162" s="50">
        <f>IF(A162&gt;Inputs!$C$62,"",AD162)</f>
        <v/>
      </c>
      <c r="H162" s="50">
        <f>IF(A162&gt;Inputs!$C$62,"",INDEX(CapacityPlan!$E$7:$E$266,A162))</f>
        <v/>
      </c>
      <c r="I162" s="50">
        <f>IF(A162&gt;Inputs!$C$62,"",INDEX(CapacityPlan!$I$7:$I$266,A162))</f>
        <v/>
      </c>
      <c r="J162" s="50">
        <f>IF(A162&gt;Inputs!$C$62,"",IF(G162&gt;I162,I162,G162))</f>
        <v/>
      </c>
      <c r="K162" s="51">
        <f>IF(A162&gt;Inputs!$C$62,"",IF(G162=0,1,J162/G162))</f>
        <v/>
      </c>
      <c r="L162" s="51">
        <f>IF((Inputs!$C$36 + UnitEconomics!$B$12*Inputs!$C$37 + Inputs!$C$10*Inputs!$C$38 + Inputs!$C$70*(1-K162))&gt;1,1,(Inputs!$C$36 + UnitEconomics!$B$12*Inputs!$C$37 + Inputs!$C$10*Inputs!$C$38 + Inputs!$C$70*(1-K162)))</f>
        <v/>
      </c>
      <c r="M162" s="52">
        <f>IF(A162&gt;Inputs!$C$62,"",J162*Inputs!$C$7*(1-Inputs!$C$8)*(1-L162))</f>
        <v/>
      </c>
      <c r="N162" s="52">
        <f>IF(A162&gt;Inputs!$C$62,"",J162*UnitEconomics!$B$32*AI162 + (G162-J162)*Inputs!$C$71)</f>
        <v/>
      </c>
      <c r="O162" s="52">
        <f>M162-N162</f>
        <v/>
      </c>
      <c r="P162" s="52">
        <f>IF(A162&gt;Inputs!$C$62,"",Inputs!$C$40 + H162*Inputs!$C$41)</f>
        <v/>
      </c>
      <c r="Q162" s="52">
        <f>O162-P162</f>
        <v/>
      </c>
      <c r="R162" s="50">
        <f>IF(A162&gt;Inputs!$C$62,"",AD162*Inputs!$C$16*(Inputs!$C$9 + Inputs!$C$10*Inputs!$C$11 + Inputs!$C$12)*(1 + VLOOKUP(Inputs!$C$15,Lookups!$A$2:$B$20,2,TRUE)*(Scale!$B$9/IF(Scale!$B$8=0,1,Scale!$B$8)) + Inputs!$C$52))</f>
        <v/>
      </c>
      <c r="S162" s="50">
        <f>IF(A162=1,Scale!$B$13, W161)</f>
        <v/>
      </c>
      <c r="T162" s="50">
        <f>J162*Inputs!$C$16*(Inputs!$C$19 + Inputs!$C$20*Inputs!$C$21 + 1/Inputs!$C$18)</f>
        <v/>
      </c>
      <c r="U162" s="50">
        <f>MAX(0, (R162*(1+Inputs!$C$74)) - (S162 - T162))</f>
        <v/>
      </c>
      <c r="V162" s="50">
        <f>IF(A162&lt;=Inputs!$C$73,0,INDEX(U:U,ROW()-Inputs!$C$73))</f>
        <v/>
      </c>
      <c r="W162" s="50">
        <f>S162 - T162 + V162</f>
        <v/>
      </c>
      <c r="X162" s="52">
        <f>V162*Inputs!$C$17</f>
        <v/>
      </c>
      <c r="Y162" s="52">
        <f>IF(A162&gt;Inputs!$C$62,"",C162*AE162)</f>
        <v/>
      </c>
      <c r="Z162" s="52">
        <f>IF(A162=1,Inputs!$C$72,AA161)</f>
        <v/>
      </c>
      <c r="AA162" s="52">
        <f>Z162 + M162 - N162 - P162 - X162 - Y162</f>
        <v/>
      </c>
      <c r="AB162" s="53">
        <f>IF(AA162&lt;0,1,0)</f>
        <v/>
      </c>
      <c r="AC162" s="54">
        <f>IF(AD162=0,0,R162/(AD162*Inputs!$C$16))</f>
        <v/>
      </c>
      <c r="AD162" s="53">
        <f>IF(A162&gt;Inputs!$C$62,"",B162+C162)</f>
        <v/>
      </c>
      <c r="AE162" s="56">
        <f>IF(A162&gt;Inputs!$C$62,"", Inputs!$C$65*(1+Inputs!$C$89*POWER(MIN(1,IF(Inputs!$C$88=0,0,B162/Inputs!$C$88)),Inputs!$C$90)))</f>
        <v/>
      </c>
      <c r="AF162" s="52">
        <f>IF(A162&gt;Inputs!$C$62,"",IF(A162=1,Inputs!$C$86,MIN(Inputs!$C$86,Inputs!$C$87*M161)))</f>
        <v/>
      </c>
      <c r="AG162" s="51">
        <f>IF(A162&gt;Inputs!$C$62,"",MIN(0.5,MAX(0, Inputs!$C$67*L162 + Inputs!$C$68*(1-K162) + Inputs!$C$69*Inputs!$C$10)))</f>
        <v/>
      </c>
      <c r="AH162" s="51">
        <f>IF(A162&gt;Inputs!$C$62,"",INDEX(CapacityPlan!$G$7:$G$266,A162))</f>
        <v/>
      </c>
      <c r="AI162" s="54">
        <f>IF(A162&gt;Inputs!$C$62,"",INDEX(CapacityPlan!$J$7:$J$266,A162))</f>
        <v/>
      </c>
      <c r="AJ162" s="51">
        <f>IF(A162&gt;Inputs!$C$62,"",IF(I162=0,"",G162/I162))</f>
        <v/>
      </c>
    </row>
    <row r="163" ht="16" customHeight="1">
      <c r="A163" s="15" t="n">
        <v>141</v>
      </c>
      <c r="B163" s="50">
        <f>IF(A163&gt;Inputs!$C$62,"",IF(Inputs!$C$80=1,INDEX(Cohorts!$B$67:$B$326,A163),IF(A163=1,Inputs!$C$63,F162)))</f>
        <v/>
      </c>
      <c r="C163" s="50">
        <f>IF(A163&gt;Inputs!$C$62,"",IF(Inputs!$C$85=0,Inputs!$C$64,MIN(Inputs!$C$91,IF(AE163=0,0,AF163/AE163))))</f>
        <v/>
      </c>
      <c r="D163" s="51">
        <f>IF(A163&gt;Inputs!$C$62,"",IF(Inputs!$C$80=1,INDEX(Cohorts!$G$67:$G$326,A163),MAX(0, Inputs!$C$66 + Inputs!$C$67*L163 + Inputs!$C$68*(1-K163) + Inputs!$C$69*Inputs!$C$10)))</f>
        <v/>
      </c>
      <c r="E163" s="50">
        <f>IF(A163&gt;Inputs!$C$62,"",IF(Inputs!$C$80=1,INDEX(Cohorts!$H$67:$H$326,A163),D163*AD163))</f>
        <v/>
      </c>
      <c r="F163" s="50">
        <f>IF(A163&gt;Inputs!$C$62,"",IF(Inputs!$C$80=1,INDEX(Cohorts!$I$67:$I$326,A163),AD163-E163))</f>
        <v/>
      </c>
      <c r="G163" s="50">
        <f>IF(A163&gt;Inputs!$C$62,"",AD163)</f>
        <v/>
      </c>
      <c r="H163" s="50">
        <f>IF(A163&gt;Inputs!$C$62,"",INDEX(CapacityPlan!$E$7:$E$266,A163))</f>
        <v/>
      </c>
      <c r="I163" s="50">
        <f>IF(A163&gt;Inputs!$C$62,"",INDEX(CapacityPlan!$I$7:$I$266,A163))</f>
        <v/>
      </c>
      <c r="J163" s="50">
        <f>IF(A163&gt;Inputs!$C$62,"",IF(G163&gt;I163,I163,G163))</f>
        <v/>
      </c>
      <c r="K163" s="51">
        <f>IF(A163&gt;Inputs!$C$62,"",IF(G163=0,1,J163/G163))</f>
        <v/>
      </c>
      <c r="L163" s="51">
        <f>IF((Inputs!$C$36 + UnitEconomics!$B$12*Inputs!$C$37 + Inputs!$C$10*Inputs!$C$38 + Inputs!$C$70*(1-K163))&gt;1,1,(Inputs!$C$36 + UnitEconomics!$B$12*Inputs!$C$37 + Inputs!$C$10*Inputs!$C$38 + Inputs!$C$70*(1-K163)))</f>
        <v/>
      </c>
      <c r="M163" s="52">
        <f>IF(A163&gt;Inputs!$C$62,"",J163*Inputs!$C$7*(1-Inputs!$C$8)*(1-L163))</f>
        <v/>
      </c>
      <c r="N163" s="52">
        <f>IF(A163&gt;Inputs!$C$62,"",J163*UnitEconomics!$B$32*AI163 + (G163-J163)*Inputs!$C$71)</f>
        <v/>
      </c>
      <c r="O163" s="52">
        <f>M163-N163</f>
        <v/>
      </c>
      <c r="P163" s="52">
        <f>IF(A163&gt;Inputs!$C$62,"",Inputs!$C$40 + H163*Inputs!$C$41)</f>
        <v/>
      </c>
      <c r="Q163" s="52">
        <f>O163-P163</f>
        <v/>
      </c>
      <c r="R163" s="50">
        <f>IF(A163&gt;Inputs!$C$62,"",AD163*Inputs!$C$16*(Inputs!$C$9 + Inputs!$C$10*Inputs!$C$11 + Inputs!$C$12)*(1 + VLOOKUP(Inputs!$C$15,Lookups!$A$2:$B$20,2,TRUE)*(Scale!$B$9/IF(Scale!$B$8=0,1,Scale!$B$8)) + Inputs!$C$52))</f>
        <v/>
      </c>
      <c r="S163" s="50">
        <f>IF(A163=1,Scale!$B$13, W162)</f>
        <v/>
      </c>
      <c r="T163" s="50">
        <f>J163*Inputs!$C$16*(Inputs!$C$19 + Inputs!$C$20*Inputs!$C$21 + 1/Inputs!$C$18)</f>
        <v/>
      </c>
      <c r="U163" s="50">
        <f>MAX(0, (R163*(1+Inputs!$C$74)) - (S163 - T163))</f>
        <v/>
      </c>
      <c r="V163" s="50">
        <f>IF(A163&lt;=Inputs!$C$73,0,INDEX(U:U,ROW()-Inputs!$C$73))</f>
        <v/>
      </c>
      <c r="W163" s="50">
        <f>S163 - T163 + V163</f>
        <v/>
      </c>
      <c r="X163" s="52">
        <f>V163*Inputs!$C$17</f>
        <v/>
      </c>
      <c r="Y163" s="52">
        <f>IF(A163&gt;Inputs!$C$62,"",C163*AE163)</f>
        <v/>
      </c>
      <c r="Z163" s="52">
        <f>IF(A163=1,Inputs!$C$72,AA162)</f>
        <v/>
      </c>
      <c r="AA163" s="52">
        <f>Z163 + M163 - N163 - P163 - X163 - Y163</f>
        <v/>
      </c>
      <c r="AB163" s="53">
        <f>IF(AA163&lt;0,1,0)</f>
        <v/>
      </c>
      <c r="AC163" s="54">
        <f>IF(AD163=0,0,R163/(AD163*Inputs!$C$16))</f>
        <v/>
      </c>
      <c r="AD163" s="53">
        <f>IF(A163&gt;Inputs!$C$62,"",B163+C163)</f>
        <v/>
      </c>
      <c r="AE163" s="56">
        <f>IF(A163&gt;Inputs!$C$62,"", Inputs!$C$65*(1+Inputs!$C$89*POWER(MIN(1,IF(Inputs!$C$88=0,0,B163/Inputs!$C$88)),Inputs!$C$90)))</f>
        <v/>
      </c>
      <c r="AF163" s="52">
        <f>IF(A163&gt;Inputs!$C$62,"",IF(A163=1,Inputs!$C$86,MIN(Inputs!$C$86,Inputs!$C$87*M162)))</f>
        <v/>
      </c>
      <c r="AG163" s="51">
        <f>IF(A163&gt;Inputs!$C$62,"",MIN(0.5,MAX(0, Inputs!$C$67*L163 + Inputs!$C$68*(1-K163) + Inputs!$C$69*Inputs!$C$10)))</f>
        <v/>
      </c>
      <c r="AH163" s="51">
        <f>IF(A163&gt;Inputs!$C$62,"",INDEX(CapacityPlan!$G$7:$G$266,A163))</f>
        <v/>
      </c>
      <c r="AI163" s="54">
        <f>IF(A163&gt;Inputs!$C$62,"",INDEX(CapacityPlan!$J$7:$J$266,A163))</f>
        <v/>
      </c>
      <c r="AJ163" s="51">
        <f>IF(A163&gt;Inputs!$C$62,"",IF(I163=0,"",G163/I163))</f>
        <v/>
      </c>
    </row>
    <row r="164" ht="16" customHeight="1">
      <c r="A164" s="15" t="n">
        <v>142</v>
      </c>
      <c r="B164" s="50">
        <f>IF(A164&gt;Inputs!$C$62,"",IF(Inputs!$C$80=1,INDEX(Cohorts!$B$67:$B$326,A164),IF(A164=1,Inputs!$C$63,F163)))</f>
        <v/>
      </c>
      <c r="C164" s="50">
        <f>IF(A164&gt;Inputs!$C$62,"",IF(Inputs!$C$85=0,Inputs!$C$64,MIN(Inputs!$C$91,IF(AE164=0,0,AF164/AE164))))</f>
        <v/>
      </c>
      <c r="D164" s="51">
        <f>IF(A164&gt;Inputs!$C$62,"",IF(Inputs!$C$80=1,INDEX(Cohorts!$G$67:$G$326,A164),MAX(0, Inputs!$C$66 + Inputs!$C$67*L164 + Inputs!$C$68*(1-K164) + Inputs!$C$69*Inputs!$C$10)))</f>
        <v/>
      </c>
      <c r="E164" s="50">
        <f>IF(A164&gt;Inputs!$C$62,"",IF(Inputs!$C$80=1,INDEX(Cohorts!$H$67:$H$326,A164),D164*AD164))</f>
        <v/>
      </c>
      <c r="F164" s="50">
        <f>IF(A164&gt;Inputs!$C$62,"",IF(Inputs!$C$80=1,INDEX(Cohorts!$I$67:$I$326,A164),AD164-E164))</f>
        <v/>
      </c>
      <c r="G164" s="50">
        <f>IF(A164&gt;Inputs!$C$62,"",AD164)</f>
        <v/>
      </c>
      <c r="H164" s="50">
        <f>IF(A164&gt;Inputs!$C$62,"",INDEX(CapacityPlan!$E$7:$E$266,A164))</f>
        <v/>
      </c>
      <c r="I164" s="50">
        <f>IF(A164&gt;Inputs!$C$62,"",INDEX(CapacityPlan!$I$7:$I$266,A164))</f>
        <v/>
      </c>
      <c r="J164" s="50">
        <f>IF(A164&gt;Inputs!$C$62,"",IF(G164&gt;I164,I164,G164))</f>
        <v/>
      </c>
      <c r="K164" s="51">
        <f>IF(A164&gt;Inputs!$C$62,"",IF(G164=0,1,J164/G164))</f>
        <v/>
      </c>
      <c r="L164" s="51">
        <f>IF((Inputs!$C$36 + UnitEconomics!$B$12*Inputs!$C$37 + Inputs!$C$10*Inputs!$C$38 + Inputs!$C$70*(1-K164))&gt;1,1,(Inputs!$C$36 + UnitEconomics!$B$12*Inputs!$C$37 + Inputs!$C$10*Inputs!$C$38 + Inputs!$C$70*(1-K164)))</f>
        <v/>
      </c>
      <c r="M164" s="52">
        <f>IF(A164&gt;Inputs!$C$62,"",J164*Inputs!$C$7*(1-Inputs!$C$8)*(1-L164))</f>
        <v/>
      </c>
      <c r="N164" s="52">
        <f>IF(A164&gt;Inputs!$C$62,"",J164*UnitEconomics!$B$32*AI164 + (G164-J164)*Inputs!$C$71)</f>
        <v/>
      </c>
      <c r="O164" s="52">
        <f>M164-N164</f>
        <v/>
      </c>
      <c r="P164" s="52">
        <f>IF(A164&gt;Inputs!$C$62,"",Inputs!$C$40 + H164*Inputs!$C$41)</f>
        <v/>
      </c>
      <c r="Q164" s="52">
        <f>O164-P164</f>
        <v/>
      </c>
      <c r="R164" s="50">
        <f>IF(A164&gt;Inputs!$C$62,"",AD164*Inputs!$C$16*(Inputs!$C$9 + Inputs!$C$10*Inputs!$C$11 + Inputs!$C$12)*(1 + VLOOKUP(Inputs!$C$15,Lookups!$A$2:$B$20,2,TRUE)*(Scale!$B$9/IF(Scale!$B$8=0,1,Scale!$B$8)) + Inputs!$C$52))</f>
        <v/>
      </c>
      <c r="S164" s="50">
        <f>IF(A164=1,Scale!$B$13, W163)</f>
        <v/>
      </c>
      <c r="T164" s="50">
        <f>J164*Inputs!$C$16*(Inputs!$C$19 + Inputs!$C$20*Inputs!$C$21 + 1/Inputs!$C$18)</f>
        <v/>
      </c>
      <c r="U164" s="50">
        <f>MAX(0, (R164*(1+Inputs!$C$74)) - (S164 - T164))</f>
        <v/>
      </c>
      <c r="V164" s="50">
        <f>IF(A164&lt;=Inputs!$C$73,0,INDEX(U:U,ROW()-Inputs!$C$73))</f>
        <v/>
      </c>
      <c r="W164" s="50">
        <f>S164 - T164 + V164</f>
        <v/>
      </c>
      <c r="X164" s="52">
        <f>V164*Inputs!$C$17</f>
        <v/>
      </c>
      <c r="Y164" s="52">
        <f>IF(A164&gt;Inputs!$C$62,"",C164*AE164)</f>
        <v/>
      </c>
      <c r="Z164" s="52">
        <f>IF(A164=1,Inputs!$C$72,AA163)</f>
        <v/>
      </c>
      <c r="AA164" s="52">
        <f>Z164 + M164 - N164 - P164 - X164 - Y164</f>
        <v/>
      </c>
      <c r="AB164" s="53">
        <f>IF(AA164&lt;0,1,0)</f>
        <v/>
      </c>
      <c r="AC164" s="54">
        <f>IF(AD164=0,0,R164/(AD164*Inputs!$C$16))</f>
        <v/>
      </c>
      <c r="AD164" s="53">
        <f>IF(A164&gt;Inputs!$C$62,"",B164+C164)</f>
        <v/>
      </c>
      <c r="AE164" s="56">
        <f>IF(A164&gt;Inputs!$C$62,"", Inputs!$C$65*(1+Inputs!$C$89*POWER(MIN(1,IF(Inputs!$C$88=0,0,B164/Inputs!$C$88)),Inputs!$C$90)))</f>
        <v/>
      </c>
      <c r="AF164" s="52">
        <f>IF(A164&gt;Inputs!$C$62,"",IF(A164=1,Inputs!$C$86,MIN(Inputs!$C$86,Inputs!$C$87*M163)))</f>
        <v/>
      </c>
      <c r="AG164" s="51">
        <f>IF(A164&gt;Inputs!$C$62,"",MIN(0.5,MAX(0, Inputs!$C$67*L164 + Inputs!$C$68*(1-K164) + Inputs!$C$69*Inputs!$C$10)))</f>
        <v/>
      </c>
      <c r="AH164" s="51">
        <f>IF(A164&gt;Inputs!$C$62,"",INDEX(CapacityPlan!$G$7:$G$266,A164))</f>
        <v/>
      </c>
      <c r="AI164" s="54">
        <f>IF(A164&gt;Inputs!$C$62,"",INDEX(CapacityPlan!$J$7:$J$266,A164))</f>
        <v/>
      </c>
      <c r="AJ164" s="51">
        <f>IF(A164&gt;Inputs!$C$62,"",IF(I164=0,"",G164/I164))</f>
        <v/>
      </c>
    </row>
    <row r="165" ht="16" customHeight="1">
      <c r="A165" s="15" t="n">
        <v>143</v>
      </c>
      <c r="B165" s="50">
        <f>IF(A165&gt;Inputs!$C$62,"",IF(Inputs!$C$80=1,INDEX(Cohorts!$B$67:$B$326,A165),IF(A165=1,Inputs!$C$63,F164)))</f>
        <v/>
      </c>
      <c r="C165" s="50">
        <f>IF(A165&gt;Inputs!$C$62,"",IF(Inputs!$C$85=0,Inputs!$C$64,MIN(Inputs!$C$91,IF(AE165=0,0,AF165/AE165))))</f>
        <v/>
      </c>
      <c r="D165" s="51">
        <f>IF(A165&gt;Inputs!$C$62,"",IF(Inputs!$C$80=1,INDEX(Cohorts!$G$67:$G$326,A165),MAX(0, Inputs!$C$66 + Inputs!$C$67*L165 + Inputs!$C$68*(1-K165) + Inputs!$C$69*Inputs!$C$10)))</f>
        <v/>
      </c>
      <c r="E165" s="50">
        <f>IF(A165&gt;Inputs!$C$62,"",IF(Inputs!$C$80=1,INDEX(Cohorts!$H$67:$H$326,A165),D165*AD165))</f>
        <v/>
      </c>
      <c r="F165" s="50">
        <f>IF(A165&gt;Inputs!$C$62,"",IF(Inputs!$C$80=1,INDEX(Cohorts!$I$67:$I$326,A165),AD165-E165))</f>
        <v/>
      </c>
      <c r="G165" s="50">
        <f>IF(A165&gt;Inputs!$C$62,"",AD165)</f>
        <v/>
      </c>
      <c r="H165" s="50">
        <f>IF(A165&gt;Inputs!$C$62,"",INDEX(CapacityPlan!$E$7:$E$266,A165))</f>
        <v/>
      </c>
      <c r="I165" s="50">
        <f>IF(A165&gt;Inputs!$C$62,"",INDEX(CapacityPlan!$I$7:$I$266,A165))</f>
        <v/>
      </c>
      <c r="J165" s="50">
        <f>IF(A165&gt;Inputs!$C$62,"",IF(G165&gt;I165,I165,G165))</f>
        <v/>
      </c>
      <c r="K165" s="51">
        <f>IF(A165&gt;Inputs!$C$62,"",IF(G165=0,1,J165/G165))</f>
        <v/>
      </c>
      <c r="L165" s="51">
        <f>IF((Inputs!$C$36 + UnitEconomics!$B$12*Inputs!$C$37 + Inputs!$C$10*Inputs!$C$38 + Inputs!$C$70*(1-K165))&gt;1,1,(Inputs!$C$36 + UnitEconomics!$B$12*Inputs!$C$37 + Inputs!$C$10*Inputs!$C$38 + Inputs!$C$70*(1-K165)))</f>
        <v/>
      </c>
      <c r="M165" s="52">
        <f>IF(A165&gt;Inputs!$C$62,"",J165*Inputs!$C$7*(1-Inputs!$C$8)*(1-L165))</f>
        <v/>
      </c>
      <c r="N165" s="52">
        <f>IF(A165&gt;Inputs!$C$62,"",J165*UnitEconomics!$B$32*AI165 + (G165-J165)*Inputs!$C$71)</f>
        <v/>
      </c>
      <c r="O165" s="52">
        <f>M165-N165</f>
        <v/>
      </c>
      <c r="P165" s="52">
        <f>IF(A165&gt;Inputs!$C$62,"",Inputs!$C$40 + H165*Inputs!$C$41)</f>
        <v/>
      </c>
      <c r="Q165" s="52">
        <f>O165-P165</f>
        <v/>
      </c>
      <c r="R165" s="50">
        <f>IF(A165&gt;Inputs!$C$62,"",AD165*Inputs!$C$16*(Inputs!$C$9 + Inputs!$C$10*Inputs!$C$11 + Inputs!$C$12)*(1 + VLOOKUP(Inputs!$C$15,Lookups!$A$2:$B$20,2,TRUE)*(Scale!$B$9/IF(Scale!$B$8=0,1,Scale!$B$8)) + Inputs!$C$52))</f>
        <v/>
      </c>
      <c r="S165" s="50">
        <f>IF(A165=1,Scale!$B$13, W164)</f>
        <v/>
      </c>
      <c r="T165" s="50">
        <f>J165*Inputs!$C$16*(Inputs!$C$19 + Inputs!$C$20*Inputs!$C$21 + 1/Inputs!$C$18)</f>
        <v/>
      </c>
      <c r="U165" s="50">
        <f>MAX(0, (R165*(1+Inputs!$C$74)) - (S165 - T165))</f>
        <v/>
      </c>
      <c r="V165" s="50">
        <f>IF(A165&lt;=Inputs!$C$73,0,INDEX(U:U,ROW()-Inputs!$C$73))</f>
        <v/>
      </c>
      <c r="W165" s="50">
        <f>S165 - T165 + V165</f>
        <v/>
      </c>
      <c r="X165" s="52">
        <f>V165*Inputs!$C$17</f>
        <v/>
      </c>
      <c r="Y165" s="52">
        <f>IF(A165&gt;Inputs!$C$62,"",C165*AE165)</f>
        <v/>
      </c>
      <c r="Z165" s="52">
        <f>IF(A165=1,Inputs!$C$72,AA164)</f>
        <v/>
      </c>
      <c r="AA165" s="52">
        <f>Z165 + M165 - N165 - P165 - X165 - Y165</f>
        <v/>
      </c>
      <c r="AB165" s="53">
        <f>IF(AA165&lt;0,1,0)</f>
        <v/>
      </c>
      <c r="AC165" s="54">
        <f>IF(AD165=0,0,R165/(AD165*Inputs!$C$16))</f>
        <v/>
      </c>
      <c r="AD165" s="53">
        <f>IF(A165&gt;Inputs!$C$62,"",B165+C165)</f>
        <v/>
      </c>
      <c r="AE165" s="56">
        <f>IF(A165&gt;Inputs!$C$62,"", Inputs!$C$65*(1+Inputs!$C$89*POWER(MIN(1,IF(Inputs!$C$88=0,0,B165/Inputs!$C$88)),Inputs!$C$90)))</f>
        <v/>
      </c>
      <c r="AF165" s="52">
        <f>IF(A165&gt;Inputs!$C$62,"",IF(A165=1,Inputs!$C$86,MIN(Inputs!$C$86,Inputs!$C$87*M164)))</f>
        <v/>
      </c>
      <c r="AG165" s="51">
        <f>IF(A165&gt;Inputs!$C$62,"",MIN(0.5,MAX(0, Inputs!$C$67*L165 + Inputs!$C$68*(1-K165) + Inputs!$C$69*Inputs!$C$10)))</f>
        <v/>
      </c>
      <c r="AH165" s="51">
        <f>IF(A165&gt;Inputs!$C$62,"",INDEX(CapacityPlan!$G$7:$G$266,A165))</f>
        <v/>
      </c>
      <c r="AI165" s="54">
        <f>IF(A165&gt;Inputs!$C$62,"",INDEX(CapacityPlan!$J$7:$J$266,A165))</f>
        <v/>
      </c>
      <c r="AJ165" s="51">
        <f>IF(A165&gt;Inputs!$C$62,"",IF(I165=0,"",G165/I165))</f>
        <v/>
      </c>
    </row>
    <row r="166" ht="16" customHeight="1">
      <c r="A166" s="15" t="n">
        <v>144</v>
      </c>
      <c r="B166" s="50">
        <f>IF(A166&gt;Inputs!$C$62,"",IF(Inputs!$C$80=1,INDEX(Cohorts!$B$67:$B$326,A166),IF(A166=1,Inputs!$C$63,F165)))</f>
        <v/>
      </c>
      <c r="C166" s="50">
        <f>IF(A166&gt;Inputs!$C$62,"",IF(Inputs!$C$85=0,Inputs!$C$64,MIN(Inputs!$C$91,IF(AE166=0,0,AF166/AE166))))</f>
        <v/>
      </c>
      <c r="D166" s="51">
        <f>IF(A166&gt;Inputs!$C$62,"",IF(Inputs!$C$80=1,INDEX(Cohorts!$G$67:$G$326,A166),MAX(0, Inputs!$C$66 + Inputs!$C$67*L166 + Inputs!$C$68*(1-K166) + Inputs!$C$69*Inputs!$C$10)))</f>
        <v/>
      </c>
      <c r="E166" s="50">
        <f>IF(A166&gt;Inputs!$C$62,"",IF(Inputs!$C$80=1,INDEX(Cohorts!$H$67:$H$326,A166),D166*AD166))</f>
        <v/>
      </c>
      <c r="F166" s="50">
        <f>IF(A166&gt;Inputs!$C$62,"",IF(Inputs!$C$80=1,INDEX(Cohorts!$I$67:$I$326,A166),AD166-E166))</f>
        <v/>
      </c>
      <c r="G166" s="50">
        <f>IF(A166&gt;Inputs!$C$62,"",AD166)</f>
        <v/>
      </c>
      <c r="H166" s="50">
        <f>IF(A166&gt;Inputs!$C$62,"",INDEX(CapacityPlan!$E$7:$E$266,A166))</f>
        <v/>
      </c>
      <c r="I166" s="50">
        <f>IF(A166&gt;Inputs!$C$62,"",INDEX(CapacityPlan!$I$7:$I$266,A166))</f>
        <v/>
      </c>
      <c r="J166" s="50">
        <f>IF(A166&gt;Inputs!$C$62,"",IF(G166&gt;I166,I166,G166))</f>
        <v/>
      </c>
      <c r="K166" s="51">
        <f>IF(A166&gt;Inputs!$C$62,"",IF(G166=0,1,J166/G166))</f>
        <v/>
      </c>
      <c r="L166" s="51">
        <f>IF((Inputs!$C$36 + UnitEconomics!$B$12*Inputs!$C$37 + Inputs!$C$10*Inputs!$C$38 + Inputs!$C$70*(1-K166))&gt;1,1,(Inputs!$C$36 + UnitEconomics!$B$12*Inputs!$C$37 + Inputs!$C$10*Inputs!$C$38 + Inputs!$C$70*(1-K166)))</f>
        <v/>
      </c>
      <c r="M166" s="52">
        <f>IF(A166&gt;Inputs!$C$62,"",J166*Inputs!$C$7*(1-Inputs!$C$8)*(1-L166))</f>
        <v/>
      </c>
      <c r="N166" s="52">
        <f>IF(A166&gt;Inputs!$C$62,"",J166*UnitEconomics!$B$32*AI166 + (G166-J166)*Inputs!$C$71)</f>
        <v/>
      </c>
      <c r="O166" s="52">
        <f>M166-N166</f>
        <v/>
      </c>
      <c r="P166" s="52">
        <f>IF(A166&gt;Inputs!$C$62,"",Inputs!$C$40 + H166*Inputs!$C$41)</f>
        <v/>
      </c>
      <c r="Q166" s="52">
        <f>O166-P166</f>
        <v/>
      </c>
      <c r="R166" s="50">
        <f>IF(A166&gt;Inputs!$C$62,"",AD166*Inputs!$C$16*(Inputs!$C$9 + Inputs!$C$10*Inputs!$C$11 + Inputs!$C$12)*(1 + VLOOKUP(Inputs!$C$15,Lookups!$A$2:$B$20,2,TRUE)*(Scale!$B$9/IF(Scale!$B$8=0,1,Scale!$B$8)) + Inputs!$C$52))</f>
        <v/>
      </c>
      <c r="S166" s="50">
        <f>IF(A166=1,Scale!$B$13, W165)</f>
        <v/>
      </c>
      <c r="T166" s="50">
        <f>J166*Inputs!$C$16*(Inputs!$C$19 + Inputs!$C$20*Inputs!$C$21 + 1/Inputs!$C$18)</f>
        <v/>
      </c>
      <c r="U166" s="50">
        <f>MAX(0, (R166*(1+Inputs!$C$74)) - (S166 - T166))</f>
        <v/>
      </c>
      <c r="V166" s="50">
        <f>IF(A166&lt;=Inputs!$C$73,0,INDEX(U:U,ROW()-Inputs!$C$73))</f>
        <v/>
      </c>
      <c r="W166" s="50">
        <f>S166 - T166 + V166</f>
        <v/>
      </c>
      <c r="X166" s="52">
        <f>V166*Inputs!$C$17</f>
        <v/>
      </c>
      <c r="Y166" s="52">
        <f>IF(A166&gt;Inputs!$C$62,"",C166*AE166)</f>
        <v/>
      </c>
      <c r="Z166" s="52">
        <f>IF(A166=1,Inputs!$C$72,AA165)</f>
        <v/>
      </c>
      <c r="AA166" s="52">
        <f>Z166 + M166 - N166 - P166 - X166 - Y166</f>
        <v/>
      </c>
      <c r="AB166" s="53">
        <f>IF(AA166&lt;0,1,0)</f>
        <v/>
      </c>
      <c r="AC166" s="54">
        <f>IF(AD166=0,0,R166/(AD166*Inputs!$C$16))</f>
        <v/>
      </c>
      <c r="AD166" s="53">
        <f>IF(A166&gt;Inputs!$C$62,"",B166+C166)</f>
        <v/>
      </c>
      <c r="AE166" s="56">
        <f>IF(A166&gt;Inputs!$C$62,"", Inputs!$C$65*(1+Inputs!$C$89*POWER(MIN(1,IF(Inputs!$C$88=0,0,B166/Inputs!$C$88)),Inputs!$C$90)))</f>
        <v/>
      </c>
      <c r="AF166" s="52">
        <f>IF(A166&gt;Inputs!$C$62,"",IF(A166=1,Inputs!$C$86,MIN(Inputs!$C$86,Inputs!$C$87*M165)))</f>
        <v/>
      </c>
      <c r="AG166" s="51">
        <f>IF(A166&gt;Inputs!$C$62,"",MIN(0.5,MAX(0, Inputs!$C$67*L166 + Inputs!$C$68*(1-K166) + Inputs!$C$69*Inputs!$C$10)))</f>
        <v/>
      </c>
      <c r="AH166" s="51">
        <f>IF(A166&gt;Inputs!$C$62,"",INDEX(CapacityPlan!$G$7:$G$266,A166))</f>
        <v/>
      </c>
      <c r="AI166" s="54">
        <f>IF(A166&gt;Inputs!$C$62,"",INDEX(CapacityPlan!$J$7:$J$266,A166))</f>
        <v/>
      </c>
      <c r="AJ166" s="51">
        <f>IF(A166&gt;Inputs!$C$62,"",IF(I166=0,"",G166/I166))</f>
        <v/>
      </c>
    </row>
    <row r="167" ht="16" customHeight="1">
      <c r="A167" s="15" t="n">
        <v>145</v>
      </c>
      <c r="B167" s="50">
        <f>IF(A167&gt;Inputs!$C$62,"",IF(Inputs!$C$80=1,INDEX(Cohorts!$B$67:$B$326,A167),IF(A167=1,Inputs!$C$63,F166)))</f>
        <v/>
      </c>
      <c r="C167" s="50">
        <f>IF(A167&gt;Inputs!$C$62,"",IF(Inputs!$C$85=0,Inputs!$C$64,MIN(Inputs!$C$91,IF(AE167=0,0,AF167/AE167))))</f>
        <v/>
      </c>
      <c r="D167" s="51">
        <f>IF(A167&gt;Inputs!$C$62,"",IF(Inputs!$C$80=1,INDEX(Cohorts!$G$67:$G$326,A167),MAX(0, Inputs!$C$66 + Inputs!$C$67*L167 + Inputs!$C$68*(1-K167) + Inputs!$C$69*Inputs!$C$10)))</f>
        <v/>
      </c>
      <c r="E167" s="50">
        <f>IF(A167&gt;Inputs!$C$62,"",IF(Inputs!$C$80=1,INDEX(Cohorts!$H$67:$H$326,A167),D167*AD167))</f>
        <v/>
      </c>
      <c r="F167" s="50">
        <f>IF(A167&gt;Inputs!$C$62,"",IF(Inputs!$C$80=1,INDEX(Cohorts!$I$67:$I$326,A167),AD167-E167))</f>
        <v/>
      </c>
      <c r="G167" s="50">
        <f>IF(A167&gt;Inputs!$C$62,"",AD167)</f>
        <v/>
      </c>
      <c r="H167" s="50">
        <f>IF(A167&gt;Inputs!$C$62,"",INDEX(CapacityPlan!$E$7:$E$266,A167))</f>
        <v/>
      </c>
      <c r="I167" s="50">
        <f>IF(A167&gt;Inputs!$C$62,"",INDEX(CapacityPlan!$I$7:$I$266,A167))</f>
        <v/>
      </c>
      <c r="J167" s="50">
        <f>IF(A167&gt;Inputs!$C$62,"",IF(G167&gt;I167,I167,G167))</f>
        <v/>
      </c>
      <c r="K167" s="51">
        <f>IF(A167&gt;Inputs!$C$62,"",IF(G167=0,1,J167/G167))</f>
        <v/>
      </c>
      <c r="L167" s="51">
        <f>IF((Inputs!$C$36 + UnitEconomics!$B$12*Inputs!$C$37 + Inputs!$C$10*Inputs!$C$38 + Inputs!$C$70*(1-K167))&gt;1,1,(Inputs!$C$36 + UnitEconomics!$B$12*Inputs!$C$37 + Inputs!$C$10*Inputs!$C$38 + Inputs!$C$70*(1-K167)))</f>
        <v/>
      </c>
      <c r="M167" s="52">
        <f>IF(A167&gt;Inputs!$C$62,"",J167*Inputs!$C$7*(1-Inputs!$C$8)*(1-L167))</f>
        <v/>
      </c>
      <c r="N167" s="52">
        <f>IF(A167&gt;Inputs!$C$62,"",J167*UnitEconomics!$B$32*AI167 + (G167-J167)*Inputs!$C$71)</f>
        <v/>
      </c>
      <c r="O167" s="52">
        <f>M167-N167</f>
        <v/>
      </c>
      <c r="P167" s="52">
        <f>IF(A167&gt;Inputs!$C$62,"",Inputs!$C$40 + H167*Inputs!$C$41)</f>
        <v/>
      </c>
      <c r="Q167" s="52">
        <f>O167-P167</f>
        <v/>
      </c>
      <c r="R167" s="50">
        <f>IF(A167&gt;Inputs!$C$62,"",AD167*Inputs!$C$16*(Inputs!$C$9 + Inputs!$C$10*Inputs!$C$11 + Inputs!$C$12)*(1 + VLOOKUP(Inputs!$C$15,Lookups!$A$2:$B$20,2,TRUE)*(Scale!$B$9/IF(Scale!$B$8=0,1,Scale!$B$8)) + Inputs!$C$52))</f>
        <v/>
      </c>
      <c r="S167" s="50">
        <f>IF(A167=1,Scale!$B$13, W166)</f>
        <v/>
      </c>
      <c r="T167" s="50">
        <f>J167*Inputs!$C$16*(Inputs!$C$19 + Inputs!$C$20*Inputs!$C$21 + 1/Inputs!$C$18)</f>
        <v/>
      </c>
      <c r="U167" s="50">
        <f>MAX(0, (R167*(1+Inputs!$C$74)) - (S167 - T167))</f>
        <v/>
      </c>
      <c r="V167" s="50">
        <f>IF(A167&lt;=Inputs!$C$73,0,INDEX(U:U,ROW()-Inputs!$C$73))</f>
        <v/>
      </c>
      <c r="W167" s="50">
        <f>S167 - T167 + V167</f>
        <v/>
      </c>
      <c r="X167" s="52">
        <f>V167*Inputs!$C$17</f>
        <v/>
      </c>
      <c r="Y167" s="52">
        <f>IF(A167&gt;Inputs!$C$62,"",C167*AE167)</f>
        <v/>
      </c>
      <c r="Z167" s="52">
        <f>IF(A167=1,Inputs!$C$72,AA166)</f>
        <v/>
      </c>
      <c r="AA167" s="52">
        <f>Z167 + M167 - N167 - P167 - X167 - Y167</f>
        <v/>
      </c>
      <c r="AB167" s="53">
        <f>IF(AA167&lt;0,1,0)</f>
        <v/>
      </c>
      <c r="AC167" s="54">
        <f>IF(AD167=0,0,R167/(AD167*Inputs!$C$16))</f>
        <v/>
      </c>
      <c r="AD167" s="53">
        <f>IF(A167&gt;Inputs!$C$62,"",B167+C167)</f>
        <v/>
      </c>
      <c r="AE167" s="56">
        <f>IF(A167&gt;Inputs!$C$62,"", Inputs!$C$65*(1+Inputs!$C$89*POWER(MIN(1,IF(Inputs!$C$88=0,0,B167/Inputs!$C$88)),Inputs!$C$90)))</f>
        <v/>
      </c>
      <c r="AF167" s="52">
        <f>IF(A167&gt;Inputs!$C$62,"",IF(A167=1,Inputs!$C$86,MIN(Inputs!$C$86,Inputs!$C$87*M166)))</f>
        <v/>
      </c>
      <c r="AG167" s="51">
        <f>IF(A167&gt;Inputs!$C$62,"",MIN(0.5,MAX(0, Inputs!$C$67*L167 + Inputs!$C$68*(1-K167) + Inputs!$C$69*Inputs!$C$10)))</f>
        <v/>
      </c>
      <c r="AH167" s="51">
        <f>IF(A167&gt;Inputs!$C$62,"",INDEX(CapacityPlan!$G$7:$G$266,A167))</f>
        <v/>
      </c>
      <c r="AI167" s="54">
        <f>IF(A167&gt;Inputs!$C$62,"",INDEX(CapacityPlan!$J$7:$J$266,A167))</f>
        <v/>
      </c>
      <c r="AJ167" s="51">
        <f>IF(A167&gt;Inputs!$C$62,"",IF(I167=0,"",G167/I167))</f>
        <v/>
      </c>
    </row>
    <row r="168" ht="16" customHeight="1">
      <c r="A168" s="15" t="n">
        <v>146</v>
      </c>
      <c r="B168" s="50">
        <f>IF(A168&gt;Inputs!$C$62,"",IF(Inputs!$C$80=1,INDEX(Cohorts!$B$67:$B$326,A168),IF(A168=1,Inputs!$C$63,F167)))</f>
        <v/>
      </c>
      <c r="C168" s="50">
        <f>IF(A168&gt;Inputs!$C$62,"",IF(Inputs!$C$85=0,Inputs!$C$64,MIN(Inputs!$C$91,IF(AE168=0,0,AF168/AE168))))</f>
        <v/>
      </c>
      <c r="D168" s="51">
        <f>IF(A168&gt;Inputs!$C$62,"",IF(Inputs!$C$80=1,INDEX(Cohorts!$G$67:$G$326,A168),MAX(0, Inputs!$C$66 + Inputs!$C$67*L168 + Inputs!$C$68*(1-K168) + Inputs!$C$69*Inputs!$C$10)))</f>
        <v/>
      </c>
      <c r="E168" s="50">
        <f>IF(A168&gt;Inputs!$C$62,"",IF(Inputs!$C$80=1,INDEX(Cohorts!$H$67:$H$326,A168),D168*AD168))</f>
        <v/>
      </c>
      <c r="F168" s="50">
        <f>IF(A168&gt;Inputs!$C$62,"",IF(Inputs!$C$80=1,INDEX(Cohorts!$I$67:$I$326,A168),AD168-E168))</f>
        <v/>
      </c>
      <c r="G168" s="50">
        <f>IF(A168&gt;Inputs!$C$62,"",AD168)</f>
        <v/>
      </c>
      <c r="H168" s="50">
        <f>IF(A168&gt;Inputs!$C$62,"",INDEX(CapacityPlan!$E$7:$E$266,A168))</f>
        <v/>
      </c>
      <c r="I168" s="50">
        <f>IF(A168&gt;Inputs!$C$62,"",INDEX(CapacityPlan!$I$7:$I$266,A168))</f>
        <v/>
      </c>
      <c r="J168" s="50">
        <f>IF(A168&gt;Inputs!$C$62,"",IF(G168&gt;I168,I168,G168))</f>
        <v/>
      </c>
      <c r="K168" s="51">
        <f>IF(A168&gt;Inputs!$C$62,"",IF(G168=0,1,J168/G168))</f>
        <v/>
      </c>
      <c r="L168" s="51">
        <f>IF((Inputs!$C$36 + UnitEconomics!$B$12*Inputs!$C$37 + Inputs!$C$10*Inputs!$C$38 + Inputs!$C$70*(1-K168))&gt;1,1,(Inputs!$C$36 + UnitEconomics!$B$12*Inputs!$C$37 + Inputs!$C$10*Inputs!$C$38 + Inputs!$C$70*(1-K168)))</f>
        <v/>
      </c>
      <c r="M168" s="52">
        <f>IF(A168&gt;Inputs!$C$62,"",J168*Inputs!$C$7*(1-Inputs!$C$8)*(1-L168))</f>
        <v/>
      </c>
      <c r="N168" s="52">
        <f>IF(A168&gt;Inputs!$C$62,"",J168*UnitEconomics!$B$32*AI168 + (G168-J168)*Inputs!$C$71)</f>
        <v/>
      </c>
      <c r="O168" s="52">
        <f>M168-N168</f>
        <v/>
      </c>
      <c r="P168" s="52">
        <f>IF(A168&gt;Inputs!$C$62,"",Inputs!$C$40 + H168*Inputs!$C$41)</f>
        <v/>
      </c>
      <c r="Q168" s="52">
        <f>O168-P168</f>
        <v/>
      </c>
      <c r="R168" s="50">
        <f>IF(A168&gt;Inputs!$C$62,"",AD168*Inputs!$C$16*(Inputs!$C$9 + Inputs!$C$10*Inputs!$C$11 + Inputs!$C$12)*(1 + VLOOKUP(Inputs!$C$15,Lookups!$A$2:$B$20,2,TRUE)*(Scale!$B$9/IF(Scale!$B$8=0,1,Scale!$B$8)) + Inputs!$C$52))</f>
        <v/>
      </c>
      <c r="S168" s="50">
        <f>IF(A168=1,Scale!$B$13, W167)</f>
        <v/>
      </c>
      <c r="T168" s="50">
        <f>J168*Inputs!$C$16*(Inputs!$C$19 + Inputs!$C$20*Inputs!$C$21 + 1/Inputs!$C$18)</f>
        <v/>
      </c>
      <c r="U168" s="50">
        <f>MAX(0, (R168*(1+Inputs!$C$74)) - (S168 - T168))</f>
        <v/>
      </c>
      <c r="V168" s="50">
        <f>IF(A168&lt;=Inputs!$C$73,0,INDEX(U:U,ROW()-Inputs!$C$73))</f>
        <v/>
      </c>
      <c r="W168" s="50">
        <f>S168 - T168 + V168</f>
        <v/>
      </c>
      <c r="X168" s="52">
        <f>V168*Inputs!$C$17</f>
        <v/>
      </c>
      <c r="Y168" s="52">
        <f>IF(A168&gt;Inputs!$C$62,"",C168*AE168)</f>
        <v/>
      </c>
      <c r="Z168" s="52">
        <f>IF(A168=1,Inputs!$C$72,AA167)</f>
        <v/>
      </c>
      <c r="AA168" s="52">
        <f>Z168 + M168 - N168 - P168 - X168 - Y168</f>
        <v/>
      </c>
      <c r="AB168" s="53">
        <f>IF(AA168&lt;0,1,0)</f>
        <v/>
      </c>
      <c r="AC168" s="54">
        <f>IF(AD168=0,0,R168/(AD168*Inputs!$C$16))</f>
        <v/>
      </c>
      <c r="AD168" s="53">
        <f>IF(A168&gt;Inputs!$C$62,"",B168+C168)</f>
        <v/>
      </c>
      <c r="AE168" s="56">
        <f>IF(A168&gt;Inputs!$C$62,"", Inputs!$C$65*(1+Inputs!$C$89*POWER(MIN(1,IF(Inputs!$C$88=0,0,B168/Inputs!$C$88)),Inputs!$C$90)))</f>
        <v/>
      </c>
      <c r="AF168" s="52">
        <f>IF(A168&gt;Inputs!$C$62,"",IF(A168=1,Inputs!$C$86,MIN(Inputs!$C$86,Inputs!$C$87*M167)))</f>
        <v/>
      </c>
      <c r="AG168" s="51">
        <f>IF(A168&gt;Inputs!$C$62,"",MIN(0.5,MAX(0, Inputs!$C$67*L168 + Inputs!$C$68*(1-K168) + Inputs!$C$69*Inputs!$C$10)))</f>
        <v/>
      </c>
      <c r="AH168" s="51">
        <f>IF(A168&gt;Inputs!$C$62,"",INDEX(CapacityPlan!$G$7:$G$266,A168))</f>
        <v/>
      </c>
      <c r="AI168" s="54">
        <f>IF(A168&gt;Inputs!$C$62,"",INDEX(CapacityPlan!$J$7:$J$266,A168))</f>
        <v/>
      </c>
      <c r="AJ168" s="51">
        <f>IF(A168&gt;Inputs!$C$62,"",IF(I168=0,"",G168/I168))</f>
        <v/>
      </c>
    </row>
    <row r="169" ht="16" customHeight="1">
      <c r="A169" s="15" t="n">
        <v>147</v>
      </c>
      <c r="B169" s="50">
        <f>IF(A169&gt;Inputs!$C$62,"",IF(Inputs!$C$80=1,INDEX(Cohorts!$B$67:$B$326,A169),IF(A169=1,Inputs!$C$63,F168)))</f>
        <v/>
      </c>
      <c r="C169" s="50">
        <f>IF(A169&gt;Inputs!$C$62,"",IF(Inputs!$C$85=0,Inputs!$C$64,MIN(Inputs!$C$91,IF(AE169=0,0,AF169/AE169))))</f>
        <v/>
      </c>
      <c r="D169" s="51">
        <f>IF(A169&gt;Inputs!$C$62,"",IF(Inputs!$C$80=1,INDEX(Cohorts!$G$67:$G$326,A169),MAX(0, Inputs!$C$66 + Inputs!$C$67*L169 + Inputs!$C$68*(1-K169) + Inputs!$C$69*Inputs!$C$10)))</f>
        <v/>
      </c>
      <c r="E169" s="50">
        <f>IF(A169&gt;Inputs!$C$62,"",IF(Inputs!$C$80=1,INDEX(Cohorts!$H$67:$H$326,A169),D169*AD169))</f>
        <v/>
      </c>
      <c r="F169" s="50">
        <f>IF(A169&gt;Inputs!$C$62,"",IF(Inputs!$C$80=1,INDEX(Cohorts!$I$67:$I$326,A169),AD169-E169))</f>
        <v/>
      </c>
      <c r="G169" s="50">
        <f>IF(A169&gt;Inputs!$C$62,"",AD169)</f>
        <v/>
      </c>
      <c r="H169" s="50">
        <f>IF(A169&gt;Inputs!$C$62,"",INDEX(CapacityPlan!$E$7:$E$266,A169))</f>
        <v/>
      </c>
      <c r="I169" s="50">
        <f>IF(A169&gt;Inputs!$C$62,"",INDEX(CapacityPlan!$I$7:$I$266,A169))</f>
        <v/>
      </c>
      <c r="J169" s="50">
        <f>IF(A169&gt;Inputs!$C$62,"",IF(G169&gt;I169,I169,G169))</f>
        <v/>
      </c>
      <c r="K169" s="51">
        <f>IF(A169&gt;Inputs!$C$62,"",IF(G169=0,1,J169/G169))</f>
        <v/>
      </c>
      <c r="L169" s="51">
        <f>IF((Inputs!$C$36 + UnitEconomics!$B$12*Inputs!$C$37 + Inputs!$C$10*Inputs!$C$38 + Inputs!$C$70*(1-K169))&gt;1,1,(Inputs!$C$36 + UnitEconomics!$B$12*Inputs!$C$37 + Inputs!$C$10*Inputs!$C$38 + Inputs!$C$70*(1-K169)))</f>
        <v/>
      </c>
      <c r="M169" s="52">
        <f>IF(A169&gt;Inputs!$C$62,"",J169*Inputs!$C$7*(1-Inputs!$C$8)*(1-L169))</f>
        <v/>
      </c>
      <c r="N169" s="52">
        <f>IF(A169&gt;Inputs!$C$62,"",J169*UnitEconomics!$B$32*AI169 + (G169-J169)*Inputs!$C$71)</f>
        <v/>
      </c>
      <c r="O169" s="52">
        <f>M169-N169</f>
        <v/>
      </c>
      <c r="P169" s="52">
        <f>IF(A169&gt;Inputs!$C$62,"",Inputs!$C$40 + H169*Inputs!$C$41)</f>
        <v/>
      </c>
      <c r="Q169" s="52">
        <f>O169-P169</f>
        <v/>
      </c>
      <c r="R169" s="50">
        <f>IF(A169&gt;Inputs!$C$62,"",AD169*Inputs!$C$16*(Inputs!$C$9 + Inputs!$C$10*Inputs!$C$11 + Inputs!$C$12)*(1 + VLOOKUP(Inputs!$C$15,Lookups!$A$2:$B$20,2,TRUE)*(Scale!$B$9/IF(Scale!$B$8=0,1,Scale!$B$8)) + Inputs!$C$52))</f>
        <v/>
      </c>
      <c r="S169" s="50">
        <f>IF(A169=1,Scale!$B$13, W168)</f>
        <v/>
      </c>
      <c r="T169" s="50">
        <f>J169*Inputs!$C$16*(Inputs!$C$19 + Inputs!$C$20*Inputs!$C$21 + 1/Inputs!$C$18)</f>
        <v/>
      </c>
      <c r="U169" s="50">
        <f>MAX(0, (R169*(1+Inputs!$C$74)) - (S169 - T169))</f>
        <v/>
      </c>
      <c r="V169" s="50">
        <f>IF(A169&lt;=Inputs!$C$73,0,INDEX(U:U,ROW()-Inputs!$C$73))</f>
        <v/>
      </c>
      <c r="W169" s="50">
        <f>S169 - T169 + V169</f>
        <v/>
      </c>
      <c r="X169" s="52">
        <f>V169*Inputs!$C$17</f>
        <v/>
      </c>
      <c r="Y169" s="52">
        <f>IF(A169&gt;Inputs!$C$62,"",C169*AE169)</f>
        <v/>
      </c>
      <c r="Z169" s="52">
        <f>IF(A169=1,Inputs!$C$72,AA168)</f>
        <v/>
      </c>
      <c r="AA169" s="52">
        <f>Z169 + M169 - N169 - P169 - X169 - Y169</f>
        <v/>
      </c>
      <c r="AB169" s="53">
        <f>IF(AA169&lt;0,1,0)</f>
        <v/>
      </c>
      <c r="AC169" s="54">
        <f>IF(AD169=0,0,R169/(AD169*Inputs!$C$16))</f>
        <v/>
      </c>
      <c r="AD169" s="53">
        <f>IF(A169&gt;Inputs!$C$62,"",B169+C169)</f>
        <v/>
      </c>
      <c r="AE169" s="56">
        <f>IF(A169&gt;Inputs!$C$62,"", Inputs!$C$65*(1+Inputs!$C$89*POWER(MIN(1,IF(Inputs!$C$88=0,0,B169/Inputs!$C$88)),Inputs!$C$90)))</f>
        <v/>
      </c>
      <c r="AF169" s="52">
        <f>IF(A169&gt;Inputs!$C$62,"",IF(A169=1,Inputs!$C$86,MIN(Inputs!$C$86,Inputs!$C$87*M168)))</f>
        <v/>
      </c>
      <c r="AG169" s="51">
        <f>IF(A169&gt;Inputs!$C$62,"",MIN(0.5,MAX(0, Inputs!$C$67*L169 + Inputs!$C$68*(1-K169) + Inputs!$C$69*Inputs!$C$10)))</f>
        <v/>
      </c>
      <c r="AH169" s="51">
        <f>IF(A169&gt;Inputs!$C$62,"",INDEX(CapacityPlan!$G$7:$G$266,A169))</f>
        <v/>
      </c>
      <c r="AI169" s="54">
        <f>IF(A169&gt;Inputs!$C$62,"",INDEX(CapacityPlan!$J$7:$J$266,A169))</f>
        <v/>
      </c>
      <c r="AJ169" s="51">
        <f>IF(A169&gt;Inputs!$C$62,"",IF(I169=0,"",G169/I169))</f>
        <v/>
      </c>
    </row>
    <row r="170" ht="16" customHeight="1">
      <c r="A170" s="15" t="n">
        <v>148</v>
      </c>
      <c r="B170" s="50">
        <f>IF(A170&gt;Inputs!$C$62,"",IF(Inputs!$C$80=1,INDEX(Cohorts!$B$67:$B$326,A170),IF(A170=1,Inputs!$C$63,F169)))</f>
        <v/>
      </c>
      <c r="C170" s="50">
        <f>IF(A170&gt;Inputs!$C$62,"",IF(Inputs!$C$85=0,Inputs!$C$64,MIN(Inputs!$C$91,IF(AE170=0,0,AF170/AE170))))</f>
        <v/>
      </c>
      <c r="D170" s="51">
        <f>IF(A170&gt;Inputs!$C$62,"",IF(Inputs!$C$80=1,INDEX(Cohorts!$G$67:$G$326,A170),MAX(0, Inputs!$C$66 + Inputs!$C$67*L170 + Inputs!$C$68*(1-K170) + Inputs!$C$69*Inputs!$C$10)))</f>
        <v/>
      </c>
      <c r="E170" s="50">
        <f>IF(A170&gt;Inputs!$C$62,"",IF(Inputs!$C$80=1,INDEX(Cohorts!$H$67:$H$326,A170),D170*AD170))</f>
        <v/>
      </c>
      <c r="F170" s="50">
        <f>IF(A170&gt;Inputs!$C$62,"",IF(Inputs!$C$80=1,INDEX(Cohorts!$I$67:$I$326,A170),AD170-E170))</f>
        <v/>
      </c>
      <c r="G170" s="50">
        <f>IF(A170&gt;Inputs!$C$62,"",AD170)</f>
        <v/>
      </c>
      <c r="H170" s="50">
        <f>IF(A170&gt;Inputs!$C$62,"",INDEX(CapacityPlan!$E$7:$E$266,A170))</f>
        <v/>
      </c>
      <c r="I170" s="50">
        <f>IF(A170&gt;Inputs!$C$62,"",INDEX(CapacityPlan!$I$7:$I$266,A170))</f>
        <v/>
      </c>
      <c r="J170" s="50">
        <f>IF(A170&gt;Inputs!$C$62,"",IF(G170&gt;I170,I170,G170))</f>
        <v/>
      </c>
      <c r="K170" s="51">
        <f>IF(A170&gt;Inputs!$C$62,"",IF(G170=0,1,J170/G170))</f>
        <v/>
      </c>
      <c r="L170" s="51">
        <f>IF((Inputs!$C$36 + UnitEconomics!$B$12*Inputs!$C$37 + Inputs!$C$10*Inputs!$C$38 + Inputs!$C$70*(1-K170))&gt;1,1,(Inputs!$C$36 + UnitEconomics!$B$12*Inputs!$C$37 + Inputs!$C$10*Inputs!$C$38 + Inputs!$C$70*(1-K170)))</f>
        <v/>
      </c>
      <c r="M170" s="52">
        <f>IF(A170&gt;Inputs!$C$62,"",J170*Inputs!$C$7*(1-Inputs!$C$8)*(1-L170))</f>
        <v/>
      </c>
      <c r="N170" s="52">
        <f>IF(A170&gt;Inputs!$C$62,"",J170*UnitEconomics!$B$32*AI170 + (G170-J170)*Inputs!$C$71)</f>
        <v/>
      </c>
      <c r="O170" s="52">
        <f>M170-N170</f>
        <v/>
      </c>
      <c r="P170" s="52">
        <f>IF(A170&gt;Inputs!$C$62,"",Inputs!$C$40 + H170*Inputs!$C$41)</f>
        <v/>
      </c>
      <c r="Q170" s="52">
        <f>O170-P170</f>
        <v/>
      </c>
      <c r="R170" s="50">
        <f>IF(A170&gt;Inputs!$C$62,"",AD170*Inputs!$C$16*(Inputs!$C$9 + Inputs!$C$10*Inputs!$C$11 + Inputs!$C$12)*(1 + VLOOKUP(Inputs!$C$15,Lookups!$A$2:$B$20,2,TRUE)*(Scale!$B$9/IF(Scale!$B$8=0,1,Scale!$B$8)) + Inputs!$C$52))</f>
        <v/>
      </c>
      <c r="S170" s="50">
        <f>IF(A170=1,Scale!$B$13, W169)</f>
        <v/>
      </c>
      <c r="T170" s="50">
        <f>J170*Inputs!$C$16*(Inputs!$C$19 + Inputs!$C$20*Inputs!$C$21 + 1/Inputs!$C$18)</f>
        <v/>
      </c>
      <c r="U170" s="50">
        <f>MAX(0, (R170*(1+Inputs!$C$74)) - (S170 - T170))</f>
        <v/>
      </c>
      <c r="V170" s="50">
        <f>IF(A170&lt;=Inputs!$C$73,0,INDEX(U:U,ROW()-Inputs!$C$73))</f>
        <v/>
      </c>
      <c r="W170" s="50">
        <f>S170 - T170 + V170</f>
        <v/>
      </c>
      <c r="X170" s="52">
        <f>V170*Inputs!$C$17</f>
        <v/>
      </c>
      <c r="Y170" s="52">
        <f>IF(A170&gt;Inputs!$C$62,"",C170*AE170)</f>
        <v/>
      </c>
      <c r="Z170" s="52">
        <f>IF(A170=1,Inputs!$C$72,AA169)</f>
        <v/>
      </c>
      <c r="AA170" s="52">
        <f>Z170 + M170 - N170 - P170 - X170 - Y170</f>
        <v/>
      </c>
      <c r="AB170" s="53">
        <f>IF(AA170&lt;0,1,0)</f>
        <v/>
      </c>
      <c r="AC170" s="54">
        <f>IF(AD170=0,0,R170/(AD170*Inputs!$C$16))</f>
        <v/>
      </c>
      <c r="AD170" s="53">
        <f>IF(A170&gt;Inputs!$C$62,"",B170+C170)</f>
        <v/>
      </c>
      <c r="AE170" s="56">
        <f>IF(A170&gt;Inputs!$C$62,"", Inputs!$C$65*(1+Inputs!$C$89*POWER(MIN(1,IF(Inputs!$C$88=0,0,B170/Inputs!$C$88)),Inputs!$C$90)))</f>
        <v/>
      </c>
      <c r="AF170" s="52">
        <f>IF(A170&gt;Inputs!$C$62,"",IF(A170=1,Inputs!$C$86,MIN(Inputs!$C$86,Inputs!$C$87*M169)))</f>
        <v/>
      </c>
      <c r="AG170" s="51">
        <f>IF(A170&gt;Inputs!$C$62,"",MIN(0.5,MAX(0, Inputs!$C$67*L170 + Inputs!$C$68*(1-K170) + Inputs!$C$69*Inputs!$C$10)))</f>
        <v/>
      </c>
      <c r="AH170" s="51">
        <f>IF(A170&gt;Inputs!$C$62,"",INDEX(CapacityPlan!$G$7:$G$266,A170))</f>
        <v/>
      </c>
      <c r="AI170" s="54">
        <f>IF(A170&gt;Inputs!$C$62,"",INDEX(CapacityPlan!$J$7:$J$266,A170))</f>
        <v/>
      </c>
      <c r="AJ170" s="51">
        <f>IF(A170&gt;Inputs!$C$62,"",IF(I170=0,"",G170/I170))</f>
        <v/>
      </c>
    </row>
    <row r="171" ht="16" customHeight="1">
      <c r="A171" s="15" t="n">
        <v>149</v>
      </c>
      <c r="B171" s="50">
        <f>IF(A171&gt;Inputs!$C$62,"",IF(Inputs!$C$80=1,INDEX(Cohorts!$B$67:$B$326,A171),IF(A171=1,Inputs!$C$63,F170)))</f>
        <v/>
      </c>
      <c r="C171" s="50">
        <f>IF(A171&gt;Inputs!$C$62,"",IF(Inputs!$C$85=0,Inputs!$C$64,MIN(Inputs!$C$91,IF(AE171=0,0,AF171/AE171))))</f>
        <v/>
      </c>
      <c r="D171" s="51">
        <f>IF(A171&gt;Inputs!$C$62,"",IF(Inputs!$C$80=1,INDEX(Cohorts!$G$67:$G$326,A171),MAX(0, Inputs!$C$66 + Inputs!$C$67*L171 + Inputs!$C$68*(1-K171) + Inputs!$C$69*Inputs!$C$10)))</f>
        <v/>
      </c>
      <c r="E171" s="50">
        <f>IF(A171&gt;Inputs!$C$62,"",IF(Inputs!$C$80=1,INDEX(Cohorts!$H$67:$H$326,A171),D171*AD171))</f>
        <v/>
      </c>
      <c r="F171" s="50">
        <f>IF(A171&gt;Inputs!$C$62,"",IF(Inputs!$C$80=1,INDEX(Cohorts!$I$67:$I$326,A171),AD171-E171))</f>
        <v/>
      </c>
      <c r="G171" s="50">
        <f>IF(A171&gt;Inputs!$C$62,"",AD171)</f>
        <v/>
      </c>
      <c r="H171" s="50">
        <f>IF(A171&gt;Inputs!$C$62,"",INDEX(CapacityPlan!$E$7:$E$266,A171))</f>
        <v/>
      </c>
      <c r="I171" s="50">
        <f>IF(A171&gt;Inputs!$C$62,"",INDEX(CapacityPlan!$I$7:$I$266,A171))</f>
        <v/>
      </c>
      <c r="J171" s="50">
        <f>IF(A171&gt;Inputs!$C$62,"",IF(G171&gt;I171,I171,G171))</f>
        <v/>
      </c>
      <c r="K171" s="51">
        <f>IF(A171&gt;Inputs!$C$62,"",IF(G171=0,1,J171/G171))</f>
        <v/>
      </c>
      <c r="L171" s="51">
        <f>IF((Inputs!$C$36 + UnitEconomics!$B$12*Inputs!$C$37 + Inputs!$C$10*Inputs!$C$38 + Inputs!$C$70*(1-K171))&gt;1,1,(Inputs!$C$36 + UnitEconomics!$B$12*Inputs!$C$37 + Inputs!$C$10*Inputs!$C$38 + Inputs!$C$70*(1-K171)))</f>
        <v/>
      </c>
      <c r="M171" s="52">
        <f>IF(A171&gt;Inputs!$C$62,"",J171*Inputs!$C$7*(1-Inputs!$C$8)*(1-L171))</f>
        <v/>
      </c>
      <c r="N171" s="52">
        <f>IF(A171&gt;Inputs!$C$62,"",J171*UnitEconomics!$B$32*AI171 + (G171-J171)*Inputs!$C$71)</f>
        <v/>
      </c>
      <c r="O171" s="52">
        <f>M171-N171</f>
        <v/>
      </c>
      <c r="P171" s="52">
        <f>IF(A171&gt;Inputs!$C$62,"",Inputs!$C$40 + H171*Inputs!$C$41)</f>
        <v/>
      </c>
      <c r="Q171" s="52">
        <f>O171-P171</f>
        <v/>
      </c>
      <c r="R171" s="50">
        <f>IF(A171&gt;Inputs!$C$62,"",AD171*Inputs!$C$16*(Inputs!$C$9 + Inputs!$C$10*Inputs!$C$11 + Inputs!$C$12)*(1 + VLOOKUP(Inputs!$C$15,Lookups!$A$2:$B$20,2,TRUE)*(Scale!$B$9/IF(Scale!$B$8=0,1,Scale!$B$8)) + Inputs!$C$52))</f>
        <v/>
      </c>
      <c r="S171" s="50">
        <f>IF(A171=1,Scale!$B$13, W170)</f>
        <v/>
      </c>
      <c r="T171" s="50">
        <f>J171*Inputs!$C$16*(Inputs!$C$19 + Inputs!$C$20*Inputs!$C$21 + 1/Inputs!$C$18)</f>
        <v/>
      </c>
      <c r="U171" s="50">
        <f>MAX(0, (R171*(1+Inputs!$C$74)) - (S171 - T171))</f>
        <v/>
      </c>
      <c r="V171" s="50">
        <f>IF(A171&lt;=Inputs!$C$73,0,INDEX(U:U,ROW()-Inputs!$C$73))</f>
        <v/>
      </c>
      <c r="W171" s="50">
        <f>S171 - T171 + V171</f>
        <v/>
      </c>
      <c r="X171" s="52">
        <f>V171*Inputs!$C$17</f>
        <v/>
      </c>
      <c r="Y171" s="52">
        <f>IF(A171&gt;Inputs!$C$62,"",C171*AE171)</f>
        <v/>
      </c>
      <c r="Z171" s="52">
        <f>IF(A171=1,Inputs!$C$72,AA170)</f>
        <v/>
      </c>
      <c r="AA171" s="52">
        <f>Z171 + M171 - N171 - P171 - X171 - Y171</f>
        <v/>
      </c>
      <c r="AB171" s="53">
        <f>IF(AA171&lt;0,1,0)</f>
        <v/>
      </c>
      <c r="AC171" s="54">
        <f>IF(AD171=0,0,R171/(AD171*Inputs!$C$16))</f>
        <v/>
      </c>
      <c r="AD171" s="53">
        <f>IF(A171&gt;Inputs!$C$62,"",B171+C171)</f>
        <v/>
      </c>
      <c r="AE171" s="56">
        <f>IF(A171&gt;Inputs!$C$62,"", Inputs!$C$65*(1+Inputs!$C$89*POWER(MIN(1,IF(Inputs!$C$88=0,0,B171/Inputs!$C$88)),Inputs!$C$90)))</f>
        <v/>
      </c>
      <c r="AF171" s="52">
        <f>IF(A171&gt;Inputs!$C$62,"",IF(A171=1,Inputs!$C$86,MIN(Inputs!$C$86,Inputs!$C$87*M170)))</f>
        <v/>
      </c>
      <c r="AG171" s="51">
        <f>IF(A171&gt;Inputs!$C$62,"",MIN(0.5,MAX(0, Inputs!$C$67*L171 + Inputs!$C$68*(1-K171) + Inputs!$C$69*Inputs!$C$10)))</f>
        <v/>
      </c>
      <c r="AH171" s="51">
        <f>IF(A171&gt;Inputs!$C$62,"",INDEX(CapacityPlan!$G$7:$G$266,A171))</f>
        <v/>
      </c>
      <c r="AI171" s="54">
        <f>IF(A171&gt;Inputs!$C$62,"",INDEX(CapacityPlan!$J$7:$J$266,A171))</f>
        <v/>
      </c>
      <c r="AJ171" s="51">
        <f>IF(A171&gt;Inputs!$C$62,"",IF(I171=0,"",G171/I171))</f>
        <v/>
      </c>
    </row>
    <row r="172" ht="16" customHeight="1">
      <c r="A172" s="15" t="n">
        <v>150</v>
      </c>
      <c r="B172" s="50">
        <f>IF(A172&gt;Inputs!$C$62,"",IF(Inputs!$C$80=1,INDEX(Cohorts!$B$67:$B$326,A172),IF(A172=1,Inputs!$C$63,F171)))</f>
        <v/>
      </c>
      <c r="C172" s="50">
        <f>IF(A172&gt;Inputs!$C$62,"",IF(Inputs!$C$85=0,Inputs!$C$64,MIN(Inputs!$C$91,IF(AE172=0,0,AF172/AE172))))</f>
        <v/>
      </c>
      <c r="D172" s="51">
        <f>IF(A172&gt;Inputs!$C$62,"",IF(Inputs!$C$80=1,INDEX(Cohorts!$G$67:$G$326,A172),MAX(0, Inputs!$C$66 + Inputs!$C$67*L172 + Inputs!$C$68*(1-K172) + Inputs!$C$69*Inputs!$C$10)))</f>
        <v/>
      </c>
      <c r="E172" s="50">
        <f>IF(A172&gt;Inputs!$C$62,"",IF(Inputs!$C$80=1,INDEX(Cohorts!$H$67:$H$326,A172),D172*AD172))</f>
        <v/>
      </c>
      <c r="F172" s="50">
        <f>IF(A172&gt;Inputs!$C$62,"",IF(Inputs!$C$80=1,INDEX(Cohorts!$I$67:$I$326,A172),AD172-E172))</f>
        <v/>
      </c>
      <c r="G172" s="50">
        <f>IF(A172&gt;Inputs!$C$62,"",AD172)</f>
        <v/>
      </c>
      <c r="H172" s="50">
        <f>IF(A172&gt;Inputs!$C$62,"",INDEX(CapacityPlan!$E$7:$E$266,A172))</f>
        <v/>
      </c>
      <c r="I172" s="50">
        <f>IF(A172&gt;Inputs!$C$62,"",INDEX(CapacityPlan!$I$7:$I$266,A172))</f>
        <v/>
      </c>
      <c r="J172" s="50">
        <f>IF(A172&gt;Inputs!$C$62,"",IF(G172&gt;I172,I172,G172))</f>
        <v/>
      </c>
      <c r="K172" s="51">
        <f>IF(A172&gt;Inputs!$C$62,"",IF(G172=0,1,J172/G172))</f>
        <v/>
      </c>
      <c r="L172" s="51">
        <f>IF((Inputs!$C$36 + UnitEconomics!$B$12*Inputs!$C$37 + Inputs!$C$10*Inputs!$C$38 + Inputs!$C$70*(1-K172))&gt;1,1,(Inputs!$C$36 + UnitEconomics!$B$12*Inputs!$C$37 + Inputs!$C$10*Inputs!$C$38 + Inputs!$C$70*(1-K172)))</f>
        <v/>
      </c>
      <c r="M172" s="52">
        <f>IF(A172&gt;Inputs!$C$62,"",J172*Inputs!$C$7*(1-Inputs!$C$8)*(1-L172))</f>
        <v/>
      </c>
      <c r="N172" s="52">
        <f>IF(A172&gt;Inputs!$C$62,"",J172*UnitEconomics!$B$32*AI172 + (G172-J172)*Inputs!$C$71)</f>
        <v/>
      </c>
      <c r="O172" s="52">
        <f>M172-N172</f>
        <v/>
      </c>
      <c r="P172" s="52">
        <f>IF(A172&gt;Inputs!$C$62,"",Inputs!$C$40 + H172*Inputs!$C$41)</f>
        <v/>
      </c>
      <c r="Q172" s="52">
        <f>O172-P172</f>
        <v/>
      </c>
      <c r="R172" s="50">
        <f>IF(A172&gt;Inputs!$C$62,"",AD172*Inputs!$C$16*(Inputs!$C$9 + Inputs!$C$10*Inputs!$C$11 + Inputs!$C$12)*(1 + VLOOKUP(Inputs!$C$15,Lookups!$A$2:$B$20,2,TRUE)*(Scale!$B$9/IF(Scale!$B$8=0,1,Scale!$B$8)) + Inputs!$C$52))</f>
        <v/>
      </c>
      <c r="S172" s="50">
        <f>IF(A172=1,Scale!$B$13, W171)</f>
        <v/>
      </c>
      <c r="T172" s="50">
        <f>J172*Inputs!$C$16*(Inputs!$C$19 + Inputs!$C$20*Inputs!$C$21 + 1/Inputs!$C$18)</f>
        <v/>
      </c>
      <c r="U172" s="50">
        <f>MAX(0, (R172*(1+Inputs!$C$74)) - (S172 - T172))</f>
        <v/>
      </c>
      <c r="V172" s="50">
        <f>IF(A172&lt;=Inputs!$C$73,0,INDEX(U:U,ROW()-Inputs!$C$73))</f>
        <v/>
      </c>
      <c r="W172" s="50">
        <f>S172 - T172 + V172</f>
        <v/>
      </c>
      <c r="X172" s="52">
        <f>V172*Inputs!$C$17</f>
        <v/>
      </c>
      <c r="Y172" s="52">
        <f>IF(A172&gt;Inputs!$C$62,"",C172*AE172)</f>
        <v/>
      </c>
      <c r="Z172" s="52">
        <f>IF(A172=1,Inputs!$C$72,AA171)</f>
        <v/>
      </c>
      <c r="AA172" s="52">
        <f>Z172 + M172 - N172 - P172 - X172 - Y172</f>
        <v/>
      </c>
      <c r="AB172" s="53">
        <f>IF(AA172&lt;0,1,0)</f>
        <v/>
      </c>
      <c r="AC172" s="54">
        <f>IF(AD172=0,0,R172/(AD172*Inputs!$C$16))</f>
        <v/>
      </c>
      <c r="AD172" s="53">
        <f>IF(A172&gt;Inputs!$C$62,"",B172+C172)</f>
        <v/>
      </c>
      <c r="AE172" s="56">
        <f>IF(A172&gt;Inputs!$C$62,"", Inputs!$C$65*(1+Inputs!$C$89*POWER(MIN(1,IF(Inputs!$C$88=0,0,B172/Inputs!$C$88)),Inputs!$C$90)))</f>
        <v/>
      </c>
      <c r="AF172" s="52">
        <f>IF(A172&gt;Inputs!$C$62,"",IF(A172=1,Inputs!$C$86,MIN(Inputs!$C$86,Inputs!$C$87*M171)))</f>
        <v/>
      </c>
      <c r="AG172" s="51">
        <f>IF(A172&gt;Inputs!$C$62,"",MIN(0.5,MAX(0, Inputs!$C$67*L172 + Inputs!$C$68*(1-K172) + Inputs!$C$69*Inputs!$C$10)))</f>
        <v/>
      </c>
      <c r="AH172" s="51">
        <f>IF(A172&gt;Inputs!$C$62,"",INDEX(CapacityPlan!$G$7:$G$266,A172))</f>
        <v/>
      </c>
      <c r="AI172" s="54">
        <f>IF(A172&gt;Inputs!$C$62,"",INDEX(CapacityPlan!$J$7:$J$266,A172))</f>
        <v/>
      </c>
      <c r="AJ172" s="51">
        <f>IF(A172&gt;Inputs!$C$62,"",IF(I172=0,"",G172/I172))</f>
        <v/>
      </c>
    </row>
    <row r="173" ht="16" customHeight="1">
      <c r="A173" s="15" t="n">
        <v>151</v>
      </c>
      <c r="B173" s="50">
        <f>IF(A173&gt;Inputs!$C$62,"",IF(Inputs!$C$80=1,INDEX(Cohorts!$B$67:$B$326,A173),IF(A173=1,Inputs!$C$63,F172)))</f>
        <v/>
      </c>
      <c r="C173" s="50">
        <f>IF(A173&gt;Inputs!$C$62,"",IF(Inputs!$C$85=0,Inputs!$C$64,MIN(Inputs!$C$91,IF(AE173=0,0,AF173/AE173))))</f>
        <v/>
      </c>
      <c r="D173" s="51">
        <f>IF(A173&gt;Inputs!$C$62,"",IF(Inputs!$C$80=1,INDEX(Cohorts!$G$67:$G$326,A173),MAX(0, Inputs!$C$66 + Inputs!$C$67*L173 + Inputs!$C$68*(1-K173) + Inputs!$C$69*Inputs!$C$10)))</f>
        <v/>
      </c>
      <c r="E173" s="50">
        <f>IF(A173&gt;Inputs!$C$62,"",IF(Inputs!$C$80=1,INDEX(Cohorts!$H$67:$H$326,A173),D173*AD173))</f>
        <v/>
      </c>
      <c r="F173" s="50">
        <f>IF(A173&gt;Inputs!$C$62,"",IF(Inputs!$C$80=1,INDEX(Cohorts!$I$67:$I$326,A173),AD173-E173))</f>
        <v/>
      </c>
      <c r="G173" s="50">
        <f>IF(A173&gt;Inputs!$C$62,"",AD173)</f>
        <v/>
      </c>
      <c r="H173" s="50">
        <f>IF(A173&gt;Inputs!$C$62,"",INDEX(CapacityPlan!$E$7:$E$266,A173))</f>
        <v/>
      </c>
      <c r="I173" s="50">
        <f>IF(A173&gt;Inputs!$C$62,"",INDEX(CapacityPlan!$I$7:$I$266,A173))</f>
        <v/>
      </c>
      <c r="J173" s="50">
        <f>IF(A173&gt;Inputs!$C$62,"",IF(G173&gt;I173,I173,G173))</f>
        <v/>
      </c>
      <c r="K173" s="51">
        <f>IF(A173&gt;Inputs!$C$62,"",IF(G173=0,1,J173/G173))</f>
        <v/>
      </c>
      <c r="L173" s="51">
        <f>IF((Inputs!$C$36 + UnitEconomics!$B$12*Inputs!$C$37 + Inputs!$C$10*Inputs!$C$38 + Inputs!$C$70*(1-K173))&gt;1,1,(Inputs!$C$36 + UnitEconomics!$B$12*Inputs!$C$37 + Inputs!$C$10*Inputs!$C$38 + Inputs!$C$70*(1-K173)))</f>
        <v/>
      </c>
      <c r="M173" s="52">
        <f>IF(A173&gt;Inputs!$C$62,"",J173*Inputs!$C$7*(1-Inputs!$C$8)*(1-L173))</f>
        <v/>
      </c>
      <c r="N173" s="52">
        <f>IF(A173&gt;Inputs!$C$62,"",J173*UnitEconomics!$B$32*AI173 + (G173-J173)*Inputs!$C$71)</f>
        <v/>
      </c>
      <c r="O173" s="52">
        <f>M173-N173</f>
        <v/>
      </c>
      <c r="P173" s="52">
        <f>IF(A173&gt;Inputs!$C$62,"",Inputs!$C$40 + H173*Inputs!$C$41)</f>
        <v/>
      </c>
      <c r="Q173" s="52">
        <f>O173-P173</f>
        <v/>
      </c>
      <c r="R173" s="50">
        <f>IF(A173&gt;Inputs!$C$62,"",AD173*Inputs!$C$16*(Inputs!$C$9 + Inputs!$C$10*Inputs!$C$11 + Inputs!$C$12)*(1 + VLOOKUP(Inputs!$C$15,Lookups!$A$2:$B$20,2,TRUE)*(Scale!$B$9/IF(Scale!$B$8=0,1,Scale!$B$8)) + Inputs!$C$52))</f>
        <v/>
      </c>
      <c r="S173" s="50">
        <f>IF(A173=1,Scale!$B$13, W172)</f>
        <v/>
      </c>
      <c r="T173" s="50">
        <f>J173*Inputs!$C$16*(Inputs!$C$19 + Inputs!$C$20*Inputs!$C$21 + 1/Inputs!$C$18)</f>
        <v/>
      </c>
      <c r="U173" s="50">
        <f>MAX(0, (R173*(1+Inputs!$C$74)) - (S173 - T173))</f>
        <v/>
      </c>
      <c r="V173" s="50">
        <f>IF(A173&lt;=Inputs!$C$73,0,INDEX(U:U,ROW()-Inputs!$C$73))</f>
        <v/>
      </c>
      <c r="W173" s="50">
        <f>S173 - T173 + V173</f>
        <v/>
      </c>
      <c r="X173" s="52">
        <f>V173*Inputs!$C$17</f>
        <v/>
      </c>
      <c r="Y173" s="52">
        <f>IF(A173&gt;Inputs!$C$62,"",C173*AE173)</f>
        <v/>
      </c>
      <c r="Z173" s="52">
        <f>IF(A173=1,Inputs!$C$72,AA172)</f>
        <v/>
      </c>
      <c r="AA173" s="52">
        <f>Z173 + M173 - N173 - P173 - X173 - Y173</f>
        <v/>
      </c>
      <c r="AB173" s="53">
        <f>IF(AA173&lt;0,1,0)</f>
        <v/>
      </c>
      <c r="AC173" s="54">
        <f>IF(AD173=0,0,R173/(AD173*Inputs!$C$16))</f>
        <v/>
      </c>
      <c r="AD173" s="53">
        <f>IF(A173&gt;Inputs!$C$62,"",B173+C173)</f>
        <v/>
      </c>
      <c r="AE173" s="56">
        <f>IF(A173&gt;Inputs!$C$62,"", Inputs!$C$65*(1+Inputs!$C$89*POWER(MIN(1,IF(Inputs!$C$88=0,0,B173/Inputs!$C$88)),Inputs!$C$90)))</f>
        <v/>
      </c>
      <c r="AF173" s="52">
        <f>IF(A173&gt;Inputs!$C$62,"",IF(A173=1,Inputs!$C$86,MIN(Inputs!$C$86,Inputs!$C$87*M172)))</f>
        <v/>
      </c>
      <c r="AG173" s="51">
        <f>IF(A173&gt;Inputs!$C$62,"",MIN(0.5,MAX(0, Inputs!$C$67*L173 + Inputs!$C$68*(1-K173) + Inputs!$C$69*Inputs!$C$10)))</f>
        <v/>
      </c>
      <c r="AH173" s="51">
        <f>IF(A173&gt;Inputs!$C$62,"",INDEX(CapacityPlan!$G$7:$G$266,A173))</f>
        <v/>
      </c>
      <c r="AI173" s="54">
        <f>IF(A173&gt;Inputs!$C$62,"",INDEX(CapacityPlan!$J$7:$J$266,A173))</f>
        <v/>
      </c>
      <c r="AJ173" s="51">
        <f>IF(A173&gt;Inputs!$C$62,"",IF(I173=0,"",G173/I173))</f>
        <v/>
      </c>
    </row>
    <row r="174" ht="16" customHeight="1">
      <c r="A174" s="15" t="n">
        <v>152</v>
      </c>
      <c r="B174" s="50">
        <f>IF(A174&gt;Inputs!$C$62,"",IF(Inputs!$C$80=1,INDEX(Cohorts!$B$67:$B$326,A174),IF(A174=1,Inputs!$C$63,F173)))</f>
        <v/>
      </c>
      <c r="C174" s="50">
        <f>IF(A174&gt;Inputs!$C$62,"",IF(Inputs!$C$85=0,Inputs!$C$64,MIN(Inputs!$C$91,IF(AE174=0,0,AF174/AE174))))</f>
        <v/>
      </c>
      <c r="D174" s="51">
        <f>IF(A174&gt;Inputs!$C$62,"",IF(Inputs!$C$80=1,INDEX(Cohorts!$G$67:$G$326,A174),MAX(0, Inputs!$C$66 + Inputs!$C$67*L174 + Inputs!$C$68*(1-K174) + Inputs!$C$69*Inputs!$C$10)))</f>
        <v/>
      </c>
      <c r="E174" s="50">
        <f>IF(A174&gt;Inputs!$C$62,"",IF(Inputs!$C$80=1,INDEX(Cohorts!$H$67:$H$326,A174),D174*AD174))</f>
        <v/>
      </c>
      <c r="F174" s="50">
        <f>IF(A174&gt;Inputs!$C$62,"",IF(Inputs!$C$80=1,INDEX(Cohorts!$I$67:$I$326,A174),AD174-E174))</f>
        <v/>
      </c>
      <c r="G174" s="50">
        <f>IF(A174&gt;Inputs!$C$62,"",AD174)</f>
        <v/>
      </c>
      <c r="H174" s="50">
        <f>IF(A174&gt;Inputs!$C$62,"",INDEX(CapacityPlan!$E$7:$E$266,A174))</f>
        <v/>
      </c>
      <c r="I174" s="50">
        <f>IF(A174&gt;Inputs!$C$62,"",INDEX(CapacityPlan!$I$7:$I$266,A174))</f>
        <v/>
      </c>
      <c r="J174" s="50">
        <f>IF(A174&gt;Inputs!$C$62,"",IF(G174&gt;I174,I174,G174))</f>
        <v/>
      </c>
      <c r="K174" s="51">
        <f>IF(A174&gt;Inputs!$C$62,"",IF(G174=0,1,J174/G174))</f>
        <v/>
      </c>
      <c r="L174" s="51">
        <f>IF((Inputs!$C$36 + UnitEconomics!$B$12*Inputs!$C$37 + Inputs!$C$10*Inputs!$C$38 + Inputs!$C$70*(1-K174))&gt;1,1,(Inputs!$C$36 + UnitEconomics!$B$12*Inputs!$C$37 + Inputs!$C$10*Inputs!$C$38 + Inputs!$C$70*(1-K174)))</f>
        <v/>
      </c>
      <c r="M174" s="52">
        <f>IF(A174&gt;Inputs!$C$62,"",J174*Inputs!$C$7*(1-Inputs!$C$8)*(1-L174))</f>
        <v/>
      </c>
      <c r="N174" s="52">
        <f>IF(A174&gt;Inputs!$C$62,"",J174*UnitEconomics!$B$32*AI174 + (G174-J174)*Inputs!$C$71)</f>
        <v/>
      </c>
      <c r="O174" s="52">
        <f>M174-N174</f>
        <v/>
      </c>
      <c r="P174" s="52">
        <f>IF(A174&gt;Inputs!$C$62,"",Inputs!$C$40 + H174*Inputs!$C$41)</f>
        <v/>
      </c>
      <c r="Q174" s="52">
        <f>O174-P174</f>
        <v/>
      </c>
      <c r="R174" s="50">
        <f>IF(A174&gt;Inputs!$C$62,"",AD174*Inputs!$C$16*(Inputs!$C$9 + Inputs!$C$10*Inputs!$C$11 + Inputs!$C$12)*(1 + VLOOKUP(Inputs!$C$15,Lookups!$A$2:$B$20,2,TRUE)*(Scale!$B$9/IF(Scale!$B$8=0,1,Scale!$B$8)) + Inputs!$C$52))</f>
        <v/>
      </c>
      <c r="S174" s="50">
        <f>IF(A174=1,Scale!$B$13, W173)</f>
        <v/>
      </c>
      <c r="T174" s="50">
        <f>J174*Inputs!$C$16*(Inputs!$C$19 + Inputs!$C$20*Inputs!$C$21 + 1/Inputs!$C$18)</f>
        <v/>
      </c>
      <c r="U174" s="50">
        <f>MAX(0, (R174*(1+Inputs!$C$74)) - (S174 - T174))</f>
        <v/>
      </c>
      <c r="V174" s="50">
        <f>IF(A174&lt;=Inputs!$C$73,0,INDEX(U:U,ROW()-Inputs!$C$73))</f>
        <v/>
      </c>
      <c r="W174" s="50">
        <f>S174 - T174 + V174</f>
        <v/>
      </c>
      <c r="X174" s="52">
        <f>V174*Inputs!$C$17</f>
        <v/>
      </c>
      <c r="Y174" s="52">
        <f>IF(A174&gt;Inputs!$C$62,"",C174*AE174)</f>
        <v/>
      </c>
      <c r="Z174" s="52">
        <f>IF(A174=1,Inputs!$C$72,AA173)</f>
        <v/>
      </c>
      <c r="AA174" s="52">
        <f>Z174 + M174 - N174 - P174 - X174 - Y174</f>
        <v/>
      </c>
      <c r="AB174" s="53">
        <f>IF(AA174&lt;0,1,0)</f>
        <v/>
      </c>
      <c r="AC174" s="54">
        <f>IF(AD174=0,0,R174/(AD174*Inputs!$C$16))</f>
        <v/>
      </c>
      <c r="AD174" s="53">
        <f>IF(A174&gt;Inputs!$C$62,"",B174+C174)</f>
        <v/>
      </c>
      <c r="AE174" s="56">
        <f>IF(A174&gt;Inputs!$C$62,"", Inputs!$C$65*(1+Inputs!$C$89*POWER(MIN(1,IF(Inputs!$C$88=0,0,B174/Inputs!$C$88)),Inputs!$C$90)))</f>
        <v/>
      </c>
      <c r="AF174" s="52">
        <f>IF(A174&gt;Inputs!$C$62,"",IF(A174=1,Inputs!$C$86,MIN(Inputs!$C$86,Inputs!$C$87*M173)))</f>
        <v/>
      </c>
      <c r="AG174" s="51">
        <f>IF(A174&gt;Inputs!$C$62,"",MIN(0.5,MAX(0, Inputs!$C$67*L174 + Inputs!$C$68*(1-K174) + Inputs!$C$69*Inputs!$C$10)))</f>
        <v/>
      </c>
      <c r="AH174" s="51">
        <f>IF(A174&gt;Inputs!$C$62,"",INDEX(CapacityPlan!$G$7:$G$266,A174))</f>
        <v/>
      </c>
      <c r="AI174" s="54">
        <f>IF(A174&gt;Inputs!$C$62,"",INDEX(CapacityPlan!$J$7:$J$266,A174))</f>
        <v/>
      </c>
      <c r="AJ174" s="51">
        <f>IF(A174&gt;Inputs!$C$62,"",IF(I174=0,"",G174/I174))</f>
        <v/>
      </c>
    </row>
    <row r="175" ht="16" customHeight="1">
      <c r="A175" s="15" t="n">
        <v>153</v>
      </c>
      <c r="B175" s="50">
        <f>IF(A175&gt;Inputs!$C$62,"",IF(Inputs!$C$80=1,INDEX(Cohorts!$B$67:$B$326,A175),IF(A175=1,Inputs!$C$63,F174)))</f>
        <v/>
      </c>
      <c r="C175" s="50">
        <f>IF(A175&gt;Inputs!$C$62,"",IF(Inputs!$C$85=0,Inputs!$C$64,MIN(Inputs!$C$91,IF(AE175=0,0,AF175/AE175))))</f>
        <v/>
      </c>
      <c r="D175" s="51">
        <f>IF(A175&gt;Inputs!$C$62,"",IF(Inputs!$C$80=1,INDEX(Cohorts!$G$67:$G$326,A175),MAX(0, Inputs!$C$66 + Inputs!$C$67*L175 + Inputs!$C$68*(1-K175) + Inputs!$C$69*Inputs!$C$10)))</f>
        <v/>
      </c>
      <c r="E175" s="50">
        <f>IF(A175&gt;Inputs!$C$62,"",IF(Inputs!$C$80=1,INDEX(Cohorts!$H$67:$H$326,A175),D175*AD175))</f>
        <v/>
      </c>
      <c r="F175" s="50">
        <f>IF(A175&gt;Inputs!$C$62,"",IF(Inputs!$C$80=1,INDEX(Cohorts!$I$67:$I$326,A175),AD175-E175))</f>
        <v/>
      </c>
      <c r="G175" s="50">
        <f>IF(A175&gt;Inputs!$C$62,"",AD175)</f>
        <v/>
      </c>
      <c r="H175" s="50">
        <f>IF(A175&gt;Inputs!$C$62,"",INDEX(CapacityPlan!$E$7:$E$266,A175))</f>
        <v/>
      </c>
      <c r="I175" s="50">
        <f>IF(A175&gt;Inputs!$C$62,"",INDEX(CapacityPlan!$I$7:$I$266,A175))</f>
        <v/>
      </c>
      <c r="J175" s="50">
        <f>IF(A175&gt;Inputs!$C$62,"",IF(G175&gt;I175,I175,G175))</f>
        <v/>
      </c>
      <c r="K175" s="51">
        <f>IF(A175&gt;Inputs!$C$62,"",IF(G175=0,1,J175/G175))</f>
        <v/>
      </c>
      <c r="L175" s="51">
        <f>IF((Inputs!$C$36 + UnitEconomics!$B$12*Inputs!$C$37 + Inputs!$C$10*Inputs!$C$38 + Inputs!$C$70*(1-K175))&gt;1,1,(Inputs!$C$36 + UnitEconomics!$B$12*Inputs!$C$37 + Inputs!$C$10*Inputs!$C$38 + Inputs!$C$70*(1-K175)))</f>
        <v/>
      </c>
      <c r="M175" s="52">
        <f>IF(A175&gt;Inputs!$C$62,"",J175*Inputs!$C$7*(1-Inputs!$C$8)*(1-L175))</f>
        <v/>
      </c>
      <c r="N175" s="52">
        <f>IF(A175&gt;Inputs!$C$62,"",J175*UnitEconomics!$B$32*AI175 + (G175-J175)*Inputs!$C$71)</f>
        <v/>
      </c>
      <c r="O175" s="52">
        <f>M175-N175</f>
        <v/>
      </c>
      <c r="P175" s="52">
        <f>IF(A175&gt;Inputs!$C$62,"",Inputs!$C$40 + H175*Inputs!$C$41)</f>
        <v/>
      </c>
      <c r="Q175" s="52">
        <f>O175-P175</f>
        <v/>
      </c>
      <c r="R175" s="50">
        <f>IF(A175&gt;Inputs!$C$62,"",AD175*Inputs!$C$16*(Inputs!$C$9 + Inputs!$C$10*Inputs!$C$11 + Inputs!$C$12)*(1 + VLOOKUP(Inputs!$C$15,Lookups!$A$2:$B$20,2,TRUE)*(Scale!$B$9/IF(Scale!$B$8=0,1,Scale!$B$8)) + Inputs!$C$52))</f>
        <v/>
      </c>
      <c r="S175" s="50">
        <f>IF(A175=1,Scale!$B$13, W174)</f>
        <v/>
      </c>
      <c r="T175" s="50">
        <f>J175*Inputs!$C$16*(Inputs!$C$19 + Inputs!$C$20*Inputs!$C$21 + 1/Inputs!$C$18)</f>
        <v/>
      </c>
      <c r="U175" s="50">
        <f>MAX(0, (R175*(1+Inputs!$C$74)) - (S175 - T175))</f>
        <v/>
      </c>
      <c r="V175" s="50">
        <f>IF(A175&lt;=Inputs!$C$73,0,INDEX(U:U,ROW()-Inputs!$C$73))</f>
        <v/>
      </c>
      <c r="W175" s="50">
        <f>S175 - T175 + V175</f>
        <v/>
      </c>
      <c r="X175" s="52">
        <f>V175*Inputs!$C$17</f>
        <v/>
      </c>
      <c r="Y175" s="52">
        <f>IF(A175&gt;Inputs!$C$62,"",C175*AE175)</f>
        <v/>
      </c>
      <c r="Z175" s="52">
        <f>IF(A175=1,Inputs!$C$72,AA174)</f>
        <v/>
      </c>
      <c r="AA175" s="52">
        <f>Z175 + M175 - N175 - P175 - X175 - Y175</f>
        <v/>
      </c>
      <c r="AB175" s="53">
        <f>IF(AA175&lt;0,1,0)</f>
        <v/>
      </c>
      <c r="AC175" s="54">
        <f>IF(AD175=0,0,R175/(AD175*Inputs!$C$16))</f>
        <v/>
      </c>
      <c r="AD175" s="53">
        <f>IF(A175&gt;Inputs!$C$62,"",B175+C175)</f>
        <v/>
      </c>
      <c r="AE175" s="56">
        <f>IF(A175&gt;Inputs!$C$62,"", Inputs!$C$65*(1+Inputs!$C$89*POWER(MIN(1,IF(Inputs!$C$88=0,0,B175/Inputs!$C$88)),Inputs!$C$90)))</f>
        <v/>
      </c>
      <c r="AF175" s="52">
        <f>IF(A175&gt;Inputs!$C$62,"",IF(A175=1,Inputs!$C$86,MIN(Inputs!$C$86,Inputs!$C$87*M174)))</f>
        <v/>
      </c>
      <c r="AG175" s="51">
        <f>IF(A175&gt;Inputs!$C$62,"",MIN(0.5,MAX(0, Inputs!$C$67*L175 + Inputs!$C$68*(1-K175) + Inputs!$C$69*Inputs!$C$10)))</f>
        <v/>
      </c>
      <c r="AH175" s="51">
        <f>IF(A175&gt;Inputs!$C$62,"",INDEX(CapacityPlan!$G$7:$G$266,A175))</f>
        <v/>
      </c>
      <c r="AI175" s="54">
        <f>IF(A175&gt;Inputs!$C$62,"",INDEX(CapacityPlan!$J$7:$J$266,A175))</f>
        <v/>
      </c>
      <c r="AJ175" s="51">
        <f>IF(A175&gt;Inputs!$C$62,"",IF(I175=0,"",G175/I175))</f>
        <v/>
      </c>
    </row>
    <row r="176" ht="16" customHeight="1">
      <c r="A176" s="15" t="n">
        <v>154</v>
      </c>
      <c r="B176" s="50">
        <f>IF(A176&gt;Inputs!$C$62,"",IF(Inputs!$C$80=1,INDEX(Cohorts!$B$67:$B$326,A176),IF(A176=1,Inputs!$C$63,F175)))</f>
        <v/>
      </c>
      <c r="C176" s="50">
        <f>IF(A176&gt;Inputs!$C$62,"",IF(Inputs!$C$85=0,Inputs!$C$64,MIN(Inputs!$C$91,IF(AE176=0,0,AF176/AE176))))</f>
        <v/>
      </c>
      <c r="D176" s="51">
        <f>IF(A176&gt;Inputs!$C$62,"",IF(Inputs!$C$80=1,INDEX(Cohorts!$G$67:$G$326,A176),MAX(0, Inputs!$C$66 + Inputs!$C$67*L176 + Inputs!$C$68*(1-K176) + Inputs!$C$69*Inputs!$C$10)))</f>
        <v/>
      </c>
      <c r="E176" s="50">
        <f>IF(A176&gt;Inputs!$C$62,"",IF(Inputs!$C$80=1,INDEX(Cohorts!$H$67:$H$326,A176),D176*AD176))</f>
        <v/>
      </c>
      <c r="F176" s="50">
        <f>IF(A176&gt;Inputs!$C$62,"",IF(Inputs!$C$80=1,INDEX(Cohorts!$I$67:$I$326,A176),AD176-E176))</f>
        <v/>
      </c>
      <c r="G176" s="50">
        <f>IF(A176&gt;Inputs!$C$62,"",AD176)</f>
        <v/>
      </c>
      <c r="H176" s="50">
        <f>IF(A176&gt;Inputs!$C$62,"",INDEX(CapacityPlan!$E$7:$E$266,A176))</f>
        <v/>
      </c>
      <c r="I176" s="50">
        <f>IF(A176&gt;Inputs!$C$62,"",INDEX(CapacityPlan!$I$7:$I$266,A176))</f>
        <v/>
      </c>
      <c r="J176" s="50">
        <f>IF(A176&gt;Inputs!$C$62,"",IF(G176&gt;I176,I176,G176))</f>
        <v/>
      </c>
      <c r="K176" s="51">
        <f>IF(A176&gt;Inputs!$C$62,"",IF(G176=0,1,J176/G176))</f>
        <v/>
      </c>
      <c r="L176" s="51">
        <f>IF((Inputs!$C$36 + UnitEconomics!$B$12*Inputs!$C$37 + Inputs!$C$10*Inputs!$C$38 + Inputs!$C$70*(1-K176))&gt;1,1,(Inputs!$C$36 + UnitEconomics!$B$12*Inputs!$C$37 + Inputs!$C$10*Inputs!$C$38 + Inputs!$C$70*(1-K176)))</f>
        <v/>
      </c>
      <c r="M176" s="52">
        <f>IF(A176&gt;Inputs!$C$62,"",J176*Inputs!$C$7*(1-Inputs!$C$8)*(1-L176))</f>
        <v/>
      </c>
      <c r="N176" s="52">
        <f>IF(A176&gt;Inputs!$C$62,"",J176*UnitEconomics!$B$32*AI176 + (G176-J176)*Inputs!$C$71)</f>
        <v/>
      </c>
      <c r="O176" s="52">
        <f>M176-N176</f>
        <v/>
      </c>
      <c r="P176" s="52">
        <f>IF(A176&gt;Inputs!$C$62,"",Inputs!$C$40 + H176*Inputs!$C$41)</f>
        <v/>
      </c>
      <c r="Q176" s="52">
        <f>O176-P176</f>
        <v/>
      </c>
      <c r="R176" s="50">
        <f>IF(A176&gt;Inputs!$C$62,"",AD176*Inputs!$C$16*(Inputs!$C$9 + Inputs!$C$10*Inputs!$C$11 + Inputs!$C$12)*(1 + VLOOKUP(Inputs!$C$15,Lookups!$A$2:$B$20,2,TRUE)*(Scale!$B$9/IF(Scale!$B$8=0,1,Scale!$B$8)) + Inputs!$C$52))</f>
        <v/>
      </c>
      <c r="S176" s="50">
        <f>IF(A176=1,Scale!$B$13, W175)</f>
        <v/>
      </c>
      <c r="T176" s="50">
        <f>J176*Inputs!$C$16*(Inputs!$C$19 + Inputs!$C$20*Inputs!$C$21 + 1/Inputs!$C$18)</f>
        <v/>
      </c>
      <c r="U176" s="50">
        <f>MAX(0, (R176*(1+Inputs!$C$74)) - (S176 - T176))</f>
        <v/>
      </c>
      <c r="V176" s="50">
        <f>IF(A176&lt;=Inputs!$C$73,0,INDEX(U:U,ROW()-Inputs!$C$73))</f>
        <v/>
      </c>
      <c r="W176" s="50">
        <f>S176 - T176 + V176</f>
        <v/>
      </c>
      <c r="X176" s="52">
        <f>V176*Inputs!$C$17</f>
        <v/>
      </c>
      <c r="Y176" s="52">
        <f>IF(A176&gt;Inputs!$C$62,"",C176*AE176)</f>
        <v/>
      </c>
      <c r="Z176" s="52">
        <f>IF(A176=1,Inputs!$C$72,AA175)</f>
        <v/>
      </c>
      <c r="AA176" s="52">
        <f>Z176 + M176 - N176 - P176 - X176 - Y176</f>
        <v/>
      </c>
      <c r="AB176" s="53">
        <f>IF(AA176&lt;0,1,0)</f>
        <v/>
      </c>
      <c r="AC176" s="54">
        <f>IF(AD176=0,0,R176/(AD176*Inputs!$C$16))</f>
        <v/>
      </c>
      <c r="AD176" s="53">
        <f>IF(A176&gt;Inputs!$C$62,"",B176+C176)</f>
        <v/>
      </c>
      <c r="AE176" s="56">
        <f>IF(A176&gt;Inputs!$C$62,"", Inputs!$C$65*(1+Inputs!$C$89*POWER(MIN(1,IF(Inputs!$C$88=0,0,B176/Inputs!$C$88)),Inputs!$C$90)))</f>
        <v/>
      </c>
      <c r="AF176" s="52">
        <f>IF(A176&gt;Inputs!$C$62,"",IF(A176=1,Inputs!$C$86,MIN(Inputs!$C$86,Inputs!$C$87*M175)))</f>
        <v/>
      </c>
      <c r="AG176" s="51">
        <f>IF(A176&gt;Inputs!$C$62,"",MIN(0.5,MAX(0, Inputs!$C$67*L176 + Inputs!$C$68*(1-K176) + Inputs!$C$69*Inputs!$C$10)))</f>
        <v/>
      </c>
      <c r="AH176" s="51">
        <f>IF(A176&gt;Inputs!$C$62,"",INDEX(CapacityPlan!$G$7:$G$266,A176))</f>
        <v/>
      </c>
      <c r="AI176" s="54">
        <f>IF(A176&gt;Inputs!$C$62,"",INDEX(CapacityPlan!$J$7:$J$266,A176))</f>
        <v/>
      </c>
      <c r="AJ176" s="51">
        <f>IF(A176&gt;Inputs!$C$62,"",IF(I176=0,"",G176/I176))</f>
        <v/>
      </c>
    </row>
    <row r="177" ht="16" customHeight="1">
      <c r="A177" s="15" t="n">
        <v>155</v>
      </c>
      <c r="B177" s="50">
        <f>IF(A177&gt;Inputs!$C$62,"",IF(Inputs!$C$80=1,INDEX(Cohorts!$B$67:$B$326,A177),IF(A177=1,Inputs!$C$63,F176)))</f>
        <v/>
      </c>
      <c r="C177" s="50">
        <f>IF(A177&gt;Inputs!$C$62,"",IF(Inputs!$C$85=0,Inputs!$C$64,MIN(Inputs!$C$91,IF(AE177=0,0,AF177/AE177))))</f>
        <v/>
      </c>
      <c r="D177" s="51">
        <f>IF(A177&gt;Inputs!$C$62,"",IF(Inputs!$C$80=1,INDEX(Cohorts!$G$67:$G$326,A177),MAX(0, Inputs!$C$66 + Inputs!$C$67*L177 + Inputs!$C$68*(1-K177) + Inputs!$C$69*Inputs!$C$10)))</f>
        <v/>
      </c>
      <c r="E177" s="50">
        <f>IF(A177&gt;Inputs!$C$62,"",IF(Inputs!$C$80=1,INDEX(Cohorts!$H$67:$H$326,A177),D177*AD177))</f>
        <v/>
      </c>
      <c r="F177" s="50">
        <f>IF(A177&gt;Inputs!$C$62,"",IF(Inputs!$C$80=1,INDEX(Cohorts!$I$67:$I$326,A177),AD177-E177))</f>
        <v/>
      </c>
      <c r="G177" s="50">
        <f>IF(A177&gt;Inputs!$C$62,"",AD177)</f>
        <v/>
      </c>
      <c r="H177" s="50">
        <f>IF(A177&gt;Inputs!$C$62,"",INDEX(CapacityPlan!$E$7:$E$266,A177))</f>
        <v/>
      </c>
      <c r="I177" s="50">
        <f>IF(A177&gt;Inputs!$C$62,"",INDEX(CapacityPlan!$I$7:$I$266,A177))</f>
        <v/>
      </c>
      <c r="J177" s="50">
        <f>IF(A177&gt;Inputs!$C$62,"",IF(G177&gt;I177,I177,G177))</f>
        <v/>
      </c>
      <c r="K177" s="51">
        <f>IF(A177&gt;Inputs!$C$62,"",IF(G177=0,1,J177/G177))</f>
        <v/>
      </c>
      <c r="L177" s="51">
        <f>IF((Inputs!$C$36 + UnitEconomics!$B$12*Inputs!$C$37 + Inputs!$C$10*Inputs!$C$38 + Inputs!$C$70*(1-K177))&gt;1,1,(Inputs!$C$36 + UnitEconomics!$B$12*Inputs!$C$37 + Inputs!$C$10*Inputs!$C$38 + Inputs!$C$70*(1-K177)))</f>
        <v/>
      </c>
      <c r="M177" s="52">
        <f>IF(A177&gt;Inputs!$C$62,"",J177*Inputs!$C$7*(1-Inputs!$C$8)*(1-L177))</f>
        <v/>
      </c>
      <c r="N177" s="52">
        <f>IF(A177&gt;Inputs!$C$62,"",J177*UnitEconomics!$B$32*AI177 + (G177-J177)*Inputs!$C$71)</f>
        <v/>
      </c>
      <c r="O177" s="52">
        <f>M177-N177</f>
        <v/>
      </c>
      <c r="P177" s="52">
        <f>IF(A177&gt;Inputs!$C$62,"",Inputs!$C$40 + H177*Inputs!$C$41)</f>
        <v/>
      </c>
      <c r="Q177" s="52">
        <f>O177-P177</f>
        <v/>
      </c>
      <c r="R177" s="50">
        <f>IF(A177&gt;Inputs!$C$62,"",AD177*Inputs!$C$16*(Inputs!$C$9 + Inputs!$C$10*Inputs!$C$11 + Inputs!$C$12)*(1 + VLOOKUP(Inputs!$C$15,Lookups!$A$2:$B$20,2,TRUE)*(Scale!$B$9/IF(Scale!$B$8=0,1,Scale!$B$8)) + Inputs!$C$52))</f>
        <v/>
      </c>
      <c r="S177" s="50">
        <f>IF(A177=1,Scale!$B$13, W176)</f>
        <v/>
      </c>
      <c r="T177" s="50">
        <f>J177*Inputs!$C$16*(Inputs!$C$19 + Inputs!$C$20*Inputs!$C$21 + 1/Inputs!$C$18)</f>
        <v/>
      </c>
      <c r="U177" s="50">
        <f>MAX(0, (R177*(1+Inputs!$C$74)) - (S177 - T177))</f>
        <v/>
      </c>
      <c r="V177" s="50">
        <f>IF(A177&lt;=Inputs!$C$73,0,INDEX(U:U,ROW()-Inputs!$C$73))</f>
        <v/>
      </c>
      <c r="W177" s="50">
        <f>S177 - T177 + V177</f>
        <v/>
      </c>
      <c r="X177" s="52">
        <f>V177*Inputs!$C$17</f>
        <v/>
      </c>
      <c r="Y177" s="52">
        <f>IF(A177&gt;Inputs!$C$62,"",C177*AE177)</f>
        <v/>
      </c>
      <c r="Z177" s="52">
        <f>IF(A177=1,Inputs!$C$72,AA176)</f>
        <v/>
      </c>
      <c r="AA177" s="52">
        <f>Z177 + M177 - N177 - P177 - X177 - Y177</f>
        <v/>
      </c>
      <c r="AB177" s="53">
        <f>IF(AA177&lt;0,1,0)</f>
        <v/>
      </c>
      <c r="AC177" s="54">
        <f>IF(AD177=0,0,R177/(AD177*Inputs!$C$16))</f>
        <v/>
      </c>
      <c r="AD177" s="53">
        <f>IF(A177&gt;Inputs!$C$62,"",B177+C177)</f>
        <v/>
      </c>
      <c r="AE177" s="56">
        <f>IF(A177&gt;Inputs!$C$62,"", Inputs!$C$65*(1+Inputs!$C$89*POWER(MIN(1,IF(Inputs!$C$88=0,0,B177/Inputs!$C$88)),Inputs!$C$90)))</f>
        <v/>
      </c>
      <c r="AF177" s="52">
        <f>IF(A177&gt;Inputs!$C$62,"",IF(A177=1,Inputs!$C$86,MIN(Inputs!$C$86,Inputs!$C$87*M176)))</f>
        <v/>
      </c>
      <c r="AG177" s="51">
        <f>IF(A177&gt;Inputs!$C$62,"",MIN(0.5,MAX(0, Inputs!$C$67*L177 + Inputs!$C$68*(1-K177) + Inputs!$C$69*Inputs!$C$10)))</f>
        <v/>
      </c>
      <c r="AH177" s="51">
        <f>IF(A177&gt;Inputs!$C$62,"",INDEX(CapacityPlan!$G$7:$G$266,A177))</f>
        <v/>
      </c>
      <c r="AI177" s="54">
        <f>IF(A177&gt;Inputs!$C$62,"",INDEX(CapacityPlan!$J$7:$J$266,A177))</f>
        <v/>
      </c>
      <c r="AJ177" s="51">
        <f>IF(A177&gt;Inputs!$C$62,"",IF(I177=0,"",G177/I177))</f>
        <v/>
      </c>
    </row>
    <row r="178" ht="16" customHeight="1">
      <c r="A178" s="15" t="n">
        <v>156</v>
      </c>
      <c r="B178" s="50">
        <f>IF(A178&gt;Inputs!$C$62,"",IF(Inputs!$C$80=1,INDEX(Cohorts!$B$67:$B$326,A178),IF(A178=1,Inputs!$C$63,F177)))</f>
        <v/>
      </c>
      <c r="C178" s="50">
        <f>IF(A178&gt;Inputs!$C$62,"",IF(Inputs!$C$85=0,Inputs!$C$64,MIN(Inputs!$C$91,IF(AE178=0,0,AF178/AE178))))</f>
        <v/>
      </c>
      <c r="D178" s="51">
        <f>IF(A178&gt;Inputs!$C$62,"",IF(Inputs!$C$80=1,INDEX(Cohorts!$G$67:$G$326,A178),MAX(0, Inputs!$C$66 + Inputs!$C$67*L178 + Inputs!$C$68*(1-K178) + Inputs!$C$69*Inputs!$C$10)))</f>
        <v/>
      </c>
      <c r="E178" s="50">
        <f>IF(A178&gt;Inputs!$C$62,"",IF(Inputs!$C$80=1,INDEX(Cohorts!$H$67:$H$326,A178),D178*AD178))</f>
        <v/>
      </c>
      <c r="F178" s="50">
        <f>IF(A178&gt;Inputs!$C$62,"",IF(Inputs!$C$80=1,INDEX(Cohorts!$I$67:$I$326,A178),AD178-E178))</f>
        <v/>
      </c>
      <c r="G178" s="50">
        <f>IF(A178&gt;Inputs!$C$62,"",AD178)</f>
        <v/>
      </c>
      <c r="H178" s="50">
        <f>IF(A178&gt;Inputs!$C$62,"",INDEX(CapacityPlan!$E$7:$E$266,A178))</f>
        <v/>
      </c>
      <c r="I178" s="50">
        <f>IF(A178&gt;Inputs!$C$62,"",INDEX(CapacityPlan!$I$7:$I$266,A178))</f>
        <v/>
      </c>
      <c r="J178" s="50">
        <f>IF(A178&gt;Inputs!$C$62,"",IF(G178&gt;I178,I178,G178))</f>
        <v/>
      </c>
      <c r="K178" s="51">
        <f>IF(A178&gt;Inputs!$C$62,"",IF(G178=0,1,J178/G178))</f>
        <v/>
      </c>
      <c r="L178" s="51">
        <f>IF((Inputs!$C$36 + UnitEconomics!$B$12*Inputs!$C$37 + Inputs!$C$10*Inputs!$C$38 + Inputs!$C$70*(1-K178))&gt;1,1,(Inputs!$C$36 + UnitEconomics!$B$12*Inputs!$C$37 + Inputs!$C$10*Inputs!$C$38 + Inputs!$C$70*(1-K178)))</f>
        <v/>
      </c>
      <c r="M178" s="52">
        <f>IF(A178&gt;Inputs!$C$62,"",J178*Inputs!$C$7*(1-Inputs!$C$8)*(1-L178))</f>
        <v/>
      </c>
      <c r="N178" s="52">
        <f>IF(A178&gt;Inputs!$C$62,"",J178*UnitEconomics!$B$32*AI178 + (G178-J178)*Inputs!$C$71)</f>
        <v/>
      </c>
      <c r="O178" s="52">
        <f>M178-N178</f>
        <v/>
      </c>
      <c r="P178" s="52">
        <f>IF(A178&gt;Inputs!$C$62,"",Inputs!$C$40 + H178*Inputs!$C$41)</f>
        <v/>
      </c>
      <c r="Q178" s="52">
        <f>O178-P178</f>
        <v/>
      </c>
      <c r="R178" s="50">
        <f>IF(A178&gt;Inputs!$C$62,"",AD178*Inputs!$C$16*(Inputs!$C$9 + Inputs!$C$10*Inputs!$C$11 + Inputs!$C$12)*(1 + VLOOKUP(Inputs!$C$15,Lookups!$A$2:$B$20,2,TRUE)*(Scale!$B$9/IF(Scale!$B$8=0,1,Scale!$B$8)) + Inputs!$C$52))</f>
        <v/>
      </c>
      <c r="S178" s="50">
        <f>IF(A178=1,Scale!$B$13, W177)</f>
        <v/>
      </c>
      <c r="T178" s="50">
        <f>J178*Inputs!$C$16*(Inputs!$C$19 + Inputs!$C$20*Inputs!$C$21 + 1/Inputs!$C$18)</f>
        <v/>
      </c>
      <c r="U178" s="50">
        <f>MAX(0, (R178*(1+Inputs!$C$74)) - (S178 - T178))</f>
        <v/>
      </c>
      <c r="V178" s="50">
        <f>IF(A178&lt;=Inputs!$C$73,0,INDEX(U:U,ROW()-Inputs!$C$73))</f>
        <v/>
      </c>
      <c r="W178" s="50">
        <f>S178 - T178 + V178</f>
        <v/>
      </c>
      <c r="X178" s="52">
        <f>V178*Inputs!$C$17</f>
        <v/>
      </c>
      <c r="Y178" s="52">
        <f>IF(A178&gt;Inputs!$C$62,"",C178*AE178)</f>
        <v/>
      </c>
      <c r="Z178" s="52">
        <f>IF(A178=1,Inputs!$C$72,AA177)</f>
        <v/>
      </c>
      <c r="AA178" s="52">
        <f>Z178 + M178 - N178 - P178 - X178 - Y178</f>
        <v/>
      </c>
      <c r="AB178" s="53">
        <f>IF(AA178&lt;0,1,0)</f>
        <v/>
      </c>
      <c r="AC178" s="54">
        <f>IF(AD178=0,0,R178/(AD178*Inputs!$C$16))</f>
        <v/>
      </c>
      <c r="AD178" s="53">
        <f>IF(A178&gt;Inputs!$C$62,"",B178+C178)</f>
        <v/>
      </c>
      <c r="AE178" s="56">
        <f>IF(A178&gt;Inputs!$C$62,"", Inputs!$C$65*(1+Inputs!$C$89*POWER(MIN(1,IF(Inputs!$C$88=0,0,B178/Inputs!$C$88)),Inputs!$C$90)))</f>
        <v/>
      </c>
      <c r="AF178" s="52">
        <f>IF(A178&gt;Inputs!$C$62,"",IF(A178=1,Inputs!$C$86,MIN(Inputs!$C$86,Inputs!$C$87*M177)))</f>
        <v/>
      </c>
      <c r="AG178" s="51">
        <f>IF(A178&gt;Inputs!$C$62,"",MIN(0.5,MAX(0, Inputs!$C$67*L178 + Inputs!$C$68*(1-K178) + Inputs!$C$69*Inputs!$C$10)))</f>
        <v/>
      </c>
      <c r="AH178" s="51">
        <f>IF(A178&gt;Inputs!$C$62,"",INDEX(CapacityPlan!$G$7:$G$266,A178))</f>
        <v/>
      </c>
      <c r="AI178" s="54">
        <f>IF(A178&gt;Inputs!$C$62,"",INDEX(CapacityPlan!$J$7:$J$266,A178))</f>
        <v/>
      </c>
      <c r="AJ178" s="51">
        <f>IF(A178&gt;Inputs!$C$62,"",IF(I178=0,"",G178/I178))</f>
        <v/>
      </c>
    </row>
    <row r="179" ht="16" customHeight="1">
      <c r="A179" s="15" t="n">
        <v>157</v>
      </c>
      <c r="B179" s="50">
        <f>IF(A179&gt;Inputs!$C$62,"",IF(Inputs!$C$80=1,INDEX(Cohorts!$B$67:$B$326,A179),IF(A179=1,Inputs!$C$63,F178)))</f>
        <v/>
      </c>
      <c r="C179" s="50">
        <f>IF(A179&gt;Inputs!$C$62,"",IF(Inputs!$C$85=0,Inputs!$C$64,MIN(Inputs!$C$91,IF(AE179=0,0,AF179/AE179))))</f>
        <v/>
      </c>
      <c r="D179" s="51">
        <f>IF(A179&gt;Inputs!$C$62,"",IF(Inputs!$C$80=1,INDEX(Cohorts!$G$67:$G$326,A179),MAX(0, Inputs!$C$66 + Inputs!$C$67*L179 + Inputs!$C$68*(1-K179) + Inputs!$C$69*Inputs!$C$10)))</f>
        <v/>
      </c>
      <c r="E179" s="50">
        <f>IF(A179&gt;Inputs!$C$62,"",IF(Inputs!$C$80=1,INDEX(Cohorts!$H$67:$H$326,A179),D179*AD179))</f>
        <v/>
      </c>
      <c r="F179" s="50">
        <f>IF(A179&gt;Inputs!$C$62,"",IF(Inputs!$C$80=1,INDEX(Cohorts!$I$67:$I$326,A179),AD179-E179))</f>
        <v/>
      </c>
      <c r="G179" s="50">
        <f>IF(A179&gt;Inputs!$C$62,"",AD179)</f>
        <v/>
      </c>
      <c r="H179" s="50">
        <f>IF(A179&gt;Inputs!$C$62,"",INDEX(CapacityPlan!$E$7:$E$266,A179))</f>
        <v/>
      </c>
      <c r="I179" s="50">
        <f>IF(A179&gt;Inputs!$C$62,"",INDEX(CapacityPlan!$I$7:$I$266,A179))</f>
        <v/>
      </c>
      <c r="J179" s="50">
        <f>IF(A179&gt;Inputs!$C$62,"",IF(G179&gt;I179,I179,G179))</f>
        <v/>
      </c>
      <c r="K179" s="51">
        <f>IF(A179&gt;Inputs!$C$62,"",IF(G179=0,1,J179/G179))</f>
        <v/>
      </c>
      <c r="L179" s="51">
        <f>IF((Inputs!$C$36 + UnitEconomics!$B$12*Inputs!$C$37 + Inputs!$C$10*Inputs!$C$38 + Inputs!$C$70*(1-K179))&gt;1,1,(Inputs!$C$36 + UnitEconomics!$B$12*Inputs!$C$37 + Inputs!$C$10*Inputs!$C$38 + Inputs!$C$70*(1-K179)))</f>
        <v/>
      </c>
      <c r="M179" s="52">
        <f>IF(A179&gt;Inputs!$C$62,"",J179*Inputs!$C$7*(1-Inputs!$C$8)*(1-L179))</f>
        <v/>
      </c>
      <c r="N179" s="52">
        <f>IF(A179&gt;Inputs!$C$62,"",J179*UnitEconomics!$B$32*AI179 + (G179-J179)*Inputs!$C$71)</f>
        <v/>
      </c>
      <c r="O179" s="52">
        <f>M179-N179</f>
        <v/>
      </c>
      <c r="P179" s="52">
        <f>IF(A179&gt;Inputs!$C$62,"",Inputs!$C$40 + H179*Inputs!$C$41)</f>
        <v/>
      </c>
      <c r="Q179" s="52">
        <f>O179-P179</f>
        <v/>
      </c>
      <c r="R179" s="50">
        <f>IF(A179&gt;Inputs!$C$62,"",AD179*Inputs!$C$16*(Inputs!$C$9 + Inputs!$C$10*Inputs!$C$11 + Inputs!$C$12)*(1 + VLOOKUP(Inputs!$C$15,Lookups!$A$2:$B$20,2,TRUE)*(Scale!$B$9/IF(Scale!$B$8=0,1,Scale!$B$8)) + Inputs!$C$52))</f>
        <v/>
      </c>
      <c r="S179" s="50">
        <f>IF(A179=1,Scale!$B$13, W178)</f>
        <v/>
      </c>
      <c r="T179" s="50">
        <f>J179*Inputs!$C$16*(Inputs!$C$19 + Inputs!$C$20*Inputs!$C$21 + 1/Inputs!$C$18)</f>
        <v/>
      </c>
      <c r="U179" s="50">
        <f>MAX(0, (R179*(1+Inputs!$C$74)) - (S179 - T179))</f>
        <v/>
      </c>
      <c r="V179" s="50">
        <f>IF(A179&lt;=Inputs!$C$73,0,INDEX(U:U,ROW()-Inputs!$C$73))</f>
        <v/>
      </c>
      <c r="W179" s="50">
        <f>S179 - T179 + V179</f>
        <v/>
      </c>
      <c r="X179" s="52">
        <f>V179*Inputs!$C$17</f>
        <v/>
      </c>
      <c r="Y179" s="52">
        <f>IF(A179&gt;Inputs!$C$62,"",C179*AE179)</f>
        <v/>
      </c>
      <c r="Z179" s="52">
        <f>IF(A179=1,Inputs!$C$72,AA178)</f>
        <v/>
      </c>
      <c r="AA179" s="52">
        <f>Z179 + M179 - N179 - P179 - X179 - Y179</f>
        <v/>
      </c>
      <c r="AB179" s="53">
        <f>IF(AA179&lt;0,1,0)</f>
        <v/>
      </c>
      <c r="AC179" s="54">
        <f>IF(AD179=0,0,R179/(AD179*Inputs!$C$16))</f>
        <v/>
      </c>
      <c r="AD179" s="53">
        <f>IF(A179&gt;Inputs!$C$62,"",B179+C179)</f>
        <v/>
      </c>
      <c r="AE179" s="56">
        <f>IF(A179&gt;Inputs!$C$62,"", Inputs!$C$65*(1+Inputs!$C$89*POWER(MIN(1,IF(Inputs!$C$88=0,0,B179/Inputs!$C$88)),Inputs!$C$90)))</f>
        <v/>
      </c>
      <c r="AF179" s="52">
        <f>IF(A179&gt;Inputs!$C$62,"",IF(A179=1,Inputs!$C$86,MIN(Inputs!$C$86,Inputs!$C$87*M178)))</f>
        <v/>
      </c>
      <c r="AG179" s="51">
        <f>IF(A179&gt;Inputs!$C$62,"",MIN(0.5,MAX(0, Inputs!$C$67*L179 + Inputs!$C$68*(1-K179) + Inputs!$C$69*Inputs!$C$10)))</f>
        <v/>
      </c>
      <c r="AH179" s="51">
        <f>IF(A179&gt;Inputs!$C$62,"",INDEX(CapacityPlan!$G$7:$G$266,A179))</f>
        <v/>
      </c>
      <c r="AI179" s="54">
        <f>IF(A179&gt;Inputs!$C$62,"",INDEX(CapacityPlan!$J$7:$J$266,A179))</f>
        <v/>
      </c>
      <c r="AJ179" s="51">
        <f>IF(A179&gt;Inputs!$C$62,"",IF(I179=0,"",G179/I179))</f>
        <v/>
      </c>
    </row>
    <row r="180" ht="16" customHeight="1">
      <c r="A180" s="15" t="n">
        <v>158</v>
      </c>
      <c r="B180" s="50">
        <f>IF(A180&gt;Inputs!$C$62,"",IF(Inputs!$C$80=1,INDEX(Cohorts!$B$67:$B$326,A180),IF(A180=1,Inputs!$C$63,F179)))</f>
        <v/>
      </c>
      <c r="C180" s="50">
        <f>IF(A180&gt;Inputs!$C$62,"",IF(Inputs!$C$85=0,Inputs!$C$64,MIN(Inputs!$C$91,IF(AE180=0,0,AF180/AE180))))</f>
        <v/>
      </c>
      <c r="D180" s="51">
        <f>IF(A180&gt;Inputs!$C$62,"",IF(Inputs!$C$80=1,INDEX(Cohorts!$G$67:$G$326,A180),MAX(0, Inputs!$C$66 + Inputs!$C$67*L180 + Inputs!$C$68*(1-K180) + Inputs!$C$69*Inputs!$C$10)))</f>
        <v/>
      </c>
      <c r="E180" s="50">
        <f>IF(A180&gt;Inputs!$C$62,"",IF(Inputs!$C$80=1,INDEX(Cohorts!$H$67:$H$326,A180),D180*AD180))</f>
        <v/>
      </c>
      <c r="F180" s="50">
        <f>IF(A180&gt;Inputs!$C$62,"",IF(Inputs!$C$80=1,INDEX(Cohorts!$I$67:$I$326,A180),AD180-E180))</f>
        <v/>
      </c>
      <c r="G180" s="50">
        <f>IF(A180&gt;Inputs!$C$62,"",AD180)</f>
        <v/>
      </c>
      <c r="H180" s="50">
        <f>IF(A180&gt;Inputs!$C$62,"",INDEX(CapacityPlan!$E$7:$E$266,A180))</f>
        <v/>
      </c>
      <c r="I180" s="50">
        <f>IF(A180&gt;Inputs!$C$62,"",INDEX(CapacityPlan!$I$7:$I$266,A180))</f>
        <v/>
      </c>
      <c r="J180" s="50">
        <f>IF(A180&gt;Inputs!$C$62,"",IF(G180&gt;I180,I180,G180))</f>
        <v/>
      </c>
      <c r="K180" s="51">
        <f>IF(A180&gt;Inputs!$C$62,"",IF(G180=0,1,J180/G180))</f>
        <v/>
      </c>
      <c r="L180" s="51">
        <f>IF((Inputs!$C$36 + UnitEconomics!$B$12*Inputs!$C$37 + Inputs!$C$10*Inputs!$C$38 + Inputs!$C$70*(1-K180))&gt;1,1,(Inputs!$C$36 + UnitEconomics!$B$12*Inputs!$C$37 + Inputs!$C$10*Inputs!$C$38 + Inputs!$C$70*(1-K180)))</f>
        <v/>
      </c>
      <c r="M180" s="52">
        <f>IF(A180&gt;Inputs!$C$62,"",J180*Inputs!$C$7*(1-Inputs!$C$8)*(1-L180))</f>
        <v/>
      </c>
      <c r="N180" s="52">
        <f>IF(A180&gt;Inputs!$C$62,"",J180*UnitEconomics!$B$32*AI180 + (G180-J180)*Inputs!$C$71)</f>
        <v/>
      </c>
      <c r="O180" s="52">
        <f>M180-N180</f>
        <v/>
      </c>
      <c r="P180" s="52">
        <f>IF(A180&gt;Inputs!$C$62,"",Inputs!$C$40 + H180*Inputs!$C$41)</f>
        <v/>
      </c>
      <c r="Q180" s="52">
        <f>O180-P180</f>
        <v/>
      </c>
      <c r="R180" s="50">
        <f>IF(A180&gt;Inputs!$C$62,"",AD180*Inputs!$C$16*(Inputs!$C$9 + Inputs!$C$10*Inputs!$C$11 + Inputs!$C$12)*(1 + VLOOKUP(Inputs!$C$15,Lookups!$A$2:$B$20,2,TRUE)*(Scale!$B$9/IF(Scale!$B$8=0,1,Scale!$B$8)) + Inputs!$C$52))</f>
        <v/>
      </c>
      <c r="S180" s="50">
        <f>IF(A180=1,Scale!$B$13, W179)</f>
        <v/>
      </c>
      <c r="T180" s="50">
        <f>J180*Inputs!$C$16*(Inputs!$C$19 + Inputs!$C$20*Inputs!$C$21 + 1/Inputs!$C$18)</f>
        <v/>
      </c>
      <c r="U180" s="50">
        <f>MAX(0, (R180*(1+Inputs!$C$74)) - (S180 - T180))</f>
        <v/>
      </c>
      <c r="V180" s="50">
        <f>IF(A180&lt;=Inputs!$C$73,0,INDEX(U:U,ROW()-Inputs!$C$73))</f>
        <v/>
      </c>
      <c r="W180" s="50">
        <f>S180 - T180 + V180</f>
        <v/>
      </c>
      <c r="X180" s="52">
        <f>V180*Inputs!$C$17</f>
        <v/>
      </c>
      <c r="Y180" s="52">
        <f>IF(A180&gt;Inputs!$C$62,"",C180*AE180)</f>
        <v/>
      </c>
      <c r="Z180" s="52">
        <f>IF(A180=1,Inputs!$C$72,AA179)</f>
        <v/>
      </c>
      <c r="AA180" s="52">
        <f>Z180 + M180 - N180 - P180 - X180 - Y180</f>
        <v/>
      </c>
      <c r="AB180" s="53">
        <f>IF(AA180&lt;0,1,0)</f>
        <v/>
      </c>
      <c r="AC180" s="54">
        <f>IF(AD180=0,0,R180/(AD180*Inputs!$C$16))</f>
        <v/>
      </c>
      <c r="AD180" s="53">
        <f>IF(A180&gt;Inputs!$C$62,"",B180+C180)</f>
        <v/>
      </c>
      <c r="AE180" s="56">
        <f>IF(A180&gt;Inputs!$C$62,"", Inputs!$C$65*(1+Inputs!$C$89*POWER(MIN(1,IF(Inputs!$C$88=0,0,B180/Inputs!$C$88)),Inputs!$C$90)))</f>
        <v/>
      </c>
      <c r="AF180" s="52">
        <f>IF(A180&gt;Inputs!$C$62,"",IF(A180=1,Inputs!$C$86,MIN(Inputs!$C$86,Inputs!$C$87*M179)))</f>
        <v/>
      </c>
      <c r="AG180" s="51">
        <f>IF(A180&gt;Inputs!$C$62,"",MIN(0.5,MAX(0, Inputs!$C$67*L180 + Inputs!$C$68*(1-K180) + Inputs!$C$69*Inputs!$C$10)))</f>
        <v/>
      </c>
      <c r="AH180" s="51">
        <f>IF(A180&gt;Inputs!$C$62,"",INDEX(CapacityPlan!$G$7:$G$266,A180))</f>
        <v/>
      </c>
      <c r="AI180" s="54">
        <f>IF(A180&gt;Inputs!$C$62,"",INDEX(CapacityPlan!$J$7:$J$266,A180))</f>
        <v/>
      </c>
      <c r="AJ180" s="51">
        <f>IF(A180&gt;Inputs!$C$62,"",IF(I180=0,"",G180/I180))</f>
        <v/>
      </c>
    </row>
    <row r="181" ht="16" customHeight="1">
      <c r="A181" s="15" t="n">
        <v>159</v>
      </c>
      <c r="B181" s="50">
        <f>IF(A181&gt;Inputs!$C$62,"",IF(Inputs!$C$80=1,INDEX(Cohorts!$B$67:$B$326,A181),IF(A181=1,Inputs!$C$63,F180)))</f>
        <v/>
      </c>
      <c r="C181" s="50">
        <f>IF(A181&gt;Inputs!$C$62,"",IF(Inputs!$C$85=0,Inputs!$C$64,MIN(Inputs!$C$91,IF(AE181=0,0,AF181/AE181))))</f>
        <v/>
      </c>
      <c r="D181" s="51">
        <f>IF(A181&gt;Inputs!$C$62,"",IF(Inputs!$C$80=1,INDEX(Cohorts!$G$67:$G$326,A181),MAX(0, Inputs!$C$66 + Inputs!$C$67*L181 + Inputs!$C$68*(1-K181) + Inputs!$C$69*Inputs!$C$10)))</f>
        <v/>
      </c>
      <c r="E181" s="50">
        <f>IF(A181&gt;Inputs!$C$62,"",IF(Inputs!$C$80=1,INDEX(Cohorts!$H$67:$H$326,A181),D181*AD181))</f>
        <v/>
      </c>
      <c r="F181" s="50">
        <f>IF(A181&gt;Inputs!$C$62,"",IF(Inputs!$C$80=1,INDEX(Cohorts!$I$67:$I$326,A181),AD181-E181))</f>
        <v/>
      </c>
      <c r="G181" s="50">
        <f>IF(A181&gt;Inputs!$C$62,"",AD181)</f>
        <v/>
      </c>
      <c r="H181" s="50">
        <f>IF(A181&gt;Inputs!$C$62,"",INDEX(CapacityPlan!$E$7:$E$266,A181))</f>
        <v/>
      </c>
      <c r="I181" s="50">
        <f>IF(A181&gt;Inputs!$C$62,"",INDEX(CapacityPlan!$I$7:$I$266,A181))</f>
        <v/>
      </c>
      <c r="J181" s="50">
        <f>IF(A181&gt;Inputs!$C$62,"",IF(G181&gt;I181,I181,G181))</f>
        <v/>
      </c>
      <c r="K181" s="51">
        <f>IF(A181&gt;Inputs!$C$62,"",IF(G181=0,1,J181/G181))</f>
        <v/>
      </c>
      <c r="L181" s="51">
        <f>IF((Inputs!$C$36 + UnitEconomics!$B$12*Inputs!$C$37 + Inputs!$C$10*Inputs!$C$38 + Inputs!$C$70*(1-K181))&gt;1,1,(Inputs!$C$36 + UnitEconomics!$B$12*Inputs!$C$37 + Inputs!$C$10*Inputs!$C$38 + Inputs!$C$70*(1-K181)))</f>
        <v/>
      </c>
      <c r="M181" s="52">
        <f>IF(A181&gt;Inputs!$C$62,"",J181*Inputs!$C$7*(1-Inputs!$C$8)*(1-L181))</f>
        <v/>
      </c>
      <c r="N181" s="52">
        <f>IF(A181&gt;Inputs!$C$62,"",J181*UnitEconomics!$B$32*AI181 + (G181-J181)*Inputs!$C$71)</f>
        <v/>
      </c>
      <c r="O181" s="52">
        <f>M181-N181</f>
        <v/>
      </c>
      <c r="P181" s="52">
        <f>IF(A181&gt;Inputs!$C$62,"",Inputs!$C$40 + H181*Inputs!$C$41)</f>
        <v/>
      </c>
      <c r="Q181" s="52">
        <f>O181-P181</f>
        <v/>
      </c>
      <c r="R181" s="50">
        <f>IF(A181&gt;Inputs!$C$62,"",AD181*Inputs!$C$16*(Inputs!$C$9 + Inputs!$C$10*Inputs!$C$11 + Inputs!$C$12)*(1 + VLOOKUP(Inputs!$C$15,Lookups!$A$2:$B$20,2,TRUE)*(Scale!$B$9/IF(Scale!$B$8=0,1,Scale!$B$8)) + Inputs!$C$52))</f>
        <v/>
      </c>
      <c r="S181" s="50">
        <f>IF(A181=1,Scale!$B$13, W180)</f>
        <v/>
      </c>
      <c r="T181" s="50">
        <f>J181*Inputs!$C$16*(Inputs!$C$19 + Inputs!$C$20*Inputs!$C$21 + 1/Inputs!$C$18)</f>
        <v/>
      </c>
      <c r="U181" s="50">
        <f>MAX(0, (R181*(1+Inputs!$C$74)) - (S181 - T181))</f>
        <v/>
      </c>
      <c r="V181" s="50">
        <f>IF(A181&lt;=Inputs!$C$73,0,INDEX(U:U,ROW()-Inputs!$C$73))</f>
        <v/>
      </c>
      <c r="W181" s="50">
        <f>S181 - T181 + V181</f>
        <v/>
      </c>
      <c r="X181" s="52">
        <f>V181*Inputs!$C$17</f>
        <v/>
      </c>
      <c r="Y181" s="52">
        <f>IF(A181&gt;Inputs!$C$62,"",C181*AE181)</f>
        <v/>
      </c>
      <c r="Z181" s="52">
        <f>IF(A181=1,Inputs!$C$72,AA180)</f>
        <v/>
      </c>
      <c r="AA181" s="52">
        <f>Z181 + M181 - N181 - P181 - X181 - Y181</f>
        <v/>
      </c>
      <c r="AB181" s="53">
        <f>IF(AA181&lt;0,1,0)</f>
        <v/>
      </c>
      <c r="AC181" s="54">
        <f>IF(AD181=0,0,R181/(AD181*Inputs!$C$16))</f>
        <v/>
      </c>
      <c r="AD181" s="53">
        <f>IF(A181&gt;Inputs!$C$62,"",B181+C181)</f>
        <v/>
      </c>
      <c r="AE181" s="56">
        <f>IF(A181&gt;Inputs!$C$62,"", Inputs!$C$65*(1+Inputs!$C$89*POWER(MIN(1,IF(Inputs!$C$88=0,0,B181/Inputs!$C$88)),Inputs!$C$90)))</f>
        <v/>
      </c>
      <c r="AF181" s="52">
        <f>IF(A181&gt;Inputs!$C$62,"",IF(A181=1,Inputs!$C$86,MIN(Inputs!$C$86,Inputs!$C$87*M180)))</f>
        <v/>
      </c>
      <c r="AG181" s="51">
        <f>IF(A181&gt;Inputs!$C$62,"",MIN(0.5,MAX(0, Inputs!$C$67*L181 + Inputs!$C$68*(1-K181) + Inputs!$C$69*Inputs!$C$10)))</f>
        <v/>
      </c>
      <c r="AH181" s="51">
        <f>IF(A181&gt;Inputs!$C$62,"",INDEX(CapacityPlan!$G$7:$G$266,A181))</f>
        <v/>
      </c>
      <c r="AI181" s="54">
        <f>IF(A181&gt;Inputs!$C$62,"",INDEX(CapacityPlan!$J$7:$J$266,A181))</f>
        <v/>
      </c>
      <c r="AJ181" s="51">
        <f>IF(A181&gt;Inputs!$C$62,"",IF(I181=0,"",G181/I181))</f>
        <v/>
      </c>
    </row>
    <row r="182" ht="16" customHeight="1">
      <c r="A182" s="15" t="n">
        <v>160</v>
      </c>
      <c r="B182" s="50">
        <f>IF(A182&gt;Inputs!$C$62,"",IF(Inputs!$C$80=1,INDEX(Cohorts!$B$67:$B$326,A182),IF(A182=1,Inputs!$C$63,F181)))</f>
        <v/>
      </c>
      <c r="C182" s="50">
        <f>IF(A182&gt;Inputs!$C$62,"",IF(Inputs!$C$85=0,Inputs!$C$64,MIN(Inputs!$C$91,IF(AE182=0,0,AF182/AE182))))</f>
        <v/>
      </c>
      <c r="D182" s="51">
        <f>IF(A182&gt;Inputs!$C$62,"",IF(Inputs!$C$80=1,INDEX(Cohorts!$G$67:$G$326,A182),MAX(0, Inputs!$C$66 + Inputs!$C$67*L182 + Inputs!$C$68*(1-K182) + Inputs!$C$69*Inputs!$C$10)))</f>
        <v/>
      </c>
      <c r="E182" s="50">
        <f>IF(A182&gt;Inputs!$C$62,"",IF(Inputs!$C$80=1,INDEX(Cohorts!$H$67:$H$326,A182),D182*AD182))</f>
        <v/>
      </c>
      <c r="F182" s="50">
        <f>IF(A182&gt;Inputs!$C$62,"",IF(Inputs!$C$80=1,INDEX(Cohorts!$I$67:$I$326,A182),AD182-E182))</f>
        <v/>
      </c>
      <c r="G182" s="50">
        <f>IF(A182&gt;Inputs!$C$62,"",AD182)</f>
        <v/>
      </c>
      <c r="H182" s="50">
        <f>IF(A182&gt;Inputs!$C$62,"",INDEX(CapacityPlan!$E$7:$E$266,A182))</f>
        <v/>
      </c>
      <c r="I182" s="50">
        <f>IF(A182&gt;Inputs!$C$62,"",INDEX(CapacityPlan!$I$7:$I$266,A182))</f>
        <v/>
      </c>
      <c r="J182" s="50">
        <f>IF(A182&gt;Inputs!$C$62,"",IF(G182&gt;I182,I182,G182))</f>
        <v/>
      </c>
      <c r="K182" s="51">
        <f>IF(A182&gt;Inputs!$C$62,"",IF(G182=0,1,J182/G182))</f>
        <v/>
      </c>
      <c r="L182" s="51">
        <f>IF((Inputs!$C$36 + UnitEconomics!$B$12*Inputs!$C$37 + Inputs!$C$10*Inputs!$C$38 + Inputs!$C$70*(1-K182))&gt;1,1,(Inputs!$C$36 + UnitEconomics!$B$12*Inputs!$C$37 + Inputs!$C$10*Inputs!$C$38 + Inputs!$C$70*(1-K182)))</f>
        <v/>
      </c>
      <c r="M182" s="52">
        <f>IF(A182&gt;Inputs!$C$62,"",J182*Inputs!$C$7*(1-Inputs!$C$8)*(1-L182))</f>
        <v/>
      </c>
      <c r="N182" s="52">
        <f>IF(A182&gt;Inputs!$C$62,"",J182*UnitEconomics!$B$32*AI182 + (G182-J182)*Inputs!$C$71)</f>
        <v/>
      </c>
      <c r="O182" s="52">
        <f>M182-N182</f>
        <v/>
      </c>
      <c r="P182" s="52">
        <f>IF(A182&gt;Inputs!$C$62,"",Inputs!$C$40 + H182*Inputs!$C$41)</f>
        <v/>
      </c>
      <c r="Q182" s="52">
        <f>O182-P182</f>
        <v/>
      </c>
      <c r="R182" s="50">
        <f>IF(A182&gt;Inputs!$C$62,"",AD182*Inputs!$C$16*(Inputs!$C$9 + Inputs!$C$10*Inputs!$C$11 + Inputs!$C$12)*(1 + VLOOKUP(Inputs!$C$15,Lookups!$A$2:$B$20,2,TRUE)*(Scale!$B$9/IF(Scale!$B$8=0,1,Scale!$B$8)) + Inputs!$C$52))</f>
        <v/>
      </c>
      <c r="S182" s="50">
        <f>IF(A182=1,Scale!$B$13, W181)</f>
        <v/>
      </c>
      <c r="T182" s="50">
        <f>J182*Inputs!$C$16*(Inputs!$C$19 + Inputs!$C$20*Inputs!$C$21 + 1/Inputs!$C$18)</f>
        <v/>
      </c>
      <c r="U182" s="50">
        <f>MAX(0, (R182*(1+Inputs!$C$74)) - (S182 - T182))</f>
        <v/>
      </c>
      <c r="V182" s="50">
        <f>IF(A182&lt;=Inputs!$C$73,0,INDEX(U:U,ROW()-Inputs!$C$73))</f>
        <v/>
      </c>
      <c r="W182" s="50">
        <f>S182 - T182 + V182</f>
        <v/>
      </c>
      <c r="X182" s="52">
        <f>V182*Inputs!$C$17</f>
        <v/>
      </c>
      <c r="Y182" s="52">
        <f>IF(A182&gt;Inputs!$C$62,"",C182*AE182)</f>
        <v/>
      </c>
      <c r="Z182" s="52">
        <f>IF(A182=1,Inputs!$C$72,AA181)</f>
        <v/>
      </c>
      <c r="AA182" s="52">
        <f>Z182 + M182 - N182 - P182 - X182 - Y182</f>
        <v/>
      </c>
      <c r="AB182" s="53">
        <f>IF(AA182&lt;0,1,0)</f>
        <v/>
      </c>
      <c r="AC182" s="54">
        <f>IF(AD182=0,0,R182/(AD182*Inputs!$C$16))</f>
        <v/>
      </c>
      <c r="AD182" s="53">
        <f>IF(A182&gt;Inputs!$C$62,"",B182+C182)</f>
        <v/>
      </c>
      <c r="AE182" s="56">
        <f>IF(A182&gt;Inputs!$C$62,"", Inputs!$C$65*(1+Inputs!$C$89*POWER(MIN(1,IF(Inputs!$C$88=0,0,B182/Inputs!$C$88)),Inputs!$C$90)))</f>
        <v/>
      </c>
      <c r="AF182" s="52">
        <f>IF(A182&gt;Inputs!$C$62,"",IF(A182=1,Inputs!$C$86,MIN(Inputs!$C$86,Inputs!$C$87*M181)))</f>
        <v/>
      </c>
      <c r="AG182" s="51">
        <f>IF(A182&gt;Inputs!$C$62,"",MIN(0.5,MAX(0, Inputs!$C$67*L182 + Inputs!$C$68*(1-K182) + Inputs!$C$69*Inputs!$C$10)))</f>
        <v/>
      </c>
      <c r="AH182" s="51">
        <f>IF(A182&gt;Inputs!$C$62,"",INDEX(CapacityPlan!$G$7:$G$266,A182))</f>
        <v/>
      </c>
      <c r="AI182" s="54">
        <f>IF(A182&gt;Inputs!$C$62,"",INDEX(CapacityPlan!$J$7:$J$266,A182))</f>
        <v/>
      </c>
      <c r="AJ182" s="51">
        <f>IF(A182&gt;Inputs!$C$62,"",IF(I182=0,"",G182/I182))</f>
        <v/>
      </c>
    </row>
    <row r="183" ht="16" customHeight="1">
      <c r="A183" s="15" t="n">
        <v>161</v>
      </c>
      <c r="B183" s="50">
        <f>IF(A183&gt;Inputs!$C$62,"",IF(Inputs!$C$80=1,INDEX(Cohorts!$B$67:$B$326,A183),IF(A183=1,Inputs!$C$63,F182)))</f>
        <v/>
      </c>
      <c r="C183" s="50">
        <f>IF(A183&gt;Inputs!$C$62,"",IF(Inputs!$C$85=0,Inputs!$C$64,MIN(Inputs!$C$91,IF(AE183=0,0,AF183/AE183))))</f>
        <v/>
      </c>
      <c r="D183" s="51">
        <f>IF(A183&gt;Inputs!$C$62,"",IF(Inputs!$C$80=1,INDEX(Cohorts!$G$67:$G$326,A183),MAX(0, Inputs!$C$66 + Inputs!$C$67*L183 + Inputs!$C$68*(1-K183) + Inputs!$C$69*Inputs!$C$10)))</f>
        <v/>
      </c>
      <c r="E183" s="50">
        <f>IF(A183&gt;Inputs!$C$62,"",IF(Inputs!$C$80=1,INDEX(Cohorts!$H$67:$H$326,A183),D183*AD183))</f>
        <v/>
      </c>
      <c r="F183" s="50">
        <f>IF(A183&gt;Inputs!$C$62,"",IF(Inputs!$C$80=1,INDEX(Cohorts!$I$67:$I$326,A183),AD183-E183))</f>
        <v/>
      </c>
      <c r="G183" s="50">
        <f>IF(A183&gt;Inputs!$C$62,"",AD183)</f>
        <v/>
      </c>
      <c r="H183" s="50">
        <f>IF(A183&gt;Inputs!$C$62,"",INDEX(CapacityPlan!$E$7:$E$266,A183))</f>
        <v/>
      </c>
      <c r="I183" s="50">
        <f>IF(A183&gt;Inputs!$C$62,"",INDEX(CapacityPlan!$I$7:$I$266,A183))</f>
        <v/>
      </c>
      <c r="J183" s="50">
        <f>IF(A183&gt;Inputs!$C$62,"",IF(G183&gt;I183,I183,G183))</f>
        <v/>
      </c>
      <c r="K183" s="51">
        <f>IF(A183&gt;Inputs!$C$62,"",IF(G183=0,1,J183/G183))</f>
        <v/>
      </c>
      <c r="L183" s="51">
        <f>IF((Inputs!$C$36 + UnitEconomics!$B$12*Inputs!$C$37 + Inputs!$C$10*Inputs!$C$38 + Inputs!$C$70*(1-K183))&gt;1,1,(Inputs!$C$36 + UnitEconomics!$B$12*Inputs!$C$37 + Inputs!$C$10*Inputs!$C$38 + Inputs!$C$70*(1-K183)))</f>
        <v/>
      </c>
      <c r="M183" s="52">
        <f>IF(A183&gt;Inputs!$C$62,"",J183*Inputs!$C$7*(1-Inputs!$C$8)*(1-L183))</f>
        <v/>
      </c>
      <c r="N183" s="52">
        <f>IF(A183&gt;Inputs!$C$62,"",J183*UnitEconomics!$B$32*AI183 + (G183-J183)*Inputs!$C$71)</f>
        <v/>
      </c>
      <c r="O183" s="52">
        <f>M183-N183</f>
        <v/>
      </c>
      <c r="P183" s="52">
        <f>IF(A183&gt;Inputs!$C$62,"",Inputs!$C$40 + H183*Inputs!$C$41)</f>
        <v/>
      </c>
      <c r="Q183" s="52">
        <f>O183-P183</f>
        <v/>
      </c>
      <c r="R183" s="50">
        <f>IF(A183&gt;Inputs!$C$62,"",AD183*Inputs!$C$16*(Inputs!$C$9 + Inputs!$C$10*Inputs!$C$11 + Inputs!$C$12)*(1 + VLOOKUP(Inputs!$C$15,Lookups!$A$2:$B$20,2,TRUE)*(Scale!$B$9/IF(Scale!$B$8=0,1,Scale!$B$8)) + Inputs!$C$52))</f>
        <v/>
      </c>
      <c r="S183" s="50">
        <f>IF(A183=1,Scale!$B$13, W182)</f>
        <v/>
      </c>
      <c r="T183" s="50">
        <f>J183*Inputs!$C$16*(Inputs!$C$19 + Inputs!$C$20*Inputs!$C$21 + 1/Inputs!$C$18)</f>
        <v/>
      </c>
      <c r="U183" s="50">
        <f>MAX(0, (R183*(1+Inputs!$C$74)) - (S183 - T183))</f>
        <v/>
      </c>
      <c r="V183" s="50">
        <f>IF(A183&lt;=Inputs!$C$73,0,INDEX(U:U,ROW()-Inputs!$C$73))</f>
        <v/>
      </c>
      <c r="W183" s="50">
        <f>S183 - T183 + V183</f>
        <v/>
      </c>
      <c r="X183" s="52">
        <f>V183*Inputs!$C$17</f>
        <v/>
      </c>
      <c r="Y183" s="52">
        <f>IF(A183&gt;Inputs!$C$62,"",C183*AE183)</f>
        <v/>
      </c>
      <c r="Z183" s="52">
        <f>IF(A183=1,Inputs!$C$72,AA182)</f>
        <v/>
      </c>
      <c r="AA183" s="52">
        <f>Z183 + M183 - N183 - P183 - X183 - Y183</f>
        <v/>
      </c>
      <c r="AB183" s="53">
        <f>IF(AA183&lt;0,1,0)</f>
        <v/>
      </c>
      <c r="AC183" s="54">
        <f>IF(AD183=0,0,R183/(AD183*Inputs!$C$16))</f>
        <v/>
      </c>
      <c r="AD183" s="53">
        <f>IF(A183&gt;Inputs!$C$62,"",B183+C183)</f>
        <v/>
      </c>
      <c r="AE183" s="56">
        <f>IF(A183&gt;Inputs!$C$62,"", Inputs!$C$65*(1+Inputs!$C$89*POWER(MIN(1,IF(Inputs!$C$88=0,0,B183/Inputs!$C$88)),Inputs!$C$90)))</f>
        <v/>
      </c>
      <c r="AF183" s="52">
        <f>IF(A183&gt;Inputs!$C$62,"",IF(A183=1,Inputs!$C$86,MIN(Inputs!$C$86,Inputs!$C$87*M182)))</f>
        <v/>
      </c>
      <c r="AG183" s="51">
        <f>IF(A183&gt;Inputs!$C$62,"",MIN(0.5,MAX(0, Inputs!$C$67*L183 + Inputs!$C$68*(1-K183) + Inputs!$C$69*Inputs!$C$10)))</f>
        <v/>
      </c>
      <c r="AH183" s="51">
        <f>IF(A183&gt;Inputs!$C$62,"",INDEX(CapacityPlan!$G$7:$G$266,A183))</f>
        <v/>
      </c>
      <c r="AI183" s="54">
        <f>IF(A183&gt;Inputs!$C$62,"",INDEX(CapacityPlan!$J$7:$J$266,A183))</f>
        <v/>
      </c>
      <c r="AJ183" s="51">
        <f>IF(A183&gt;Inputs!$C$62,"",IF(I183=0,"",G183/I183))</f>
        <v/>
      </c>
    </row>
    <row r="184" ht="16" customHeight="1">
      <c r="A184" s="15" t="n">
        <v>162</v>
      </c>
      <c r="B184" s="50">
        <f>IF(A184&gt;Inputs!$C$62,"",IF(Inputs!$C$80=1,INDEX(Cohorts!$B$67:$B$326,A184),IF(A184=1,Inputs!$C$63,F183)))</f>
        <v/>
      </c>
      <c r="C184" s="50">
        <f>IF(A184&gt;Inputs!$C$62,"",IF(Inputs!$C$85=0,Inputs!$C$64,MIN(Inputs!$C$91,IF(AE184=0,0,AF184/AE184))))</f>
        <v/>
      </c>
      <c r="D184" s="51">
        <f>IF(A184&gt;Inputs!$C$62,"",IF(Inputs!$C$80=1,INDEX(Cohorts!$G$67:$G$326,A184),MAX(0, Inputs!$C$66 + Inputs!$C$67*L184 + Inputs!$C$68*(1-K184) + Inputs!$C$69*Inputs!$C$10)))</f>
        <v/>
      </c>
      <c r="E184" s="50">
        <f>IF(A184&gt;Inputs!$C$62,"",IF(Inputs!$C$80=1,INDEX(Cohorts!$H$67:$H$326,A184),D184*AD184))</f>
        <v/>
      </c>
      <c r="F184" s="50">
        <f>IF(A184&gt;Inputs!$C$62,"",IF(Inputs!$C$80=1,INDEX(Cohorts!$I$67:$I$326,A184),AD184-E184))</f>
        <v/>
      </c>
      <c r="G184" s="50">
        <f>IF(A184&gt;Inputs!$C$62,"",AD184)</f>
        <v/>
      </c>
      <c r="H184" s="50">
        <f>IF(A184&gt;Inputs!$C$62,"",INDEX(CapacityPlan!$E$7:$E$266,A184))</f>
        <v/>
      </c>
      <c r="I184" s="50">
        <f>IF(A184&gt;Inputs!$C$62,"",INDEX(CapacityPlan!$I$7:$I$266,A184))</f>
        <v/>
      </c>
      <c r="J184" s="50">
        <f>IF(A184&gt;Inputs!$C$62,"",IF(G184&gt;I184,I184,G184))</f>
        <v/>
      </c>
      <c r="K184" s="51">
        <f>IF(A184&gt;Inputs!$C$62,"",IF(G184=0,1,J184/G184))</f>
        <v/>
      </c>
      <c r="L184" s="51">
        <f>IF((Inputs!$C$36 + UnitEconomics!$B$12*Inputs!$C$37 + Inputs!$C$10*Inputs!$C$38 + Inputs!$C$70*(1-K184))&gt;1,1,(Inputs!$C$36 + UnitEconomics!$B$12*Inputs!$C$37 + Inputs!$C$10*Inputs!$C$38 + Inputs!$C$70*(1-K184)))</f>
        <v/>
      </c>
      <c r="M184" s="52">
        <f>IF(A184&gt;Inputs!$C$62,"",J184*Inputs!$C$7*(1-Inputs!$C$8)*(1-L184))</f>
        <v/>
      </c>
      <c r="N184" s="52">
        <f>IF(A184&gt;Inputs!$C$62,"",J184*UnitEconomics!$B$32*AI184 + (G184-J184)*Inputs!$C$71)</f>
        <v/>
      </c>
      <c r="O184" s="52">
        <f>M184-N184</f>
        <v/>
      </c>
      <c r="P184" s="52">
        <f>IF(A184&gt;Inputs!$C$62,"",Inputs!$C$40 + H184*Inputs!$C$41)</f>
        <v/>
      </c>
      <c r="Q184" s="52">
        <f>O184-P184</f>
        <v/>
      </c>
      <c r="R184" s="50">
        <f>IF(A184&gt;Inputs!$C$62,"",AD184*Inputs!$C$16*(Inputs!$C$9 + Inputs!$C$10*Inputs!$C$11 + Inputs!$C$12)*(1 + VLOOKUP(Inputs!$C$15,Lookups!$A$2:$B$20,2,TRUE)*(Scale!$B$9/IF(Scale!$B$8=0,1,Scale!$B$8)) + Inputs!$C$52))</f>
        <v/>
      </c>
      <c r="S184" s="50">
        <f>IF(A184=1,Scale!$B$13, W183)</f>
        <v/>
      </c>
      <c r="T184" s="50">
        <f>J184*Inputs!$C$16*(Inputs!$C$19 + Inputs!$C$20*Inputs!$C$21 + 1/Inputs!$C$18)</f>
        <v/>
      </c>
      <c r="U184" s="50">
        <f>MAX(0, (R184*(1+Inputs!$C$74)) - (S184 - T184))</f>
        <v/>
      </c>
      <c r="V184" s="50">
        <f>IF(A184&lt;=Inputs!$C$73,0,INDEX(U:U,ROW()-Inputs!$C$73))</f>
        <v/>
      </c>
      <c r="W184" s="50">
        <f>S184 - T184 + V184</f>
        <v/>
      </c>
      <c r="X184" s="52">
        <f>V184*Inputs!$C$17</f>
        <v/>
      </c>
      <c r="Y184" s="52">
        <f>IF(A184&gt;Inputs!$C$62,"",C184*AE184)</f>
        <v/>
      </c>
      <c r="Z184" s="52">
        <f>IF(A184=1,Inputs!$C$72,AA183)</f>
        <v/>
      </c>
      <c r="AA184" s="52">
        <f>Z184 + M184 - N184 - P184 - X184 - Y184</f>
        <v/>
      </c>
      <c r="AB184" s="53">
        <f>IF(AA184&lt;0,1,0)</f>
        <v/>
      </c>
      <c r="AC184" s="54">
        <f>IF(AD184=0,0,R184/(AD184*Inputs!$C$16))</f>
        <v/>
      </c>
      <c r="AD184" s="53">
        <f>IF(A184&gt;Inputs!$C$62,"",B184+C184)</f>
        <v/>
      </c>
      <c r="AE184" s="56">
        <f>IF(A184&gt;Inputs!$C$62,"", Inputs!$C$65*(1+Inputs!$C$89*POWER(MIN(1,IF(Inputs!$C$88=0,0,B184/Inputs!$C$88)),Inputs!$C$90)))</f>
        <v/>
      </c>
      <c r="AF184" s="52">
        <f>IF(A184&gt;Inputs!$C$62,"",IF(A184=1,Inputs!$C$86,MIN(Inputs!$C$86,Inputs!$C$87*M183)))</f>
        <v/>
      </c>
      <c r="AG184" s="51">
        <f>IF(A184&gt;Inputs!$C$62,"",MIN(0.5,MAX(0, Inputs!$C$67*L184 + Inputs!$C$68*(1-K184) + Inputs!$C$69*Inputs!$C$10)))</f>
        <v/>
      </c>
      <c r="AH184" s="51">
        <f>IF(A184&gt;Inputs!$C$62,"",INDEX(CapacityPlan!$G$7:$G$266,A184))</f>
        <v/>
      </c>
      <c r="AI184" s="54">
        <f>IF(A184&gt;Inputs!$C$62,"",INDEX(CapacityPlan!$J$7:$J$266,A184))</f>
        <v/>
      </c>
      <c r="AJ184" s="51">
        <f>IF(A184&gt;Inputs!$C$62,"",IF(I184=0,"",G184/I184))</f>
        <v/>
      </c>
    </row>
    <row r="185" ht="16" customHeight="1">
      <c r="A185" s="15" t="n">
        <v>163</v>
      </c>
      <c r="B185" s="50">
        <f>IF(A185&gt;Inputs!$C$62,"",IF(Inputs!$C$80=1,INDEX(Cohorts!$B$67:$B$326,A185),IF(A185=1,Inputs!$C$63,F184)))</f>
        <v/>
      </c>
      <c r="C185" s="50">
        <f>IF(A185&gt;Inputs!$C$62,"",IF(Inputs!$C$85=0,Inputs!$C$64,MIN(Inputs!$C$91,IF(AE185=0,0,AF185/AE185))))</f>
        <v/>
      </c>
      <c r="D185" s="51">
        <f>IF(A185&gt;Inputs!$C$62,"",IF(Inputs!$C$80=1,INDEX(Cohorts!$G$67:$G$326,A185),MAX(0, Inputs!$C$66 + Inputs!$C$67*L185 + Inputs!$C$68*(1-K185) + Inputs!$C$69*Inputs!$C$10)))</f>
        <v/>
      </c>
      <c r="E185" s="50">
        <f>IF(A185&gt;Inputs!$C$62,"",IF(Inputs!$C$80=1,INDEX(Cohorts!$H$67:$H$326,A185),D185*AD185))</f>
        <v/>
      </c>
      <c r="F185" s="50">
        <f>IF(A185&gt;Inputs!$C$62,"",IF(Inputs!$C$80=1,INDEX(Cohorts!$I$67:$I$326,A185),AD185-E185))</f>
        <v/>
      </c>
      <c r="G185" s="50">
        <f>IF(A185&gt;Inputs!$C$62,"",AD185)</f>
        <v/>
      </c>
      <c r="H185" s="50">
        <f>IF(A185&gt;Inputs!$C$62,"",INDEX(CapacityPlan!$E$7:$E$266,A185))</f>
        <v/>
      </c>
      <c r="I185" s="50">
        <f>IF(A185&gt;Inputs!$C$62,"",INDEX(CapacityPlan!$I$7:$I$266,A185))</f>
        <v/>
      </c>
      <c r="J185" s="50">
        <f>IF(A185&gt;Inputs!$C$62,"",IF(G185&gt;I185,I185,G185))</f>
        <v/>
      </c>
      <c r="K185" s="51">
        <f>IF(A185&gt;Inputs!$C$62,"",IF(G185=0,1,J185/G185))</f>
        <v/>
      </c>
      <c r="L185" s="51">
        <f>IF((Inputs!$C$36 + UnitEconomics!$B$12*Inputs!$C$37 + Inputs!$C$10*Inputs!$C$38 + Inputs!$C$70*(1-K185))&gt;1,1,(Inputs!$C$36 + UnitEconomics!$B$12*Inputs!$C$37 + Inputs!$C$10*Inputs!$C$38 + Inputs!$C$70*(1-K185)))</f>
        <v/>
      </c>
      <c r="M185" s="52">
        <f>IF(A185&gt;Inputs!$C$62,"",J185*Inputs!$C$7*(1-Inputs!$C$8)*(1-L185))</f>
        <v/>
      </c>
      <c r="N185" s="52">
        <f>IF(A185&gt;Inputs!$C$62,"",J185*UnitEconomics!$B$32*AI185 + (G185-J185)*Inputs!$C$71)</f>
        <v/>
      </c>
      <c r="O185" s="52">
        <f>M185-N185</f>
        <v/>
      </c>
      <c r="P185" s="52">
        <f>IF(A185&gt;Inputs!$C$62,"",Inputs!$C$40 + H185*Inputs!$C$41)</f>
        <v/>
      </c>
      <c r="Q185" s="52">
        <f>O185-P185</f>
        <v/>
      </c>
      <c r="R185" s="50">
        <f>IF(A185&gt;Inputs!$C$62,"",AD185*Inputs!$C$16*(Inputs!$C$9 + Inputs!$C$10*Inputs!$C$11 + Inputs!$C$12)*(1 + VLOOKUP(Inputs!$C$15,Lookups!$A$2:$B$20,2,TRUE)*(Scale!$B$9/IF(Scale!$B$8=0,1,Scale!$B$8)) + Inputs!$C$52))</f>
        <v/>
      </c>
      <c r="S185" s="50">
        <f>IF(A185=1,Scale!$B$13, W184)</f>
        <v/>
      </c>
      <c r="T185" s="50">
        <f>J185*Inputs!$C$16*(Inputs!$C$19 + Inputs!$C$20*Inputs!$C$21 + 1/Inputs!$C$18)</f>
        <v/>
      </c>
      <c r="U185" s="50">
        <f>MAX(0, (R185*(1+Inputs!$C$74)) - (S185 - T185))</f>
        <v/>
      </c>
      <c r="V185" s="50">
        <f>IF(A185&lt;=Inputs!$C$73,0,INDEX(U:U,ROW()-Inputs!$C$73))</f>
        <v/>
      </c>
      <c r="W185" s="50">
        <f>S185 - T185 + V185</f>
        <v/>
      </c>
      <c r="X185" s="52">
        <f>V185*Inputs!$C$17</f>
        <v/>
      </c>
      <c r="Y185" s="52">
        <f>IF(A185&gt;Inputs!$C$62,"",C185*AE185)</f>
        <v/>
      </c>
      <c r="Z185" s="52">
        <f>IF(A185=1,Inputs!$C$72,AA184)</f>
        <v/>
      </c>
      <c r="AA185" s="52">
        <f>Z185 + M185 - N185 - P185 - X185 - Y185</f>
        <v/>
      </c>
      <c r="AB185" s="53">
        <f>IF(AA185&lt;0,1,0)</f>
        <v/>
      </c>
      <c r="AC185" s="54">
        <f>IF(AD185=0,0,R185/(AD185*Inputs!$C$16))</f>
        <v/>
      </c>
      <c r="AD185" s="53">
        <f>IF(A185&gt;Inputs!$C$62,"",B185+C185)</f>
        <v/>
      </c>
      <c r="AE185" s="56">
        <f>IF(A185&gt;Inputs!$C$62,"", Inputs!$C$65*(1+Inputs!$C$89*POWER(MIN(1,IF(Inputs!$C$88=0,0,B185/Inputs!$C$88)),Inputs!$C$90)))</f>
        <v/>
      </c>
      <c r="AF185" s="52">
        <f>IF(A185&gt;Inputs!$C$62,"",IF(A185=1,Inputs!$C$86,MIN(Inputs!$C$86,Inputs!$C$87*M184)))</f>
        <v/>
      </c>
      <c r="AG185" s="51">
        <f>IF(A185&gt;Inputs!$C$62,"",MIN(0.5,MAX(0, Inputs!$C$67*L185 + Inputs!$C$68*(1-K185) + Inputs!$C$69*Inputs!$C$10)))</f>
        <v/>
      </c>
      <c r="AH185" s="51">
        <f>IF(A185&gt;Inputs!$C$62,"",INDEX(CapacityPlan!$G$7:$G$266,A185))</f>
        <v/>
      </c>
      <c r="AI185" s="54">
        <f>IF(A185&gt;Inputs!$C$62,"",INDEX(CapacityPlan!$J$7:$J$266,A185))</f>
        <v/>
      </c>
      <c r="AJ185" s="51">
        <f>IF(A185&gt;Inputs!$C$62,"",IF(I185=0,"",G185/I185))</f>
        <v/>
      </c>
    </row>
    <row r="186" ht="16" customHeight="1">
      <c r="A186" s="15" t="n">
        <v>164</v>
      </c>
      <c r="B186" s="50">
        <f>IF(A186&gt;Inputs!$C$62,"",IF(Inputs!$C$80=1,INDEX(Cohorts!$B$67:$B$326,A186),IF(A186=1,Inputs!$C$63,F185)))</f>
        <v/>
      </c>
      <c r="C186" s="50">
        <f>IF(A186&gt;Inputs!$C$62,"",IF(Inputs!$C$85=0,Inputs!$C$64,MIN(Inputs!$C$91,IF(AE186=0,0,AF186/AE186))))</f>
        <v/>
      </c>
      <c r="D186" s="51">
        <f>IF(A186&gt;Inputs!$C$62,"",IF(Inputs!$C$80=1,INDEX(Cohorts!$G$67:$G$326,A186),MAX(0, Inputs!$C$66 + Inputs!$C$67*L186 + Inputs!$C$68*(1-K186) + Inputs!$C$69*Inputs!$C$10)))</f>
        <v/>
      </c>
      <c r="E186" s="50">
        <f>IF(A186&gt;Inputs!$C$62,"",IF(Inputs!$C$80=1,INDEX(Cohorts!$H$67:$H$326,A186),D186*AD186))</f>
        <v/>
      </c>
      <c r="F186" s="50">
        <f>IF(A186&gt;Inputs!$C$62,"",IF(Inputs!$C$80=1,INDEX(Cohorts!$I$67:$I$326,A186),AD186-E186))</f>
        <v/>
      </c>
      <c r="G186" s="50">
        <f>IF(A186&gt;Inputs!$C$62,"",AD186)</f>
        <v/>
      </c>
      <c r="H186" s="50">
        <f>IF(A186&gt;Inputs!$C$62,"",INDEX(CapacityPlan!$E$7:$E$266,A186))</f>
        <v/>
      </c>
      <c r="I186" s="50">
        <f>IF(A186&gt;Inputs!$C$62,"",INDEX(CapacityPlan!$I$7:$I$266,A186))</f>
        <v/>
      </c>
      <c r="J186" s="50">
        <f>IF(A186&gt;Inputs!$C$62,"",IF(G186&gt;I186,I186,G186))</f>
        <v/>
      </c>
      <c r="K186" s="51">
        <f>IF(A186&gt;Inputs!$C$62,"",IF(G186=0,1,J186/G186))</f>
        <v/>
      </c>
      <c r="L186" s="51">
        <f>IF((Inputs!$C$36 + UnitEconomics!$B$12*Inputs!$C$37 + Inputs!$C$10*Inputs!$C$38 + Inputs!$C$70*(1-K186))&gt;1,1,(Inputs!$C$36 + UnitEconomics!$B$12*Inputs!$C$37 + Inputs!$C$10*Inputs!$C$38 + Inputs!$C$70*(1-K186)))</f>
        <v/>
      </c>
      <c r="M186" s="52">
        <f>IF(A186&gt;Inputs!$C$62,"",J186*Inputs!$C$7*(1-Inputs!$C$8)*(1-L186))</f>
        <v/>
      </c>
      <c r="N186" s="52">
        <f>IF(A186&gt;Inputs!$C$62,"",J186*UnitEconomics!$B$32*AI186 + (G186-J186)*Inputs!$C$71)</f>
        <v/>
      </c>
      <c r="O186" s="52">
        <f>M186-N186</f>
        <v/>
      </c>
      <c r="P186" s="52">
        <f>IF(A186&gt;Inputs!$C$62,"",Inputs!$C$40 + H186*Inputs!$C$41)</f>
        <v/>
      </c>
      <c r="Q186" s="52">
        <f>O186-P186</f>
        <v/>
      </c>
      <c r="R186" s="50">
        <f>IF(A186&gt;Inputs!$C$62,"",AD186*Inputs!$C$16*(Inputs!$C$9 + Inputs!$C$10*Inputs!$C$11 + Inputs!$C$12)*(1 + VLOOKUP(Inputs!$C$15,Lookups!$A$2:$B$20,2,TRUE)*(Scale!$B$9/IF(Scale!$B$8=0,1,Scale!$B$8)) + Inputs!$C$52))</f>
        <v/>
      </c>
      <c r="S186" s="50">
        <f>IF(A186=1,Scale!$B$13, W185)</f>
        <v/>
      </c>
      <c r="T186" s="50">
        <f>J186*Inputs!$C$16*(Inputs!$C$19 + Inputs!$C$20*Inputs!$C$21 + 1/Inputs!$C$18)</f>
        <v/>
      </c>
      <c r="U186" s="50">
        <f>MAX(0, (R186*(1+Inputs!$C$74)) - (S186 - T186))</f>
        <v/>
      </c>
      <c r="V186" s="50">
        <f>IF(A186&lt;=Inputs!$C$73,0,INDEX(U:U,ROW()-Inputs!$C$73))</f>
        <v/>
      </c>
      <c r="W186" s="50">
        <f>S186 - T186 + V186</f>
        <v/>
      </c>
      <c r="X186" s="52">
        <f>V186*Inputs!$C$17</f>
        <v/>
      </c>
      <c r="Y186" s="52">
        <f>IF(A186&gt;Inputs!$C$62,"",C186*AE186)</f>
        <v/>
      </c>
      <c r="Z186" s="52">
        <f>IF(A186=1,Inputs!$C$72,AA185)</f>
        <v/>
      </c>
      <c r="AA186" s="52">
        <f>Z186 + M186 - N186 - P186 - X186 - Y186</f>
        <v/>
      </c>
      <c r="AB186" s="53">
        <f>IF(AA186&lt;0,1,0)</f>
        <v/>
      </c>
      <c r="AC186" s="54">
        <f>IF(AD186=0,0,R186/(AD186*Inputs!$C$16))</f>
        <v/>
      </c>
      <c r="AD186" s="53">
        <f>IF(A186&gt;Inputs!$C$62,"",B186+C186)</f>
        <v/>
      </c>
      <c r="AE186" s="56">
        <f>IF(A186&gt;Inputs!$C$62,"", Inputs!$C$65*(1+Inputs!$C$89*POWER(MIN(1,IF(Inputs!$C$88=0,0,B186/Inputs!$C$88)),Inputs!$C$90)))</f>
        <v/>
      </c>
      <c r="AF186" s="52">
        <f>IF(A186&gt;Inputs!$C$62,"",IF(A186=1,Inputs!$C$86,MIN(Inputs!$C$86,Inputs!$C$87*M185)))</f>
        <v/>
      </c>
      <c r="AG186" s="51">
        <f>IF(A186&gt;Inputs!$C$62,"",MIN(0.5,MAX(0, Inputs!$C$67*L186 + Inputs!$C$68*(1-K186) + Inputs!$C$69*Inputs!$C$10)))</f>
        <v/>
      </c>
      <c r="AH186" s="51">
        <f>IF(A186&gt;Inputs!$C$62,"",INDEX(CapacityPlan!$G$7:$G$266,A186))</f>
        <v/>
      </c>
      <c r="AI186" s="54">
        <f>IF(A186&gt;Inputs!$C$62,"",INDEX(CapacityPlan!$J$7:$J$266,A186))</f>
        <v/>
      </c>
      <c r="AJ186" s="51">
        <f>IF(A186&gt;Inputs!$C$62,"",IF(I186=0,"",G186/I186))</f>
        <v/>
      </c>
    </row>
    <row r="187" ht="16" customHeight="1">
      <c r="A187" s="15" t="n">
        <v>165</v>
      </c>
      <c r="B187" s="50">
        <f>IF(A187&gt;Inputs!$C$62,"",IF(Inputs!$C$80=1,INDEX(Cohorts!$B$67:$B$326,A187),IF(A187=1,Inputs!$C$63,F186)))</f>
        <v/>
      </c>
      <c r="C187" s="50">
        <f>IF(A187&gt;Inputs!$C$62,"",IF(Inputs!$C$85=0,Inputs!$C$64,MIN(Inputs!$C$91,IF(AE187=0,0,AF187/AE187))))</f>
        <v/>
      </c>
      <c r="D187" s="51">
        <f>IF(A187&gt;Inputs!$C$62,"",IF(Inputs!$C$80=1,INDEX(Cohorts!$G$67:$G$326,A187),MAX(0, Inputs!$C$66 + Inputs!$C$67*L187 + Inputs!$C$68*(1-K187) + Inputs!$C$69*Inputs!$C$10)))</f>
        <v/>
      </c>
      <c r="E187" s="50">
        <f>IF(A187&gt;Inputs!$C$62,"",IF(Inputs!$C$80=1,INDEX(Cohorts!$H$67:$H$326,A187),D187*AD187))</f>
        <v/>
      </c>
      <c r="F187" s="50">
        <f>IF(A187&gt;Inputs!$C$62,"",IF(Inputs!$C$80=1,INDEX(Cohorts!$I$67:$I$326,A187),AD187-E187))</f>
        <v/>
      </c>
      <c r="G187" s="50">
        <f>IF(A187&gt;Inputs!$C$62,"",AD187)</f>
        <v/>
      </c>
      <c r="H187" s="50">
        <f>IF(A187&gt;Inputs!$C$62,"",INDEX(CapacityPlan!$E$7:$E$266,A187))</f>
        <v/>
      </c>
      <c r="I187" s="50">
        <f>IF(A187&gt;Inputs!$C$62,"",INDEX(CapacityPlan!$I$7:$I$266,A187))</f>
        <v/>
      </c>
      <c r="J187" s="50">
        <f>IF(A187&gt;Inputs!$C$62,"",IF(G187&gt;I187,I187,G187))</f>
        <v/>
      </c>
      <c r="K187" s="51">
        <f>IF(A187&gt;Inputs!$C$62,"",IF(G187=0,1,J187/G187))</f>
        <v/>
      </c>
      <c r="L187" s="51">
        <f>IF((Inputs!$C$36 + UnitEconomics!$B$12*Inputs!$C$37 + Inputs!$C$10*Inputs!$C$38 + Inputs!$C$70*(1-K187))&gt;1,1,(Inputs!$C$36 + UnitEconomics!$B$12*Inputs!$C$37 + Inputs!$C$10*Inputs!$C$38 + Inputs!$C$70*(1-K187)))</f>
        <v/>
      </c>
      <c r="M187" s="52">
        <f>IF(A187&gt;Inputs!$C$62,"",J187*Inputs!$C$7*(1-Inputs!$C$8)*(1-L187))</f>
        <v/>
      </c>
      <c r="N187" s="52">
        <f>IF(A187&gt;Inputs!$C$62,"",J187*UnitEconomics!$B$32*AI187 + (G187-J187)*Inputs!$C$71)</f>
        <v/>
      </c>
      <c r="O187" s="52">
        <f>M187-N187</f>
        <v/>
      </c>
      <c r="P187" s="52">
        <f>IF(A187&gt;Inputs!$C$62,"",Inputs!$C$40 + H187*Inputs!$C$41)</f>
        <v/>
      </c>
      <c r="Q187" s="52">
        <f>O187-P187</f>
        <v/>
      </c>
      <c r="R187" s="50">
        <f>IF(A187&gt;Inputs!$C$62,"",AD187*Inputs!$C$16*(Inputs!$C$9 + Inputs!$C$10*Inputs!$C$11 + Inputs!$C$12)*(1 + VLOOKUP(Inputs!$C$15,Lookups!$A$2:$B$20,2,TRUE)*(Scale!$B$9/IF(Scale!$B$8=0,1,Scale!$B$8)) + Inputs!$C$52))</f>
        <v/>
      </c>
      <c r="S187" s="50">
        <f>IF(A187=1,Scale!$B$13, W186)</f>
        <v/>
      </c>
      <c r="T187" s="50">
        <f>J187*Inputs!$C$16*(Inputs!$C$19 + Inputs!$C$20*Inputs!$C$21 + 1/Inputs!$C$18)</f>
        <v/>
      </c>
      <c r="U187" s="50">
        <f>MAX(0, (R187*(1+Inputs!$C$74)) - (S187 - T187))</f>
        <v/>
      </c>
      <c r="V187" s="50">
        <f>IF(A187&lt;=Inputs!$C$73,0,INDEX(U:U,ROW()-Inputs!$C$73))</f>
        <v/>
      </c>
      <c r="W187" s="50">
        <f>S187 - T187 + V187</f>
        <v/>
      </c>
      <c r="X187" s="52">
        <f>V187*Inputs!$C$17</f>
        <v/>
      </c>
      <c r="Y187" s="52">
        <f>IF(A187&gt;Inputs!$C$62,"",C187*AE187)</f>
        <v/>
      </c>
      <c r="Z187" s="52">
        <f>IF(A187=1,Inputs!$C$72,AA186)</f>
        <v/>
      </c>
      <c r="AA187" s="52">
        <f>Z187 + M187 - N187 - P187 - X187 - Y187</f>
        <v/>
      </c>
      <c r="AB187" s="53">
        <f>IF(AA187&lt;0,1,0)</f>
        <v/>
      </c>
      <c r="AC187" s="54">
        <f>IF(AD187=0,0,R187/(AD187*Inputs!$C$16))</f>
        <v/>
      </c>
      <c r="AD187" s="53">
        <f>IF(A187&gt;Inputs!$C$62,"",B187+C187)</f>
        <v/>
      </c>
      <c r="AE187" s="56">
        <f>IF(A187&gt;Inputs!$C$62,"", Inputs!$C$65*(1+Inputs!$C$89*POWER(MIN(1,IF(Inputs!$C$88=0,0,B187/Inputs!$C$88)),Inputs!$C$90)))</f>
        <v/>
      </c>
      <c r="AF187" s="52">
        <f>IF(A187&gt;Inputs!$C$62,"",IF(A187=1,Inputs!$C$86,MIN(Inputs!$C$86,Inputs!$C$87*M186)))</f>
        <v/>
      </c>
      <c r="AG187" s="51">
        <f>IF(A187&gt;Inputs!$C$62,"",MIN(0.5,MAX(0, Inputs!$C$67*L187 + Inputs!$C$68*(1-K187) + Inputs!$C$69*Inputs!$C$10)))</f>
        <v/>
      </c>
      <c r="AH187" s="51">
        <f>IF(A187&gt;Inputs!$C$62,"",INDEX(CapacityPlan!$G$7:$G$266,A187))</f>
        <v/>
      </c>
      <c r="AI187" s="54">
        <f>IF(A187&gt;Inputs!$C$62,"",INDEX(CapacityPlan!$J$7:$J$266,A187))</f>
        <v/>
      </c>
      <c r="AJ187" s="51">
        <f>IF(A187&gt;Inputs!$C$62,"",IF(I187=0,"",G187/I187))</f>
        <v/>
      </c>
    </row>
    <row r="188" ht="16" customHeight="1">
      <c r="A188" s="15" t="n">
        <v>166</v>
      </c>
      <c r="B188" s="50">
        <f>IF(A188&gt;Inputs!$C$62,"",IF(Inputs!$C$80=1,INDEX(Cohorts!$B$67:$B$326,A188),IF(A188=1,Inputs!$C$63,F187)))</f>
        <v/>
      </c>
      <c r="C188" s="50">
        <f>IF(A188&gt;Inputs!$C$62,"",IF(Inputs!$C$85=0,Inputs!$C$64,MIN(Inputs!$C$91,IF(AE188=0,0,AF188/AE188))))</f>
        <v/>
      </c>
      <c r="D188" s="51">
        <f>IF(A188&gt;Inputs!$C$62,"",IF(Inputs!$C$80=1,INDEX(Cohorts!$G$67:$G$326,A188),MAX(0, Inputs!$C$66 + Inputs!$C$67*L188 + Inputs!$C$68*(1-K188) + Inputs!$C$69*Inputs!$C$10)))</f>
        <v/>
      </c>
      <c r="E188" s="50">
        <f>IF(A188&gt;Inputs!$C$62,"",IF(Inputs!$C$80=1,INDEX(Cohorts!$H$67:$H$326,A188),D188*AD188))</f>
        <v/>
      </c>
      <c r="F188" s="50">
        <f>IF(A188&gt;Inputs!$C$62,"",IF(Inputs!$C$80=1,INDEX(Cohorts!$I$67:$I$326,A188),AD188-E188))</f>
        <v/>
      </c>
      <c r="G188" s="50">
        <f>IF(A188&gt;Inputs!$C$62,"",AD188)</f>
        <v/>
      </c>
      <c r="H188" s="50">
        <f>IF(A188&gt;Inputs!$C$62,"",INDEX(CapacityPlan!$E$7:$E$266,A188))</f>
        <v/>
      </c>
      <c r="I188" s="50">
        <f>IF(A188&gt;Inputs!$C$62,"",INDEX(CapacityPlan!$I$7:$I$266,A188))</f>
        <v/>
      </c>
      <c r="J188" s="50">
        <f>IF(A188&gt;Inputs!$C$62,"",IF(G188&gt;I188,I188,G188))</f>
        <v/>
      </c>
      <c r="K188" s="51">
        <f>IF(A188&gt;Inputs!$C$62,"",IF(G188=0,1,J188/G188))</f>
        <v/>
      </c>
      <c r="L188" s="51">
        <f>IF((Inputs!$C$36 + UnitEconomics!$B$12*Inputs!$C$37 + Inputs!$C$10*Inputs!$C$38 + Inputs!$C$70*(1-K188))&gt;1,1,(Inputs!$C$36 + UnitEconomics!$B$12*Inputs!$C$37 + Inputs!$C$10*Inputs!$C$38 + Inputs!$C$70*(1-K188)))</f>
        <v/>
      </c>
      <c r="M188" s="52">
        <f>IF(A188&gt;Inputs!$C$62,"",J188*Inputs!$C$7*(1-Inputs!$C$8)*(1-L188))</f>
        <v/>
      </c>
      <c r="N188" s="52">
        <f>IF(A188&gt;Inputs!$C$62,"",J188*UnitEconomics!$B$32*AI188 + (G188-J188)*Inputs!$C$71)</f>
        <v/>
      </c>
      <c r="O188" s="52">
        <f>M188-N188</f>
        <v/>
      </c>
      <c r="P188" s="52">
        <f>IF(A188&gt;Inputs!$C$62,"",Inputs!$C$40 + H188*Inputs!$C$41)</f>
        <v/>
      </c>
      <c r="Q188" s="52">
        <f>O188-P188</f>
        <v/>
      </c>
      <c r="R188" s="50">
        <f>IF(A188&gt;Inputs!$C$62,"",AD188*Inputs!$C$16*(Inputs!$C$9 + Inputs!$C$10*Inputs!$C$11 + Inputs!$C$12)*(1 + VLOOKUP(Inputs!$C$15,Lookups!$A$2:$B$20,2,TRUE)*(Scale!$B$9/IF(Scale!$B$8=0,1,Scale!$B$8)) + Inputs!$C$52))</f>
        <v/>
      </c>
      <c r="S188" s="50">
        <f>IF(A188=1,Scale!$B$13, W187)</f>
        <v/>
      </c>
      <c r="T188" s="50">
        <f>J188*Inputs!$C$16*(Inputs!$C$19 + Inputs!$C$20*Inputs!$C$21 + 1/Inputs!$C$18)</f>
        <v/>
      </c>
      <c r="U188" s="50">
        <f>MAX(0, (R188*(1+Inputs!$C$74)) - (S188 - T188))</f>
        <v/>
      </c>
      <c r="V188" s="50">
        <f>IF(A188&lt;=Inputs!$C$73,0,INDEX(U:U,ROW()-Inputs!$C$73))</f>
        <v/>
      </c>
      <c r="W188" s="50">
        <f>S188 - T188 + V188</f>
        <v/>
      </c>
      <c r="X188" s="52">
        <f>V188*Inputs!$C$17</f>
        <v/>
      </c>
      <c r="Y188" s="52">
        <f>IF(A188&gt;Inputs!$C$62,"",C188*AE188)</f>
        <v/>
      </c>
      <c r="Z188" s="52">
        <f>IF(A188=1,Inputs!$C$72,AA187)</f>
        <v/>
      </c>
      <c r="AA188" s="52">
        <f>Z188 + M188 - N188 - P188 - X188 - Y188</f>
        <v/>
      </c>
      <c r="AB188" s="53">
        <f>IF(AA188&lt;0,1,0)</f>
        <v/>
      </c>
      <c r="AC188" s="54">
        <f>IF(AD188=0,0,R188/(AD188*Inputs!$C$16))</f>
        <v/>
      </c>
      <c r="AD188" s="53">
        <f>IF(A188&gt;Inputs!$C$62,"",B188+C188)</f>
        <v/>
      </c>
      <c r="AE188" s="56">
        <f>IF(A188&gt;Inputs!$C$62,"", Inputs!$C$65*(1+Inputs!$C$89*POWER(MIN(1,IF(Inputs!$C$88=0,0,B188/Inputs!$C$88)),Inputs!$C$90)))</f>
        <v/>
      </c>
      <c r="AF188" s="52">
        <f>IF(A188&gt;Inputs!$C$62,"",IF(A188=1,Inputs!$C$86,MIN(Inputs!$C$86,Inputs!$C$87*M187)))</f>
        <v/>
      </c>
      <c r="AG188" s="51">
        <f>IF(A188&gt;Inputs!$C$62,"",MIN(0.5,MAX(0, Inputs!$C$67*L188 + Inputs!$C$68*(1-K188) + Inputs!$C$69*Inputs!$C$10)))</f>
        <v/>
      </c>
      <c r="AH188" s="51">
        <f>IF(A188&gt;Inputs!$C$62,"",INDEX(CapacityPlan!$G$7:$G$266,A188))</f>
        <v/>
      </c>
      <c r="AI188" s="54">
        <f>IF(A188&gt;Inputs!$C$62,"",INDEX(CapacityPlan!$J$7:$J$266,A188))</f>
        <v/>
      </c>
      <c r="AJ188" s="51">
        <f>IF(A188&gt;Inputs!$C$62,"",IF(I188=0,"",G188/I188))</f>
        <v/>
      </c>
    </row>
    <row r="189" ht="16" customHeight="1">
      <c r="A189" s="15" t="n">
        <v>167</v>
      </c>
      <c r="B189" s="50">
        <f>IF(A189&gt;Inputs!$C$62,"",IF(Inputs!$C$80=1,INDEX(Cohorts!$B$67:$B$326,A189),IF(A189=1,Inputs!$C$63,F188)))</f>
        <v/>
      </c>
      <c r="C189" s="50">
        <f>IF(A189&gt;Inputs!$C$62,"",IF(Inputs!$C$85=0,Inputs!$C$64,MIN(Inputs!$C$91,IF(AE189=0,0,AF189/AE189))))</f>
        <v/>
      </c>
      <c r="D189" s="51">
        <f>IF(A189&gt;Inputs!$C$62,"",IF(Inputs!$C$80=1,INDEX(Cohorts!$G$67:$G$326,A189),MAX(0, Inputs!$C$66 + Inputs!$C$67*L189 + Inputs!$C$68*(1-K189) + Inputs!$C$69*Inputs!$C$10)))</f>
        <v/>
      </c>
      <c r="E189" s="50">
        <f>IF(A189&gt;Inputs!$C$62,"",IF(Inputs!$C$80=1,INDEX(Cohorts!$H$67:$H$326,A189),D189*AD189))</f>
        <v/>
      </c>
      <c r="F189" s="50">
        <f>IF(A189&gt;Inputs!$C$62,"",IF(Inputs!$C$80=1,INDEX(Cohorts!$I$67:$I$326,A189),AD189-E189))</f>
        <v/>
      </c>
      <c r="G189" s="50">
        <f>IF(A189&gt;Inputs!$C$62,"",AD189)</f>
        <v/>
      </c>
      <c r="H189" s="50">
        <f>IF(A189&gt;Inputs!$C$62,"",INDEX(CapacityPlan!$E$7:$E$266,A189))</f>
        <v/>
      </c>
      <c r="I189" s="50">
        <f>IF(A189&gt;Inputs!$C$62,"",INDEX(CapacityPlan!$I$7:$I$266,A189))</f>
        <v/>
      </c>
      <c r="J189" s="50">
        <f>IF(A189&gt;Inputs!$C$62,"",IF(G189&gt;I189,I189,G189))</f>
        <v/>
      </c>
      <c r="K189" s="51">
        <f>IF(A189&gt;Inputs!$C$62,"",IF(G189=0,1,J189/G189))</f>
        <v/>
      </c>
      <c r="L189" s="51">
        <f>IF((Inputs!$C$36 + UnitEconomics!$B$12*Inputs!$C$37 + Inputs!$C$10*Inputs!$C$38 + Inputs!$C$70*(1-K189))&gt;1,1,(Inputs!$C$36 + UnitEconomics!$B$12*Inputs!$C$37 + Inputs!$C$10*Inputs!$C$38 + Inputs!$C$70*(1-K189)))</f>
        <v/>
      </c>
      <c r="M189" s="52">
        <f>IF(A189&gt;Inputs!$C$62,"",J189*Inputs!$C$7*(1-Inputs!$C$8)*(1-L189))</f>
        <v/>
      </c>
      <c r="N189" s="52">
        <f>IF(A189&gt;Inputs!$C$62,"",J189*UnitEconomics!$B$32*AI189 + (G189-J189)*Inputs!$C$71)</f>
        <v/>
      </c>
      <c r="O189" s="52">
        <f>M189-N189</f>
        <v/>
      </c>
      <c r="P189" s="52">
        <f>IF(A189&gt;Inputs!$C$62,"",Inputs!$C$40 + H189*Inputs!$C$41)</f>
        <v/>
      </c>
      <c r="Q189" s="52">
        <f>O189-P189</f>
        <v/>
      </c>
      <c r="R189" s="50">
        <f>IF(A189&gt;Inputs!$C$62,"",AD189*Inputs!$C$16*(Inputs!$C$9 + Inputs!$C$10*Inputs!$C$11 + Inputs!$C$12)*(1 + VLOOKUP(Inputs!$C$15,Lookups!$A$2:$B$20,2,TRUE)*(Scale!$B$9/IF(Scale!$B$8=0,1,Scale!$B$8)) + Inputs!$C$52))</f>
        <v/>
      </c>
      <c r="S189" s="50">
        <f>IF(A189=1,Scale!$B$13, W188)</f>
        <v/>
      </c>
      <c r="T189" s="50">
        <f>J189*Inputs!$C$16*(Inputs!$C$19 + Inputs!$C$20*Inputs!$C$21 + 1/Inputs!$C$18)</f>
        <v/>
      </c>
      <c r="U189" s="50">
        <f>MAX(0, (R189*(1+Inputs!$C$74)) - (S189 - T189))</f>
        <v/>
      </c>
      <c r="V189" s="50">
        <f>IF(A189&lt;=Inputs!$C$73,0,INDEX(U:U,ROW()-Inputs!$C$73))</f>
        <v/>
      </c>
      <c r="W189" s="50">
        <f>S189 - T189 + V189</f>
        <v/>
      </c>
      <c r="X189" s="52">
        <f>V189*Inputs!$C$17</f>
        <v/>
      </c>
      <c r="Y189" s="52">
        <f>IF(A189&gt;Inputs!$C$62,"",C189*AE189)</f>
        <v/>
      </c>
      <c r="Z189" s="52">
        <f>IF(A189=1,Inputs!$C$72,AA188)</f>
        <v/>
      </c>
      <c r="AA189" s="52">
        <f>Z189 + M189 - N189 - P189 - X189 - Y189</f>
        <v/>
      </c>
      <c r="AB189" s="53">
        <f>IF(AA189&lt;0,1,0)</f>
        <v/>
      </c>
      <c r="AC189" s="54">
        <f>IF(AD189=0,0,R189/(AD189*Inputs!$C$16))</f>
        <v/>
      </c>
      <c r="AD189" s="53">
        <f>IF(A189&gt;Inputs!$C$62,"",B189+C189)</f>
        <v/>
      </c>
      <c r="AE189" s="56">
        <f>IF(A189&gt;Inputs!$C$62,"", Inputs!$C$65*(1+Inputs!$C$89*POWER(MIN(1,IF(Inputs!$C$88=0,0,B189/Inputs!$C$88)),Inputs!$C$90)))</f>
        <v/>
      </c>
      <c r="AF189" s="52">
        <f>IF(A189&gt;Inputs!$C$62,"",IF(A189=1,Inputs!$C$86,MIN(Inputs!$C$86,Inputs!$C$87*M188)))</f>
        <v/>
      </c>
      <c r="AG189" s="51">
        <f>IF(A189&gt;Inputs!$C$62,"",MIN(0.5,MAX(0, Inputs!$C$67*L189 + Inputs!$C$68*(1-K189) + Inputs!$C$69*Inputs!$C$10)))</f>
        <v/>
      </c>
      <c r="AH189" s="51">
        <f>IF(A189&gt;Inputs!$C$62,"",INDEX(CapacityPlan!$G$7:$G$266,A189))</f>
        <v/>
      </c>
      <c r="AI189" s="54">
        <f>IF(A189&gt;Inputs!$C$62,"",INDEX(CapacityPlan!$J$7:$J$266,A189))</f>
        <v/>
      </c>
      <c r="AJ189" s="51">
        <f>IF(A189&gt;Inputs!$C$62,"",IF(I189=0,"",G189/I189))</f>
        <v/>
      </c>
    </row>
    <row r="190" ht="16" customHeight="1">
      <c r="A190" s="15" t="n">
        <v>168</v>
      </c>
      <c r="B190" s="50">
        <f>IF(A190&gt;Inputs!$C$62,"",IF(Inputs!$C$80=1,INDEX(Cohorts!$B$67:$B$326,A190),IF(A190=1,Inputs!$C$63,F189)))</f>
        <v/>
      </c>
      <c r="C190" s="50">
        <f>IF(A190&gt;Inputs!$C$62,"",IF(Inputs!$C$85=0,Inputs!$C$64,MIN(Inputs!$C$91,IF(AE190=0,0,AF190/AE190))))</f>
        <v/>
      </c>
      <c r="D190" s="51">
        <f>IF(A190&gt;Inputs!$C$62,"",IF(Inputs!$C$80=1,INDEX(Cohorts!$G$67:$G$326,A190),MAX(0, Inputs!$C$66 + Inputs!$C$67*L190 + Inputs!$C$68*(1-K190) + Inputs!$C$69*Inputs!$C$10)))</f>
        <v/>
      </c>
      <c r="E190" s="50">
        <f>IF(A190&gt;Inputs!$C$62,"",IF(Inputs!$C$80=1,INDEX(Cohorts!$H$67:$H$326,A190),D190*AD190))</f>
        <v/>
      </c>
      <c r="F190" s="50">
        <f>IF(A190&gt;Inputs!$C$62,"",IF(Inputs!$C$80=1,INDEX(Cohorts!$I$67:$I$326,A190),AD190-E190))</f>
        <v/>
      </c>
      <c r="G190" s="50">
        <f>IF(A190&gt;Inputs!$C$62,"",AD190)</f>
        <v/>
      </c>
      <c r="H190" s="50">
        <f>IF(A190&gt;Inputs!$C$62,"",INDEX(CapacityPlan!$E$7:$E$266,A190))</f>
        <v/>
      </c>
      <c r="I190" s="50">
        <f>IF(A190&gt;Inputs!$C$62,"",INDEX(CapacityPlan!$I$7:$I$266,A190))</f>
        <v/>
      </c>
      <c r="J190" s="50">
        <f>IF(A190&gt;Inputs!$C$62,"",IF(G190&gt;I190,I190,G190))</f>
        <v/>
      </c>
      <c r="K190" s="51">
        <f>IF(A190&gt;Inputs!$C$62,"",IF(G190=0,1,J190/G190))</f>
        <v/>
      </c>
      <c r="L190" s="51">
        <f>IF((Inputs!$C$36 + UnitEconomics!$B$12*Inputs!$C$37 + Inputs!$C$10*Inputs!$C$38 + Inputs!$C$70*(1-K190))&gt;1,1,(Inputs!$C$36 + UnitEconomics!$B$12*Inputs!$C$37 + Inputs!$C$10*Inputs!$C$38 + Inputs!$C$70*(1-K190)))</f>
        <v/>
      </c>
      <c r="M190" s="52">
        <f>IF(A190&gt;Inputs!$C$62,"",J190*Inputs!$C$7*(1-Inputs!$C$8)*(1-L190))</f>
        <v/>
      </c>
      <c r="N190" s="52">
        <f>IF(A190&gt;Inputs!$C$62,"",J190*UnitEconomics!$B$32*AI190 + (G190-J190)*Inputs!$C$71)</f>
        <v/>
      </c>
      <c r="O190" s="52">
        <f>M190-N190</f>
        <v/>
      </c>
      <c r="P190" s="52">
        <f>IF(A190&gt;Inputs!$C$62,"",Inputs!$C$40 + H190*Inputs!$C$41)</f>
        <v/>
      </c>
      <c r="Q190" s="52">
        <f>O190-P190</f>
        <v/>
      </c>
      <c r="R190" s="50">
        <f>IF(A190&gt;Inputs!$C$62,"",AD190*Inputs!$C$16*(Inputs!$C$9 + Inputs!$C$10*Inputs!$C$11 + Inputs!$C$12)*(1 + VLOOKUP(Inputs!$C$15,Lookups!$A$2:$B$20,2,TRUE)*(Scale!$B$9/IF(Scale!$B$8=0,1,Scale!$B$8)) + Inputs!$C$52))</f>
        <v/>
      </c>
      <c r="S190" s="50">
        <f>IF(A190=1,Scale!$B$13, W189)</f>
        <v/>
      </c>
      <c r="T190" s="50">
        <f>J190*Inputs!$C$16*(Inputs!$C$19 + Inputs!$C$20*Inputs!$C$21 + 1/Inputs!$C$18)</f>
        <v/>
      </c>
      <c r="U190" s="50">
        <f>MAX(0, (R190*(1+Inputs!$C$74)) - (S190 - T190))</f>
        <v/>
      </c>
      <c r="V190" s="50">
        <f>IF(A190&lt;=Inputs!$C$73,0,INDEX(U:U,ROW()-Inputs!$C$73))</f>
        <v/>
      </c>
      <c r="W190" s="50">
        <f>S190 - T190 + V190</f>
        <v/>
      </c>
      <c r="X190" s="52">
        <f>V190*Inputs!$C$17</f>
        <v/>
      </c>
      <c r="Y190" s="52">
        <f>IF(A190&gt;Inputs!$C$62,"",C190*AE190)</f>
        <v/>
      </c>
      <c r="Z190" s="52">
        <f>IF(A190=1,Inputs!$C$72,AA189)</f>
        <v/>
      </c>
      <c r="AA190" s="52">
        <f>Z190 + M190 - N190 - P190 - X190 - Y190</f>
        <v/>
      </c>
      <c r="AB190" s="53">
        <f>IF(AA190&lt;0,1,0)</f>
        <v/>
      </c>
      <c r="AC190" s="54">
        <f>IF(AD190=0,0,R190/(AD190*Inputs!$C$16))</f>
        <v/>
      </c>
      <c r="AD190" s="53">
        <f>IF(A190&gt;Inputs!$C$62,"",B190+C190)</f>
        <v/>
      </c>
      <c r="AE190" s="56">
        <f>IF(A190&gt;Inputs!$C$62,"", Inputs!$C$65*(1+Inputs!$C$89*POWER(MIN(1,IF(Inputs!$C$88=0,0,B190/Inputs!$C$88)),Inputs!$C$90)))</f>
        <v/>
      </c>
      <c r="AF190" s="52">
        <f>IF(A190&gt;Inputs!$C$62,"",IF(A190=1,Inputs!$C$86,MIN(Inputs!$C$86,Inputs!$C$87*M189)))</f>
        <v/>
      </c>
      <c r="AG190" s="51">
        <f>IF(A190&gt;Inputs!$C$62,"",MIN(0.5,MAX(0, Inputs!$C$67*L190 + Inputs!$C$68*(1-K190) + Inputs!$C$69*Inputs!$C$10)))</f>
        <v/>
      </c>
      <c r="AH190" s="51">
        <f>IF(A190&gt;Inputs!$C$62,"",INDEX(CapacityPlan!$G$7:$G$266,A190))</f>
        <v/>
      </c>
      <c r="AI190" s="54">
        <f>IF(A190&gt;Inputs!$C$62,"",INDEX(CapacityPlan!$J$7:$J$266,A190))</f>
        <v/>
      </c>
      <c r="AJ190" s="51">
        <f>IF(A190&gt;Inputs!$C$62,"",IF(I190=0,"",G190/I190))</f>
        <v/>
      </c>
    </row>
    <row r="191" ht="16" customHeight="1">
      <c r="A191" s="15" t="n">
        <v>169</v>
      </c>
      <c r="B191" s="50">
        <f>IF(A191&gt;Inputs!$C$62,"",IF(Inputs!$C$80=1,INDEX(Cohorts!$B$67:$B$326,A191),IF(A191=1,Inputs!$C$63,F190)))</f>
        <v/>
      </c>
      <c r="C191" s="50">
        <f>IF(A191&gt;Inputs!$C$62,"",IF(Inputs!$C$85=0,Inputs!$C$64,MIN(Inputs!$C$91,IF(AE191=0,0,AF191/AE191))))</f>
        <v/>
      </c>
      <c r="D191" s="51">
        <f>IF(A191&gt;Inputs!$C$62,"",IF(Inputs!$C$80=1,INDEX(Cohorts!$G$67:$G$326,A191),MAX(0, Inputs!$C$66 + Inputs!$C$67*L191 + Inputs!$C$68*(1-K191) + Inputs!$C$69*Inputs!$C$10)))</f>
        <v/>
      </c>
      <c r="E191" s="50">
        <f>IF(A191&gt;Inputs!$C$62,"",IF(Inputs!$C$80=1,INDEX(Cohorts!$H$67:$H$326,A191),D191*AD191))</f>
        <v/>
      </c>
      <c r="F191" s="50">
        <f>IF(A191&gt;Inputs!$C$62,"",IF(Inputs!$C$80=1,INDEX(Cohorts!$I$67:$I$326,A191),AD191-E191))</f>
        <v/>
      </c>
      <c r="G191" s="50">
        <f>IF(A191&gt;Inputs!$C$62,"",AD191)</f>
        <v/>
      </c>
      <c r="H191" s="50">
        <f>IF(A191&gt;Inputs!$C$62,"",INDEX(CapacityPlan!$E$7:$E$266,A191))</f>
        <v/>
      </c>
      <c r="I191" s="50">
        <f>IF(A191&gt;Inputs!$C$62,"",INDEX(CapacityPlan!$I$7:$I$266,A191))</f>
        <v/>
      </c>
      <c r="J191" s="50">
        <f>IF(A191&gt;Inputs!$C$62,"",IF(G191&gt;I191,I191,G191))</f>
        <v/>
      </c>
      <c r="K191" s="51">
        <f>IF(A191&gt;Inputs!$C$62,"",IF(G191=0,1,J191/G191))</f>
        <v/>
      </c>
      <c r="L191" s="51">
        <f>IF((Inputs!$C$36 + UnitEconomics!$B$12*Inputs!$C$37 + Inputs!$C$10*Inputs!$C$38 + Inputs!$C$70*(1-K191))&gt;1,1,(Inputs!$C$36 + UnitEconomics!$B$12*Inputs!$C$37 + Inputs!$C$10*Inputs!$C$38 + Inputs!$C$70*(1-K191)))</f>
        <v/>
      </c>
      <c r="M191" s="52">
        <f>IF(A191&gt;Inputs!$C$62,"",J191*Inputs!$C$7*(1-Inputs!$C$8)*(1-L191))</f>
        <v/>
      </c>
      <c r="N191" s="52">
        <f>IF(A191&gt;Inputs!$C$62,"",J191*UnitEconomics!$B$32*AI191 + (G191-J191)*Inputs!$C$71)</f>
        <v/>
      </c>
      <c r="O191" s="52">
        <f>M191-N191</f>
        <v/>
      </c>
      <c r="P191" s="52">
        <f>IF(A191&gt;Inputs!$C$62,"",Inputs!$C$40 + H191*Inputs!$C$41)</f>
        <v/>
      </c>
      <c r="Q191" s="52">
        <f>O191-P191</f>
        <v/>
      </c>
      <c r="R191" s="50">
        <f>IF(A191&gt;Inputs!$C$62,"",AD191*Inputs!$C$16*(Inputs!$C$9 + Inputs!$C$10*Inputs!$C$11 + Inputs!$C$12)*(1 + VLOOKUP(Inputs!$C$15,Lookups!$A$2:$B$20,2,TRUE)*(Scale!$B$9/IF(Scale!$B$8=0,1,Scale!$B$8)) + Inputs!$C$52))</f>
        <v/>
      </c>
      <c r="S191" s="50">
        <f>IF(A191=1,Scale!$B$13, W190)</f>
        <v/>
      </c>
      <c r="T191" s="50">
        <f>J191*Inputs!$C$16*(Inputs!$C$19 + Inputs!$C$20*Inputs!$C$21 + 1/Inputs!$C$18)</f>
        <v/>
      </c>
      <c r="U191" s="50">
        <f>MAX(0, (R191*(1+Inputs!$C$74)) - (S191 - T191))</f>
        <v/>
      </c>
      <c r="V191" s="50">
        <f>IF(A191&lt;=Inputs!$C$73,0,INDEX(U:U,ROW()-Inputs!$C$73))</f>
        <v/>
      </c>
      <c r="W191" s="50">
        <f>S191 - T191 + V191</f>
        <v/>
      </c>
      <c r="X191" s="52">
        <f>V191*Inputs!$C$17</f>
        <v/>
      </c>
      <c r="Y191" s="52">
        <f>IF(A191&gt;Inputs!$C$62,"",C191*AE191)</f>
        <v/>
      </c>
      <c r="Z191" s="52">
        <f>IF(A191=1,Inputs!$C$72,AA190)</f>
        <v/>
      </c>
      <c r="AA191" s="52">
        <f>Z191 + M191 - N191 - P191 - X191 - Y191</f>
        <v/>
      </c>
      <c r="AB191" s="53">
        <f>IF(AA191&lt;0,1,0)</f>
        <v/>
      </c>
      <c r="AC191" s="54">
        <f>IF(AD191=0,0,R191/(AD191*Inputs!$C$16))</f>
        <v/>
      </c>
      <c r="AD191" s="53">
        <f>IF(A191&gt;Inputs!$C$62,"",B191+C191)</f>
        <v/>
      </c>
      <c r="AE191" s="56">
        <f>IF(A191&gt;Inputs!$C$62,"", Inputs!$C$65*(1+Inputs!$C$89*POWER(MIN(1,IF(Inputs!$C$88=0,0,B191/Inputs!$C$88)),Inputs!$C$90)))</f>
        <v/>
      </c>
      <c r="AF191" s="52">
        <f>IF(A191&gt;Inputs!$C$62,"",IF(A191=1,Inputs!$C$86,MIN(Inputs!$C$86,Inputs!$C$87*M190)))</f>
        <v/>
      </c>
      <c r="AG191" s="51">
        <f>IF(A191&gt;Inputs!$C$62,"",MIN(0.5,MAX(0, Inputs!$C$67*L191 + Inputs!$C$68*(1-K191) + Inputs!$C$69*Inputs!$C$10)))</f>
        <v/>
      </c>
      <c r="AH191" s="51">
        <f>IF(A191&gt;Inputs!$C$62,"",INDEX(CapacityPlan!$G$7:$G$266,A191))</f>
        <v/>
      </c>
      <c r="AI191" s="54">
        <f>IF(A191&gt;Inputs!$C$62,"",INDEX(CapacityPlan!$J$7:$J$266,A191))</f>
        <v/>
      </c>
      <c r="AJ191" s="51">
        <f>IF(A191&gt;Inputs!$C$62,"",IF(I191=0,"",G191/I191))</f>
        <v/>
      </c>
    </row>
    <row r="192" ht="16" customHeight="1">
      <c r="A192" s="15" t="n">
        <v>170</v>
      </c>
      <c r="B192" s="50">
        <f>IF(A192&gt;Inputs!$C$62,"",IF(Inputs!$C$80=1,INDEX(Cohorts!$B$67:$B$326,A192),IF(A192=1,Inputs!$C$63,F191)))</f>
        <v/>
      </c>
      <c r="C192" s="50">
        <f>IF(A192&gt;Inputs!$C$62,"",IF(Inputs!$C$85=0,Inputs!$C$64,MIN(Inputs!$C$91,IF(AE192=0,0,AF192/AE192))))</f>
        <v/>
      </c>
      <c r="D192" s="51">
        <f>IF(A192&gt;Inputs!$C$62,"",IF(Inputs!$C$80=1,INDEX(Cohorts!$G$67:$G$326,A192),MAX(0, Inputs!$C$66 + Inputs!$C$67*L192 + Inputs!$C$68*(1-K192) + Inputs!$C$69*Inputs!$C$10)))</f>
        <v/>
      </c>
      <c r="E192" s="50">
        <f>IF(A192&gt;Inputs!$C$62,"",IF(Inputs!$C$80=1,INDEX(Cohorts!$H$67:$H$326,A192),D192*AD192))</f>
        <v/>
      </c>
      <c r="F192" s="50">
        <f>IF(A192&gt;Inputs!$C$62,"",IF(Inputs!$C$80=1,INDEX(Cohorts!$I$67:$I$326,A192),AD192-E192))</f>
        <v/>
      </c>
      <c r="G192" s="50">
        <f>IF(A192&gt;Inputs!$C$62,"",AD192)</f>
        <v/>
      </c>
      <c r="H192" s="50">
        <f>IF(A192&gt;Inputs!$C$62,"",INDEX(CapacityPlan!$E$7:$E$266,A192))</f>
        <v/>
      </c>
      <c r="I192" s="50">
        <f>IF(A192&gt;Inputs!$C$62,"",INDEX(CapacityPlan!$I$7:$I$266,A192))</f>
        <v/>
      </c>
      <c r="J192" s="50">
        <f>IF(A192&gt;Inputs!$C$62,"",IF(G192&gt;I192,I192,G192))</f>
        <v/>
      </c>
      <c r="K192" s="51">
        <f>IF(A192&gt;Inputs!$C$62,"",IF(G192=0,1,J192/G192))</f>
        <v/>
      </c>
      <c r="L192" s="51">
        <f>IF((Inputs!$C$36 + UnitEconomics!$B$12*Inputs!$C$37 + Inputs!$C$10*Inputs!$C$38 + Inputs!$C$70*(1-K192))&gt;1,1,(Inputs!$C$36 + UnitEconomics!$B$12*Inputs!$C$37 + Inputs!$C$10*Inputs!$C$38 + Inputs!$C$70*(1-K192)))</f>
        <v/>
      </c>
      <c r="M192" s="52">
        <f>IF(A192&gt;Inputs!$C$62,"",J192*Inputs!$C$7*(1-Inputs!$C$8)*(1-L192))</f>
        <v/>
      </c>
      <c r="N192" s="52">
        <f>IF(A192&gt;Inputs!$C$62,"",J192*UnitEconomics!$B$32*AI192 + (G192-J192)*Inputs!$C$71)</f>
        <v/>
      </c>
      <c r="O192" s="52">
        <f>M192-N192</f>
        <v/>
      </c>
      <c r="P192" s="52">
        <f>IF(A192&gt;Inputs!$C$62,"",Inputs!$C$40 + H192*Inputs!$C$41)</f>
        <v/>
      </c>
      <c r="Q192" s="52">
        <f>O192-P192</f>
        <v/>
      </c>
      <c r="R192" s="50">
        <f>IF(A192&gt;Inputs!$C$62,"",AD192*Inputs!$C$16*(Inputs!$C$9 + Inputs!$C$10*Inputs!$C$11 + Inputs!$C$12)*(1 + VLOOKUP(Inputs!$C$15,Lookups!$A$2:$B$20,2,TRUE)*(Scale!$B$9/IF(Scale!$B$8=0,1,Scale!$B$8)) + Inputs!$C$52))</f>
        <v/>
      </c>
      <c r="S192" s="50">
        <f>IF(A192=1,Scale!$B$13, W191)</f>
        <v/>
      </c>
      <c r="T192" s="50">
        <f>J192*Inputs!$C$16*(Inputs!$C$19 + Inputs!$C$20*Inputs!$C$21 + 1/Inputs!$C$18)</f>
        <v/>
      </c>
      <c r="U192" s="50">
        <f>MAX(0, (R192*(1+Inputs!$C$74)) - (S192 - T192))</f>
        <v/>
      </c>
      <c r="V192" s="50">
        <f>IF(A192&lt;=Inputs!$C$73,0,INDEX(U:U,ROW()-Inputs!$C$73))</f>
        <v/>
      </c>
      <c r="W192" s="50">
        <f>S192 - T192 + V192</f>
        <v/>
      </c>
      <c r="X192" s="52">
        <f>V192*Inputs!$C$17</f>
        <v/>
      </c>
      <c r="Y192" s="52">
        <f>IF(A192&gt;Inputs!$C$62,"",C192*AE192)</f>
        <v/>
      </c>
      <c r="Z192" s="52">
        <f>IF(A192=1,Inputs!$C$72,AA191)</f>
        <v/>
      </c>
      <c r="AA192" s="52">
        <f>Z192 + M192 - N192 - P192 - X192 - Y192</f>
        <v/>
      </c>
      <c r="AB192" s="53">
        <f>IF(AA192&lt;0,1,0)</f>
        <v/>
      </c>
      <c r="AC192" s="54">
        <f>IF(AD192=0,0,R192/(AD192*Inputs!$C$16))</f>
        <v/>
      </c>
      <c r="AD192" s="53">
        <f>IF(A192&gt;Inputs!$C$62,"",B192+C192)</f>
        <v/>
      </c>
      <c r="AE192" s="56">
        <f>IF(A192&gt;Inputs!$C$62,"", Inputs!$C$65*(1+Inputs!$C$89*POWER(MIN(1,IF(Inputs!$C$88=0,0,B192/Inputs!$C$88)),Inputs!$C$90)))</f>
        <v/>
      </c>
      <c r="AF192" s="52">
        <f>IF(A192&gt;Inputs!$C$62,"",IF(A192=1,Inputs!$C$86,MIN(Inputs!$C$86,Inputs!$C$87*M191)))</f>
        <v/>
      </c>
      <c r="AG192" s="51">
        <f>IF(A192&gt;Inputs!$C$62,"",MIN(0.5,MAX(0, Inputs!$C$67*L192 + Inputs!$C$68*(1-K192) + Inputs!$C$69*Inputs!$C$10)))</f>
        <v/>
      </c>
      <c r="AH192" s="51">
        <f>IF(A192&gt;Inputs!$C$62,"",INDEX(CapacityPlan!$G$7:$G$266,A192))</f>
        <v/>
      </c>
      <c r="AI192" s="54">
        <f>IF(A192&gt;Inputs!$C$62,"",INDEX(CapacityPlan!$J$7:$J$266,A192))</f>
        <v/>
      </c>
      <c r="AJ192" s="51">
        <f>IF(A192&gt;Inputs!$C$62,"",IF(I192=0,"",G192/I192))</f>
        <v/>
      </c>
    </row>
    <row r="193" ht="16" customHeight="1">
      <c r="A193" s="15" t="n">
        <v>171</v>
      </c>
      <c r="B193" s="50">
        <f>IF(A193&gt;Inputs!$C$62,"",IF(Inputs!$C$80=1,INDEX(Cohorts!$B$67:$B$326,A193),IF(A193=1,Inputs!$C$63,F192)))</f>
        <v/>
      </c>
      <c r="C193" s="50">
        <f>IF(A193&gt;Inputs!$C$62,"",IF(Inputs!$C$85=0,Inputs!$C$64,MIN(Inputs!$C$91,IF(AE193=0,0,AF193/AE193))))</f>
        <v/>
      </c>
      <c r="D193" s="51">
        <f>IF(A193&gt;Inputs!$C$62,"",IF(Inputs!$C$80=1,INDEX(Cohorts!$G$67:$G$326,A193),MAX(0, Inputs!$C$66 + Inputs!$C$67*L193 + Inputs!$C$68*(1-K193) + Inputs!$C$69*Inputs!$C$10)))</f>
        <v/>
      </c>
      <c r="E193" s="50">
        <f>IF(A193&gt;Inputs!$C$62,"",IF(Inputs!$C$80=1,INDEX(Cohorts!$H$67:$H$326,A193),D193*AD193))</f>
        <v/>
      </c>
      <c r="F193" s="50">
        <f>IF(A193&gt;Inputs!$C$62,"",IF(Inputs!$C$80=1,INDEX(Cohorts!$I$67:$I$326,A193),AD193-E193))</f>
        <v/>
      </c>
      <c r="G193" s="50">
        <f>IF(A193&gt;Inputs!$C$62,"",AD193)</f>
        <v/>
      </c>
      <c r="H193" s="50">
        <f>IF(A193&gt;Inputs!$C$62,"",INDEX(CapacityPlan!$E$7:$E$266,A193))</f>
        <v/>
      </c>
      <c r="I193" s="50">
        <f>IF(A193&gt;Inputs!$C$62,"",INDEX(CapacityPlan!$I$7:$I$266,A193))</f>
        <v/>
      </c>
      <c r="J193" s="50">
        <f>IF(A193&gt;Inputs!$C$62,"",IF(G193&gt;I193,I193,G193))</f>
        <v/>
      </c>
      <c r="K193" s="51">
        <f>IF(A193&gt;Inputs!$C$62,"",IF(G193=0,1,J193/G193))</f>
        <v/>
      </c>
      <c r="L193" s="51">
        <f>IF((Inputs!$C$36 + UnitEconomics!$B$12*Inputs!$C$37 + Inputs!$C$10*Inputs!$C$38 + Inputs!$C$70*(1-K193))&gt;1,1,(Inputs!$C$36 + UnitEconomics!$B$12*Inputs!$C$37 + Inputs!$C$10*Inputs!$C$38 + Inputs!$C$70*(1-K193)))</f>
        <v/>
      </c>
      <c r="M193" s="52">
        <f>IF(A193&gt;Inputs!$C$62,"",J193*Inputs!$C$7*(1-Inputs!$C$8)*(1-L193))</f>
        <v/>
      </c>
      <c r="N193" s="52">
        <f>IF(A193&gt;Inputs!$C$62,"",J193*UnitEconomics!$B$32*AI193 + (G193-J193)*Inputs!$C$71)</f>
        <v/>
      </c>
      <c r="O193" s="52">
        <f>M193-N193</f>
        <v/>
      </c>
      <c r="P193" s="52">
        <f>IF(A193&gt;Inputs!$C$62,"",Inputs!$C$40 + H193*Inputs!$C$41)</f>
        <v/>
      </c>
      <c r="Q193" s="52">
        <f>O193-P193</f>
        <v/>
      </c>
      <c r="R193" s="50">
        <f>IF(A193&gt;Inputs!$C$62,"",AD193*Inputs!$C$16*(Inputs!$C$9 + Inputs!$C$10*Inputs!$C$11 + Inputs!$C$12)*(1 + VLOOKUP(Inputs!$C$15,Lookups!$A$2:$B$20,2,TRUE)*(Scale!$B$9/IF(Scale!$B$8=0,1,Scale!$B$8)) + Inputs!$C$52))</f>
        <v/>
      </c>
      <c r="S193" s="50">
        <f>IF(A193=1,Scale!$B$13, W192)</f>
        <v/>
      </c>
      <c r="T193" s="50">
        <f>J193*Inputs!$C$16*(Inputs!$C$19 + Inputs!$C$20*Inputs!$C$21 + 1/Inputs!$C$18)</f>
        <v/>
      </c>
      <c r="U193" s="50">
        <f>MAX(0, (R193*(1+Inputs!$C$74)) - (S193 - T193))</f>
        <v/>
      </c>
      <c r="V193" s="50">
        <f>IF(A193&lt;=Inputs!$C$73,0,INDEX(U:U,ROW()-Inputs!$C$73))</f>
        <v/>
      </c>
      <c r="W193" s="50">
        <f>S193 - T193 + V193</f>
        <v/>
      </c>
      <c r="X193" s="52">
        <f>V193*Inputs!$C$17</f>
        <v/>
      </c>
      <c r="Y193" s="52">
        <f>IF(A193&gt;Inputs!$C$62,"",C193*AE193)</f>
        <v/>
      </c>
      <c r="Z193" s="52">
        <f>IF(A193=1,Inputs!$C$72,AA192)</f>
        <v/>
      </c>
      <c r="AA193" s="52">
        <f>Z193 + M193 - N193 - P193 - X193 - Y193</f>
        <v/>
      </c>
      <c r="AB193" s="53">
        <f>IF(AA193&lt;0,1,0)</f>
        <v/>
      </c>
      <c r="AC193" s="54">
        <f>IF(AD193=0,0,R193/(AD193*Inputs!$C$16))</f>
        <v/>
      </c>
      <c r="AD193" s="53">
        <f>IF(A193&gt;Inputs!$C$62,"",B193+C193)</f>
        <v/>
      </c>
      <c r="AE193" s="56">
        <f>IF(A193&gt;Inputs!$C$62,"", Inputs!$C$65*(1+Inputs!$C$89*POWER(MIN(1,IF(Inputs!$C$88=0,0,B193/Inputs!$C$88)),Inputs!$C$90)))</f>
        <v/>
      </c>
      <c r="AF193" s="52">
        <f>IF(A193&gt;Inputs!$C$62,"",IF(A193=1,Inputs!$C$86,MIN(Inputs!$C$86,Inputs!$C$87*M192)))</f>
        <v/>
      </c>
      <c r="AG193" s="51">
        <f>IF(A193&gt;Inputs!$C$62,"",MIN(0.5,MAX(0, Inputs!$C$67*L193 + Inputs!$C$68*(1-K193) + Inputs!$C$69*Inputs!$C$10)))</f>
        <v/>
      </c>
      <c r="AH193" s="51">
        <f>IF(A193&gt;Inputs!$C$62,"",INDEX(CapacityPlan!$G$7:$G$266,A193))</f>
        <v/>
      </c>
      <c r="AI193" s="54">
        <f>IF(A193&gt;Inputs!$C$62,"",INDEX(CapacityPlan!$J$7:$J$266,A193))</f>
        <v/>
      </c>
      <c r="AJ193" s="51">
        <f>IF(A193&gt;Inputs!$C$62,"",IF(I193=0,"",G193/I193))</f>
        <v/>
      </c>
    </row>
    <row r="194" ht="16" customHeight="1">
      <c r="A194" s="15" t="n">
        <v>172</v>
      </c>
      <c r="B194" s="50">
        <f>IF(A194&gt;Inputs!$C$62,"",IF(Inputs!$C$80=1,INDEX(Cohorts!$B$67:$B$326,A194),IF(A194=1,Inputs!$C$63,F193)))</f>
        <v/>
      </c>
      <c r="C194" s="50">
        <f>IF(A194&gt;Inputs!$C$62,"",IF(Inputs!$C$85=0,Inputs!$C$64,MIN(Inputs!$C$91,IF(AE194=0,0,AF194/AE194))))</f>
        <v/>
      </c>
      <c r="D194" s="51">
        <f>IF(A194&gt;Inputs!$C$62,"",IF(Inputs!$C$80=1,INDEX(Cohorts!$G$67:$G$326,A194),MAX(0, Inputs!$C$66 + Inputs!$C$67*L194 + Inputs!$C$68*(1-K194) + Inputs!$C$69*Inputs!$C$10)))</f>
        <v/>
      </c>
      <c r="E194" s="50">
        <f>IF(A194&gt;Inputs!$C$62,"",IF(Inputs!$C$80=1,INDEX(Cohorts!$H$67:$H$326,A194),D194*AD194))</f>
        <v/>
      </c>
      <c r="F194" s="50">
        <f>IF(A194&gt;Inputs!$C$62,"",IF(Inputs!$C$80=1,INDEX(Cohorts!$I$67:$I$326,A194),AD194-E194))</f>
        <v/>
      </c>
      <c r="G194" s="50">
        <f>IF(A194&gt;Inputs!$C$62,"",AD194)</f>
        <v/>
      </c>
      <c r="H194" s="50">
        <f>IF(A194&gt;Inputs!$C$62,"",INDEX(CapacityPlan!$E$7:$E$266,A194))</f>
        <v/>
      </c>
      <c r="I194" s="50">
        <f>IF(A194&gt;Inputs!$C$62,"",INDEX(CapacityPlan!$I$7:$I$266,A194))</f>
        <v/>
      </c>
      <c r="J194" s="50">
        <f>IF(A194&gt;Inputs!$C$62,"",IF(G194&gt;I194,I194,G194))</f>
        <v/>
      </c>
      <c r="K194" s="51">
        <f>IF(A194&gt;Inputs!$C$62,"",IF(G194=0,1,J194/G194))</f>
        <v/>
      </c>
      <c r="L194" s="51">
        <f>IF((Inputs!$C$36 + UnitEconomics!$B$12*Inputs!$C$37 + Inputs!$C$10*Inputs!$C$38 + Inputs!$C$70*(1-K194))&gt;1,1,(Inputs!$C$36 + UnitEconomics!$B$12*Inputs!$C$37 + Inputs!$C$10*Inputs!$C$38 + Inputs!$C$70*(1-K194)))</f>
        <v/>
      </c>
      <c r="M194" s="52">
        <f>IF(A194&gt;Inputs!$C$62,"",J194*Inputs!$C$7*(1-Inputs!$C$8)*(1-L194))</f>
        <v/>
      </c>
      <c r="N194" s="52">
        <f>IF(A194&gt;Inputs!$C$62,"",J194*UnitEconomics!$B$32*AI194 + (G194-J194)*Inputs!$C$71)</f>
        <v/>
      </c>
      <c r="O194" s="52">
        <f>M194-N194</f>
        <v/>
      </c>
      <c r="P194" s="52">
        <f>IF(A194&gt;Inputs!$C$62,"",Inputs!$C$40 + H194*Inputs!$C$41)</f>
        <v/>
      </c>
      <c r="Q194" s="52">
        <f>O194-P194</f>
        <v/>
      </c>
      <c r="R194" s="50">
        <f>IF(A194&gt;Inputs!$C$62,"",AD194*Inputs!$C$16*(Inputs!$C$9 + Inputs!$C$10*Inputs!$C$11 + Inputs!$C$12)*(1 + VLOOKUP(Inputs!$C$15,Lookups!$A$2:$B$20,2,TRUE)*(Scale!$B$9/IF(Scale!$B$8=0,1,Scale!$B$8)) + Inputs!$C$52))</f>
        <v/>
      </c>
      <c r="S194" s="50">
        <f>IF(A194=1,Scale!$B$13, W193)</f>
        <v/>
      </c>
      <c r="T194" s="50">
        <f>J194*Inputs!$C$16*(Inputs!$C$19 + Inputs!$C$20*Inputs!$C$21 + 1/Inputs!$C$18)</f>
        <v/>
      </c>
      <c r="U194" s="50">
        <f>MAX(0, (R194*(1+Inputs!$C$74)) - (S194 - T194))</f>
        <v/>
      </c>
      <c r="V194" s="50">
        <f>IF(A194&lt;=Inputs!$C$73,0,INDEX(U:U,ROW()-Inputs!$C$73))</f>
        <v/>
      </c>
      <c r="W194" s="50">
        <f>S194 - T194 + V194</f>
        <v/>
      </c>
      <c r="X194" s="52">
        <f>V194*Inputs!$C$17</f>
        <v/>
      </c>
      <c r="Y194" s="52">
        <f>IF(A194&gt;Inputs!$C$62,"",C194*AE194)</f>
        <v/>
      </c>
      <c r="Z194" s="52">
        <f>IF(A194=1,Inputs!$C$72,AA193)</f>
        <v/>
      </c>
      <c r="AA194" s="52">
        <f>Z194 + M194 - N194 - P194 - X194 - Y194</f>
        <v/>
      </c>
      <c r="AB194" s="53">
        <f>IF(AA194&lt;0,1,0)</f>
        <v/>
      </c>
      <c r="AC194" s="54">
        <f>IF(AD194=0,0,R194/(AD194*Inputs!$C$16))</f>
        <v/>
      </c>
      <c r="AD194" s="53">
        <f>IF(A194&gt;Inputs!$C$62,"",B194+C194)</f>
        <v/>
      </c>
      <c r="AE194" s="56">
        <f>IF(A194&gt;Inputs!$C$62,"", Inputs!$C$65*(1+Inputs!$C$89*POWER(MIN(1,IF(Inputs!$C$88=0,0,B194/Inputs!$C$88)),Inputs!$C$90)))</f>
        <v/>
      </c>
      <c r="AF194" s="52">
        <f>IF(A194&gt;Inputs!$C$62,"",IF(A194=1,Inputs!$C$86,MIN(Inputs!$C$86,Inputs!$C$87*M193)))</f>
        <v/>
      </c>
      <c r="AG194" s="51">
        <f>IF(A194&gt;Inputs!$C$62,"",MIN(0.5,MAX(0, Inputs!$C$67*L194 + Inputs!$C$68*(1-K194) + Inputs!$C$69*Inputs!$C$10)))</f>
        <v/>
      </c>
      <c r="AH194" s="51">
        <f>IF(A194&gt;Inputs!$C$62,"",INDEX(CapacityPlan!$G$7:$G$266,A194))</f>
        <v/>
      </c>
      <c r="AI194" s="54">
        <f>IF(A194&gt;Inputs!$C$62,"",INDEX(CapacityPlan!$J$7:$J$266,A194))</f>
        <v/>
      </c>
      <c r="AJ194" s="51">
        <f>IF(A194&gt;Inputs!$C$62,"",IF(I194=0,"",G194/I194))</f>
        <v/>
      </c>
    </row>
    <row r="195" ht="16" customHeight="1">
      <c r="A195" s="15" t="n">
        <v>173</v>
      </c>
      <c r="B195" s="50">
        <f>IF(A195&gt;Inputs!$C$62,"",IF(Inputs!$C$80=1,INDEX(Cohorts!$B$67:$B$326,A195),IF(A195=1,Inputs!$C$63,F194)))</f>
        <v/>
      </c>
      <c r="C195" s="50">
        <f>IF(A195&gt;Inputs!$C$62,"",IF(Inputs!$C$85=0,Inputs!$C$64,MIN(Inputs!$C$91,IF(AE195=0,0,AF195/AE195))))</f>
        <v/>
      </c>
      <c r="D195" s="51">
        <f>IF(A195&gt;Inputs!$C$62,"",IF(Inputs!$C$80=1,INDEX(Cohorts!$G$67:$G$326,A195),MAX(0, Inputs!$C$66 + Inputs!$C$67*L195 + Inputs!$C$68*(1-K195) + Inputs!$C$69*Inputs!$C$10)))</f>
        <v/>
      </c>
      <c r="E195" s="50">
        <f>IF(A195&gt;Inputs!$C$62,"",IF(Inputs!$C$80=1,INDEX(Cohorts!$H$67:$H$326,A195),D195*AD195))</f>
        <v/>
      </c>
      <c r="F195" s="50">
        <f>IF(A195&gt;Inputs!$C$62,"",IF(Inputs!$C$80=1,INDEX(Cohorts!$I$67:$I$326,A195),AD195-E195))</f>
        <v/>
      </c>
      <c r="G195" s="50">
        <f>IF(A195&gt;Inputs!$C$62,"",AD195)</f>
        <v/>
      </c>
      <c r="H195" s="50">
        <f>IF(A195&gt;Inputs!$C$62,"",INDEX(CapacityPlan!$E$7:$E$266,A195))</f>
        <v/>
      </c>
      <c r="I195" s="50">
        <f>IF(A195&gt;Inputs!$C$62,"",INDEX(CapacityPlan!$I$7:$I$266,A195))</f>
        <v/>
      </c>
      <c r="J195" s="50">
        <f>IF(A195&gt;Inputs!$C$62,"",IF(G195&gt;I195,I195,G195))</f>
        <v/>
      </c>
      <c r="K195" s="51">
        <f>IF(A195&gt;Inputs!$C$62,"",IF(G195=0,1,J195/G195))</f>
        <v/>
      </c>
      <c r="L195" s="51">
        <f>IF((Inputs!$C$36 + UnitEconomics!$B$12*Inputs!$C$37 + Inputs!$C$10*Inputs!$C$38 + Inputs!$C$70*(1-K195))&gt;1,1,(Inputs!$C$36 + UnitEconomics!$B$12*Inputs!$C$37 + Inputs!$C$10*Inputs!$C$38 + Inputs!$C$70*(1-K195)))</f>
        <v/>
      </c>
      <c r="M195" s="52">
        <f>IF(A195&gt;Inputs!$C$62,"",J195*Inputs!$C$7*(1-Inputs!$C$8)*(1-L195))</f>
        <v/>
      </c>
      <c r="N195" s="52">
        <f>IF(A195&gt;Inputs!$C$62,"",J195*UnitEconomics!$B$32*AI195 + (G195-J195)*Inputs!$C$71)</f>
        <v/>
      </c>
      <c r="O195" s="52">
        <f>M195-N195</f>
        <v/>
      </c>
      <c r="P195" s="52">
        <f>IF(A195&gt;Inputs!$C$62,"",Inputs!$C$40 + H195*Inputs!$C$41)</f>
        <v/>
      </c>
      <c r="Q195" s="52">
        <f>O195-P195</f>
        <v/>
      </c>
      <c r="R195" s="50">
        <f>IF(A195&gt;Inputs!$C$62,"",AD195*Inputs!$C$16*(Inputs!$C$9 + Inputs!$C$10*Inputs!$C$11 + Inputs!$C$12)*(1 + VLOOKUP(Inputs!$C$15,Lookups!$A$2:$B$20,2,TRUE)*(Scale!$B$9/IF(Scale!$B$8=0,1,Scale!$B$8)) + Inputs!$C$52))</f>
        <v/>
      </c>
      <c r="S195" s="50">
        <f>IF(A195=1,Scale!$B$13, W194)</f>
        <v/>
      </c>
      <c r="T195" s="50">
        <f>J195*Inputs!$C$16*(Inputs!$C$19 + Inputs!$C$20*Inputs!$C$21 + 1/Inputs!$C$18)</f>
        <v/>
      </c>
      <c r="U195" s="50">
        <f>MAX(0, (R195*(1+Inputs!$C$74)) - (S195 - T195))</f>
        <v/>
      </c>
      <c r="V195" s="50">
        <f>IF(A195&lt;=Inputs!$C$73,0,INDEX(U:U,ROW()-Inputs!$C$73))</f>
        <v/>
      </c>
      <c r="W195" s="50">
        <f>S195 - T195 + V195</f>
        <v/>
      </c>
      <c r="X195" s="52">
        <f>V195*Inputs!$C$17</f>
        <v/>
      </c>
      <c r="Y195" s="52">
        <f>IF(A195&gt;Inputs!$C$62,"",C195*AE195)</f>
        <v/>
      </c>
      <c r="Z195" s="52">
        <f>IF(A195=1,Inputs!$C$72,AA194)</f>
        <v/>
      </c>
      <c r="AA195" s="52">
        <f>Z195 + M195 - N195 - P195 - X195 - Y195</f>
        <v/>
      </c>
      <c r="AB195" s="53">
        <f>IF(AA195&lt;0,1,0)</f>
        <v/>
      </c>
      <c r="AC195" s="54">
        <f>IF(AD195=0,0,R195/(AD195*Inputs!$C$16))</f>
        <v/>
      </c>
      <c r="AD195" s="53">
        <f>IF(A195&gt;Inputs!$C$62,"",B195+C195)</f>
        <v/>
      </c>
      <c r="AE195" s="56">
        <f>IF(A195&gt;Inputs!$C$62,"", Inputs!$C$65*(1+Inputs!$C$89*POWER(MIN(1,IF(Inputs!$C$88=0,0,B195/Inputs!$C$88)),Inputs!$C$90)))</f>
        <v/>
      </c>
      <c r="AF195" s="52">
        <f>IF(A195&gt;Inputs!$C$62,"",IF(A195=1,Inputs!$C$86,MIN(Inputs!$C$86,Inputs!$C$87*M194)))</f>
        <v/>
      </c>
      <c r="AG195" s="51">
        <f>IF(A195&gt;Inputs!$C$62,"",MIN(0.5,MAX(0, Inputs!$C$67*L195 + Inputs!$C$68*(1-K195) + Inputs!$C$69*Inputs!$C$10)))</f>
        <v/>
      </c>
      <c r="AH195" s="51">
        <f>IF(A195&gt;Inputs!$C$62,"",INDEX(CapacityPlan!$G$7:$G$266,A195))</f>
        <v/>
      </c>
      <c r="AI195" s="54">
        <f>IF(A195&gt;Inputs!$C$62,"",INDEX(CapacityPlan!$J$7:$J$266,A195))</f>
        <v/>
      </c>
      <c r="AJ195" s="51">
        <f>IF(A195&gt;Inputs!$C$62,"",IF(I195=0,"",G195/I195))</f>
        <v/>
      </c>
    </row>
    <row r="196" ht="16" customHeight="1">
      <c r="A196" s="15" t="n">
        <v>174</v>
      </c>
      <c r="B196" s="50">
        <f>IF(A196&gt;Inputs!$C$62,"",IF(Inputs!$C$80=1,INDEX(Cohorts!$B$67:$B$326,A196),IF(A196=1,Inputs!$C$63,F195)))</f>
        <v/>
      </c>
      <c r="C196" s="50">
        <f>IF(A196&gt;Inputs!$C$62,"",IF(Inputs!$C$85=0,Inputs!$C$64,MIN(Inputs!$C$91,IF(AE196=0,0,AF196/AE196))))</f>
        <v/>
      </c>
      <c r="D196" s="51">
        <f>IF(A196&gt;Inputs!$C$62,"",IF(Inputs!$C$80=1,INDEX(Cohorts!$G$67:$G$326,A196),MAX(0, Inputs!$C$66 + Inputs!$C$67*L196 + Inputs!$C$68*(1-K196) + Inputs!$C$69*Inputs!$C$10)))</f>
        <v/>
      </c>
      <c r="E196" s="50">
        <f>IF(A196&gt;Inputs!$C$62,"",IF(Inputs!$C$80=1,INDEX(Cohorts!$H$67:$H$326,A196),D196*AD196))</f>
        <v/>
      </c>
      <c r="F196" s="50">
        <f>IF(A196&gt;Inputs!$C$62,"",IF(Inputs!$C$80=1,INDEX(Cohorts!$I$67:$I$326,A196),AD196-E196))</f>
        <v/>
      </c>
      <c r="G196" s="50">
        <f>IF(A196&gt;Inputs!$C$62,"",AD196)</f>
        <v/>
      </c>
      <c r="H196" s="50">
        <f>IF(A196&gt;Inputs!$C$62,"",INDEX(CapacityPlan!$E$7:$E$266,A196))</f>
        <v/>
      </c>
      <c r="I196" s="50">
        <f>IF(A196&gt;Inputs!$C$62,"",INDEX(CapacityPlan!$I$7:$I$266,A196))</f>
        <v/>
      </c>
      <c r="J196" s="50">
        <f>IF(A196&gt;Inputs!$C$62,"",IF(G196&gt;I196,I196,G196))</f>
        <v/>
      </c>
      <c r="K196" s="51">
        <f>IF(A196&gt;Inputs!$C$62,"",IF(G196=0,1,J196/G196))</f>
        <v/>
      </c>
      <c r="L196" s="51">
        <f>IF((Inputs!$C$36 + UnitEconomics!$B$12*Inputs!$C$37 + Inputs!$C$10*Inputs!$C$38 + Inputs!$C$70*(1-K196))&gt;1,1,(Inputs!$C$36 + UnitEconomics!$B$12*Inputs!$C$37 + Inputs!$C$10*Inputs!$C$38 + Inputs!$C$70*(1-K196)))</f>
        <v/>
      </c>
      <c r="M196" s="52">
        <f>IF(A196&gt;Inputs!$C$62,"",J196*Inputs!$C$7*(1-Inputs!$C$8)*(1-L196))</f>
        <v/>
      </c>
      <c r="N196" s="52">
        <f>IF(A196&gt;Inputs!$C$62,"",J196*UnitEconomics!$B$32*AI196 + (G196-J196)*Inputs!$C$71)</f>
        <v/>
      </c>
      <c r="O196" s="52">
        <f>M196-N196</f>
        <v/>
      </c>
      <c r="P196" s="52">
        <f>IF(A196&gt;Inputs!$C$62,"",Inputs!$C$40 + H196*Inputs!$C$41)</f>
        <v/>
      </c>
      <c r="Q196" s="52">
        <f>O196-P196</f>
        <v/>
      </c>
      <c r="R196" s="50">
        <f>IF(A196&gt;Inputs!$C$62,"",AD196*Inputs!$C$16*(Inputs!$C$9 + Inputs!$C$10*Inputs!$C$11 + Inputs!$C$12)*(1 + VLOOKUP(Inputs!$C$15,Lookups!$A$2:$B$20,2,TRUE)*(Scale!$B$9/IF(Scale!$B$8=0,1,Scale!$B$8)) + Inputs!$C$52))</f>
        <v/>
      </c>
      <c r="S196" s="50">
        <f>IF(A196=1,Scale!$B$13, W195)</f>
        <v/>
      </c>
      <c r="T196" s="50">
        <f>J196*Inputs!$C$16*(Inputs!$C$19 + Inputs!$C$20*Inputs!$C$21 + 1/Inputs!$C$18)</f>
        <v/>
      </c>
      <c r="U196" s="50">
        <f>MAX(0, (R196*(1+Inputs!$C$74)) - (S196 - T196))</f>
        <v/>
      </c>
      <c r="V196" s="50">
        <f>IF(A196&lt;=Inputs!$C$73,0,INDEX(U:U,ROW()-Inputs!$C$73))</f>
        <v/>
      </c>
      <c r="W196" s="50">
        <f>S196 - T196 + V196</f>
        <v/>
      </c>
      <c r="X196" s="52">
        <f>V196*Inputs!$C$17</f>
        <v/>
      </c>
      <c r="Y196" s="52">
        <f>IF(A196&gt;Inputs!$C$62,"",C196*AE196)</f>
        <v/>
      </c>
      <c r="Z196" s="52">
        <f>IF(A196=1,Inputs!$C$72,AA195)</f>
        <v/>
      </c>
      <c r="AA196" s="52">
        <f>Z196 + M196 - N196 - P196 - X196 - Y196</f>
        <v/>
      </c>
      <c r="AB196" s="53">
        <f>IF(AA196&lt;0,1,0)</f>
        <v/>
      </c>
      <c r="AC196" s="54">
        <f>IF(AD196=0,0,R196/(AD196*Inputs!$C$16))</f>
        <v/>
      </c>
      <c r="AD196" s="53">
        <f>IF(A196&gt;Inputs!$C$62,"",B196+C196)</f>
        <v/>
      </c>
      <c r="AE196" s="56">
        <f>IF(A196&gt;Inputs!$C$62,"", Inputs!$C$65*(1+Inputs!$C$89*POWER(MIN(1,IF(Inputs!$C$88=0,0,B196/Inputs!$C$88)),Inputs!$C$90)))</f>
        <v/>
      </c>
      <c r="AF196" s="52">
        <f>IF(A196&gt;Inputs!$C$62,"",IF(A196=1,Inputs!$C$86,MIN(Inputs!$C$86,Inputs!$C$87*M195)))</f>
        <v/>
      </c>
      <c r="AG196" s="51">
        <f>IF(A196&gt;Inputs!$C$62,"",MIN(0.5,MAX(0, Inputs!$C$67*L196 + Inputs!$C$68*(1-K196) + Inputs!$C$69*Inputs!$C$10)))</f>
        <v/>
      </c>
      <c r="AH196" s="51">
        <f>IF(A196&gt;Inputs!$C$62,"",INDEX(CapacityPlan!$G$7:$G$266,A196))</f>
        <v/>
      </c>
      <c r="AI196" s="54">
        <f>IF(A196&gt;Inputs!$C$62,"",INDEX(CapacityPlan!$J$7:$J$266,A196))</f>
        <v/>
      </c>
      <c r="AJ196" s="51">
        <f>IF(A196&gt;Inputs!$C$62,"",IF(I196=0,"",G196/I196))</f>
        <v/>
      </c>
    </row>
    <row r="197" ht="16" customHeight="1">
      <c r="A197" s="15" t="n">
        <v>175</v>
      </c>
      <c r="B197" s="50">
        <f>IF(A197&gt;Inputs!$C$62,"",IF(Inputs!$C$80=1,INDEX(Cohorts!$B$67:$B$326,A197),IF(A197=1,Inputs!$C$63,F196)))</f>
        <v/>
      </c>
      <c r="C197" s="50">
        <f>IF(A197&gt;Inputs!$C$62,"",IF(Inputs!$C$85=0,Inputs!$C$64,MIN(Inputs!$C$91,IF(AE197=0,0,AF197/AE197))))</f>
        <v/>
      </c>
      <c r="D197" s="51">
        <f>IF(A197&gt;Inputs!$C$62,"",IF(Inputs!$C$80=1,INDEX(Cohorts!$G$67:$G$326,A197),MAX(0, Inputs!$C$66 + Inputs!$C$67*L197 + Inputs!$C$68*(1-K197) + Inputs!$C$69*Inputs!$C$10)))</f>
        <v/>
      </c>
      <c r="E197" s="50">
        <f>IF(A197&gt;Inputs!$C$62,"",IF(Inputs!$C$80=1,INDEX(Cohorts!$H$67:$H$326,A197),D197*AD197))</f>
        <v/>
      </c>
      <c r="F197" s="50">
        <f>IF(A197&gt;Inputs!$C$62,"",IF(Inputs!$C$80=1,INDEX(Cohorts!$I$67:$I$326,A197),AD197-E197))</f>
        <v/>
      </c>
      <c r="G197" s="50">
        <f>IF(A197&gt;Inputs!$C$62,"",AD197)</f>
        <v/>
      </c>
      <c r="H197" s="50">
        <f>IF(A197&gt;Inputs!$C$62,"",INDEX(CapacityPlan!$E$7:$E$266,A197))</f>
        <v/>
      </c>
      <c r="I197" s="50">
        <f>IF(A197&gt;Inputs!$C$62,"",INDEX(CapacityPlan!$I$7:$I$266,A197))</f>
        <v/>
      </c>
      <c r="J197" s="50">
        <f>IF(A197&gt;Inputs!$C$62,"",IF(G197&gt;I197,I197,G197))</f>
        <v/>
      </c>
      <c r="K197" s="51">
        <f>IF(A197&gt;Inputs!$C$62,"",IF(G197=0,1,J197/G197))</f>
        <v/>
      </c>
      <c r="L197" s="51">
        <f>IF((Inputs!$C$36 + UnitEconomics!$B$12*Inputs!$C$37 + Inputs!$C$10*Inputs!$C$38 + Inputs!$C$70*(1-K197))&gt;1,1,(Inputs!$C$36 + UnitEconomics!$B$12*Inputs!$C$37 + Inputs!$C$10*Inputs!$C$38 + Inputs!$C$70*(1-K197)))</f>
        <v/>
      </c>
      <c r="M197" s="52">
        <f>IF(A197&gt;Inputs!$C$62,"",J197*Inputs!$C$7*(1-Inputs!$C$8)*(1-L197))</f>
        <v/>
      </c>
      <c r="N197" s="52">
        <f>IF(A197&gt;Inputs!$C$62,"",J197*UnitEconomics!$B$32*AI197 + (G197-J197)*Inputs!$C$71)</f>
        <v/>
      </c>
      <c r="O197" s="52">
        <f>M197-N197</f>
        <v/>
      </c>
      <c r="P197" s="52">
        <f>IF(A197&gt;Inputs!$C$62,"",Inputs!$C$40 + H197*Inputs!$C$41)</f>
        <v/>
      </c>
      <c r="Q197" s="52">
        <f>O197-P197</f>
        <v/>
      </c>
      <c r="R197" s="50">
        <f>IF(A197&gt;Inputs!$C$62,"",AD197*Inputs!$C$16*(Inputs!$C$9 + Inputs!$C$10*Inputs!$C$11 + Inputs!$C$12)*(1 + VLOOKUP(Inputs!$C$15,Lookups!$A$2:$B$20,2,TRUE)*(Scale!$B$9/IF(Scale!$B$8=0,1,Scale!$B$8)) + Inputs!$C$52))</f>
        <v/>
      </c>
      <c r="S197" s="50">
        <f>IF(A197=1,Scale!$B$13, W196)</f>
        <v/>
      </c>
      <c r="T197" s="50">
        <f>J197*Inputs!$C$16*(Inputs!$C$19 + Inputs!$C$20*Inputs!$C$21 + 1/Inputs!$C$18)</f>
        <v/>
      </c>
      <c r="U197" s="50">
        <f>MAX(0, (R197*(1+Inputs!$C$74)) - (S197 - T197))</f>
        <v/>
      </c>
      <c r="V197" s="50">
        <f>IF(A197&lt;=Inputs!$C$73,0,INDEX(U:U,ROW()-Inputs!$C$73))</f>
        <v/>
      </c>
      <c r="W197" s="50">
        <f>S197 - T197 + V197</f>
        <v/>
      </c>
      <c r="X197" s="52">
        <f>V197*Inputs!$C$17</f>
        <v/>
      </c>
      <c r="Y197" s="52">
        <f>IF(A197&gt;Inputs!$C$62,"",C197*AE197)</f>
        <v/>
      </c>
      <c r="Z197" s="52">
        <f>IF(A197=1,Inputs!$C$72,AA196)</f>
        <v/>
      </c>
      <c r="AA197" s="52">
        <f>Z197 + M197 - N197 - P197 - X197 - Y197</f>
        <v/>
      </c>
      <c r="AB197" s="53">
        <f>IF(AA197&lt;0,1,0)</f>
        <v/>
      </c>
      <c r="AC197" s="54">
        <f>IF(AD197=0,0,R197/(AD197*Inputs!$C$16))</f>
        <v/>
      </c>
      <c r="AD197" s="53">
        <f>IF(A197&gt;Inputs!$C$62,"",B197+C197)</f>
        <v/>
      </c>
      <c r="AE197" s="56">
        <f>IF(A197&gt;Inputs!$C$62,"", Inputs!$C$65*(1+Inputs!$C$89*POWER(MIN(1,IF(Inputs!$C$88=0,0,B197/Inputs!$C$88)),Inputs!$C$90)))</f>
        <v/>
      </c>
      <c r="AF197" s="52">
        <f>IF(A197&gt;Inputs!$C$62,"",IF(A197=1,Inputs!$C$86,MIN(Inputs!$C$86,Inputs!$C$87*M196)))</f>
        <v/>
      </c>
      <c r="AG197" s="51">
        <f>IF(A197&gt;Inputs!$C$62,"",MIN(0.5,MAX(0, Inputs!$C$67*L197 + Inputs!$C$68*(1-K197) + Inputs!$C$69*Inputs!$C$10)))</f>
        <v/>
      </c>
      <c r="AH197" s="51">
        <f>IF(A197&gt;Inputs!$C$62,"",INDEX(CapacityPlan!$G$7:$G$266,A197))</f>
        <v/>
      </c>
      <c r="AI197" s="54">
        <f>IF(A197&gt;Inputs!$C$62,"",INDEX(CapacityPlan!$J$7:$J$266,A197))</f>
        <v/>
      </c>
      <c r="AJ197" s="51">
        <f>IF(A197&gt;Inputs!$C$62,"",IF(I197=0,"",G197/I197))</f>
        <v/>
      </c>
    </row>
    <row r="198" ht="16" customHeight="1">
      <c r="A198" s="15" t="n">
        <v>176</v>
      </c>
      <c r="B198" s="50">
        <f>IF(A198&gt;Inputs!$C$62,"",IF(Inputs!$C$80=1,INDEX(Cohorts!$B$67:$B$326,A198),IF(A198=1,Inputs!$C$63,F197)))</f>
        <v/>
      </c>
      <c r="C198" s="50">
        <f>IF(A198&gt;Inputs!$C$62,"",IF(Inputs!$C$85=0,Inputs!$C$64,MIN(Inputs!$C$91,IF(AE198=0,0,AF198/AE198))))</f>
        <v/>
      </c>
      <c r="D198" s="51">
        <f>IF(A198&gt;Inputs!$C$62,"",IF(Inputs!$C$80=1,INDEX(Cohorts!$G$67:$G$326,A198),MAX(0, Inputs!$C$66 + Inputs!$C$67*L198 + Inputs!$C$68*(1-K198) + Inputs!$C$69*Inputs!$C$10)))</f>
        <v/>
      </c>
      <c r="E198" s="50">
        <f>IF(A198&gt;Inputs!$C$62,"",IF(Inputs!$C$80=1,INDEX(Cohorts!$H$67:$H$326,A198),D198*AD198))</f>
        <v/>
      </c>
      <c r="F198" s="50">
        <f>IF(A198&gt;Inputs!$C$62,"",IF(Inputs!$C$80=1,INDEX(Cohorts!$I$67:$I$326,A198),AD198-E198))</f>
        <v/>
      </c>
      <c r="G198" s="50">
        <f>IF(A198&gt;Inputs!$C$62,"",AD198)</f>
        <v/>
      </c>
      <c r="H198" s="50">
        <f>IF(A198&gt;Inputs!$C$62,"",INDEX(CapacityPlan!$E$7:$E$266,A198))</f>
        <v/>
      </c>
      <c r="I198" s="50">
        <f>IF(A198&gt;Inputs!$C$62,"",INDEX(CapacityPlan!$I$7:$I$266,A198))</f>
        <v/>
      </c>
      <c r="J198" s="50">
        <f>IF(A198&gt;Inputs!$C$62,"",IF(G198&gt;I198,I198,G198))</f>
        <v/>
      </c>
      <c r="K198" s="51">
        <f>IF(A198&gt;Inputs!$C$62,"",IF(G198=0,1,J198/G198))</f>
        <v/>
      </c>
      <c r="L198" s="51">
        <f>IF((Inputs!$C$36 + UnitEconomics!$B$12*Inputs!$C$37 + Inputs!$C$10*Inputs!$C$38 + Inputs!$C$70*(1-K198))&gt;1,1,(Inputs!$C$36 + UnitEconomics!$B$12*Inputs!$C$37 + Inputs!$C$10*Inputs!$C$38 + Inputs!$C$70*(1-K198)))</f>
        <v/>
      </c>
      <c r="M198" s="52">
        <f>IF(A198&gt;Inputs!$C$62,"",J198*Inputs!$C$7*(1-Inputs!$C$8)*(1-L198))</f>
        <v/>
      </c>
      <c r="N198" s="52">
        <f>IF(A198&gt;Inputs!$C$62,"",J198*UnitEconomics!$B$32*AI198 + (G198-J198)*Inputs!$C$71)</f>
        <v/>
      </c>
      <c r="O198" s="52">
        <f>M198-N198</f>
        <v/>
      </c>
      <c r="P198" s="52">
        <f>IF(A198&gt;Inputs!$C$62,"",Inputs!$C$40 + H198*Inputs!$C$41)</f>
        <v/>
      </c>
      <c r="Q198" s="52">
        <f>O198-P198</f>
        <v/>
      </c>
      <c r="R198" s="50">
        <f>IF(A198&gt;Inputs!$C$62,"",AD198*Inputs!$C$16*(Inputs!$C$9 + Inputs!$C$10*Inputs!$C$11 + Inputs!$C$12)*(1 + VLOOKUP(Inputs!$C$15,Lookups!$A$2:$B$20,2,TRUE)*(Scale!$B$9/IF(Scale!$B$8=0,1,Scale!$B$8)) + Inputs!$C$52))</f>
        <v/>
      </c>
      <c r="S198" s="50">
        <f>IF(A198=1,Scale!$B$13, W197)</f>
        <v/>
      </c>
      <c r="T198" s="50">
        <f>J198*Inputs!$C$16*(Inputs!$C$19 + Inputs!$C$20*Inputs!$C$21 + 1/Inputs!$C$18)</f>
        <v/>
      </c>
      <c r="U198" s="50">
        <f>MAX(0, (R198*(1+Inputs!$C$74)) - (S198 - T198))</f>
        <v/>
      </c>
      <c r="V198" s="50">
        <f>IF(A198&lt;=Inputs!$C$73,0,INDEX(U:U,ROW()-Inputs!$C$73))</f>
        <v/>
      </c>
      <c r="W198" s="50">
        <f>S198 - T198 + V198</f>
        <v/>
      </c>
      <c r="X198" s="52">
        <f>V198*Inputs!$C$17</f>
        <v/>
      </c>
      <c r="Y198" s="52">
        <f>IF(A198&gt;Inputs!$C$62,"",C198*AE198)</f>
        <v/>
      </c>
      <c r="Z198" s="52">
        <f>IF(A198=1,Inputs!$C$72,AA197)</f>
        <v/>
      </c>
      <c r="AA198" s="52">
        <f>Z198 + M198 - N198 - P198 - X198 - Y198</f>
        <v/>
      </c>
      <c r="AB198" s="53">
        <f>IF(AA198&lt;0,1,0)</f>
        <v/>
      </c>
      <c r="AC198" s="54">
        <f>IF(AD198=0,0,R198/(AD198*Inputs!$C$16))</f>
        <v/>
      </c>
      <c r="AD198" s="53">
        <f>IF(A198&gt;Inputs!$C$62,"",B198+C198)</f>
        <v/>
      </c>
      <c r="AE198" s="56">
        <f>IF(A198&gt;Inputs!$C$62,"", Inputs!$C$65*(1+Inputs!$C$89*POWER(MIN(1,IF(Inputs!$C$88=0,0,B198/Inputs!$C$88)),Inputs!$C$90)))</f>
        <v/>
      </c>
      <c r="AF198" s="52">
        <f>IF(A198&gt;Inputs!$C$62,"",IF(A198=1,Inputs!$C$86,MIN(Inputs!$C$86,Inputs!$C$87*M197)))</f>
        <v/>
      </c>
      <c r="AG198" s="51">
        <f>IF(A198&gt;Inputs!$C$62,"",MIN(0.5,MAX(0, Inputs!$C$67*L198 + Inputs!$C$68*(1-K198) + Inputs!$C$69*Inputs!$C$10)))</f>
        <v/>
      </c>
      <c r="AH198" s="51">
        <f>IF(A198&gt;Inputs!$C$62,"",INDEX(CapacityPlan!$G$7:$G$266,A198))</f>
        <v/>
      </c>
      <c r="AI198" s="54">
        <f>IF(A198&gt;Inputs!$C$62,"",INDEX(CapacityPlan!$J$7:$J$266,A198))</f>
        <v/>
      </c>
      <c r="AJ198" s="51">
        <f>IF(A198&gt;Inputs!$C$62,"",IF(I198=0,"",G198/I198))</f>
        <v/>
      </c>
    </row>
    <row r="199" ht="16" customHeight="1">
      <c r="A199" s="15" t="n">
        <v>177</v>
      </c>
      <c r="B199" s="50">
        <f>IF(A199&gt;Inputs!$C$62,"",IF(Inputs!$C$80=1,INDEX(Cohorts!$B$67:$B$326,A199),IF(A199=1,Inputs!$C$63,F198)))</f>
        <v/>
      </c>
      <c r="C199" s="50">
        <f>IF(A199&gt;Inputs!$C$62,"",IF(Inputs!$C$85=0,Inputs!$C$64,MIN(Inputs!$C$91,IF(AE199=0,0,AF199/AE199))))</f>
        <v/>
      </c>
      <c r="D199" s="51">
        <f>IF(A199&gt;Inputs!$C$62,"",IF(Inputs!$C$80=1,INDEX(Cohorts!$G$67:$G$326,A199),MAX(0, Inputs!$C$66 + Inputs!$C$67*L199 + Inputs!$C$68*(1-K199) + Inputs!$C$69*Inputs!$C$10)))</f>
        <v/>
      </c>
      <c r="E199" s="50">
        <f>IF(A199&gt;Inputs!$C$62,"",IF(Inputs!$C$80=1,INDEX(Cohorts!$H$67:$H$326,A199),D199*AD199))</f>
        <v/>
      </c>
      <c r="F199" s="50">
        <f>IF(A199&gt;Inputs!$C$62,"",IF(Inputs!$C$80=1,INDEX(Cohorts!$I$67:$I$326,A199),AD199-E199))</f>
        <v/>
      </c>
      <c r="G199" s="50">
        <f>IF(A199&gt;Inputs!$C$62,"",AD199)</f>
        <v/>
      </c>
      <c r="H199" s="50">
        <f>IF(A199&gt;Inputs!$C$62,"",INDEX(CapacityPlan!$E$7:$E$266,A199))</f>
        <v/>
      </c>
      <c r="I199" s="50">
        <f>IF(A199&gt;Inputs!$C$62,"",INDEX(CapacityPlan!$I$7:$I$266,A199))</f>
        <v/>
      </c>
      <c r="J199" s="50">
        <f>IF(A199&gt;Inputs!$C$62,"",IF(G199&gt;I199,I199,G199))</f>
        <v/>
      </c>
      <c r="K199" s="51">
        <f>IF(A199&gt;Inputs!$C$62,"",IF(G199=0,1,J199/G199))</f>
        <v/>
      </c>
      <c r="L199" s="51">
        <f>IF((Inputs!$C$36 + UnitEconomics!$B$12*Inputs!$C$37 + Inputs!$C$10*Inputs!$C$38 + Inputs!$C$70*(1-K199))&gt;1,1,(Inputs!$C$36 + UnitEconomics!$B$12*Inputs!$C$37 + Inputs!$C$10*Inputs!$C$38 + Inputs!$C$70*(1-K199)))</f>
        <v/>
      </c>
      <c r="M199" s="52">
        <f>IF(A199&gt;Inputs!$C$62,"",J199*Inputs!$C$7*(1-Inputs!$C$8)*(1-L199))</f>
        <v/>
      </c>
      <c r="N199" s="52">
        <f>IF(A199&gt;Inputs!$C$62,"",J199*UnitEconomics!$B$32*AI199 + (G199-J199)*Inputs!$C$71)</f>
        <v/>
      </c>
      <c r="O199" s="52">
        <f>M199-N199</f>
        <v/>
      </c>
      <c r="P199" s="52">
        <f>IF(A199&gt;Inputs!$C$62,"",Inputs!$C$40 + H199*Inputs!$C$41)</f>
        <v/>
      </c>
      <c r="Q199" s="52">
        <f>O199-P199</f>
        <v/>
      </c>
      <c r="R199" s="50">
        <f>IF(A199&gt;Inputs!$C$62,"",AD199*Inputs!$C$16*(Inputs!$C$9 + Inputs!$C$10*Inputs!$C$11 + Inputs!$C$12)*(1 + VLOOKUP(Inputs!$C$15,Lookups!$A$2:$B$20,2,TRUE)*(Scale!$B$9/IF(Scale!$B$8=0,1,Scale!$B$8)) + Inputs!$C$52))</f>
        <v/>
      </c>
      <c r="S199" s="50">
        <f>IF(A199=1,Scale!$B$13, W198)</f>
        <v/>
      </c>
      <c r="T199" s="50">
        <f>J199*Inputs!$C$16*(Inputs!$C$19 + Inputs!$C$20*Inputs!$C$21 + 1/Inputs!$C$18)</f>
        <v/>
      </c>
      <c r="U199" s="50">
        <f>MAX(0, (R199*(1+Inputs!$C$74)) - (S199 - T199))</f>
        <v/>
      </c>
      <c r="V199" s="50">
        <f>IF(A199&lt;=Inputs!$C$73,0,INDEX(U:U,ROW()-Inputs!$C$73))</f>
        <v/>
      </c>
      <c r="W199" s="50">
        <f>S199 - T199 + V199</f>
        <v/>
      </c>
      <c r="X199" s="52">
        <f>V199*Inputs!$C$17</f>
        <v/>
      </c>
      <c r="Y199" s="52">
        <f>IF(A199&gt;Inputs!$C$62,"",C199*AE199)</f>
        <v/>
      </c>
      <c r="Z199" s="52">
        <f>IF(A199=1,Inputs!$C$72,AA198)</f>
        <v/>
      </c>
      <c r="AA199" s="52">
        <f>Z199 + M199 - N199 - P199 - X199 - Y199</f>
        <v/>
      </c>
      <c r="AB199" s="53">
        <f>IF(AA199&lt;0,1,0)</f>
        <v/>
      </c>
      <c r="AC199" s="54">
        <f>IF(AD199=0,0,R199/(AD199*Inputs!$C$16))</f>
        <v/>
      </c>
      <c r="AD199" s="53">
        <f>IF(A199&gt;Inputs!$C$62,"",B199+C199)</f>
        <v/>
      </c>
      <c r="AE199" s="56">
        <f>IF(A199&gt;Inputs!$C$62,"", Inputs!$C$65*(1+Inputs!$C$89*POWER(MIN(1,IF(Inputs!$C$88=0,0,B199/Inputs!$C$88)),Inputs!$C$90)))</f>
        <v/>
      </c>
      <c r="AF199" s="52">
        <f>IF(A199&gt;Inputs!$C$62,"",IF(A199=1,Inputs!$C$86,MIN(Inputs!$C$86,Inputs!$C$87*M198)))</f>
        <v/>
      </c>
      <c r="AG199" s="51">
        <f>IF(A199&gt;Inputs!$C$62,"",MIN(0.5,MAX(0, Inputs!$C$67*L199 + Inputs!$C$68*(1-K199) + Inputs!$C$69*Inputs!$C$10)))</f>
        <v/>
      </c>
      <c r="AH199" s="51">
        <f>IF(A199&gt;Inputs!$C$62,"",INDEX(CapacityPlan!$G$7:$G$266,A199))</f>
        <v/>
      </c>
      <c r="AI199" s="54">
        <f>IF(A199&gt;Inputs!$C$62,"",INDEX(CapacityPlan!$J$7:$J$266,A199))</f>
        <v/>
      </c>
      <c r="AJ199" s="51">
        <f>IF(A199&gt;Inputs!$C$62,"",IF(I199=0,"",G199/I199))</f>
        <v/>
      </c>
    </row>
    <row r="200" ht="16" customHeight="1">
      <c r="A200" s="15" t="n">
        <v>178</v>
      </c>
      <c r="B200" s="50">
        <f>IF(A200&gt;Inputs!$C$62,"",IF(Inputs!$C$80=1,INDEX(Cohorts!$B$67:$B$326,A200),IF(A200=1,Inputs!$C$63,F199)))</f>
        <v/>
      </c>
      <c r="C200" s="50">
        <f>IF(A200&gt;Inputs!$C$62,"",IF(Inputs!$C$85=0,Inputs!$C$64,MIN(Inputs!$C$91,IF(AE200=0,0,AF200/AE200))))</f>
        <v/>
      </c>
      <c r="D200" s="51">
        <f>IF(A200&gt;Inputs!$C$62,"",IF(Inputs!$C$80=1,INDEX(Cohorts!$G$67:$G$326,A200),MAX(0, Inputs!$C$66 + Inputs!$C$67*L200 + Inputs!$C$68*(1-K200) + Inputs!$C$69*Inputs!$C$10)))</f>
        <v/>
      </c>
      <c r="E200" s="50">
        <f>IF(A200&gt;Inputs!$C$62,"",IF(Inputs!$C$80=1,INDEX(Cohorts!$H$67:$H$326,A200),D200*AD200))</f>
        <v/>
      </c>
      <c r="F200" s="50">
        <f>IF(A200&gt;Inputs!$C$62,"",IF(Inputs!$C$80=1,INDEX(Cohorts!$I$67:$I$326,A200),AD200-E200))</f>
        <v/>
      </c>
      <c r="G200" s="50">
        <f>IF(A200&gt;Inputs!$C$62,"",AD200)</f>
        <v/>
      </c>
      <c r="H200" s="50">
        <f>IF(A200&gt;Inputs!$C$62,"",INDEX(CapacityPlan!$E$7:$E$266,A200))</f>
        <v/>
      </c>
      <c r="I200" s="50">
        <f>IF(A200&gt;Inputs!$C$62,"",INDEX(CapacityPlan!$I$7:$I$266,A200))</f>
        <v/>
      </c>
      <c r="J200" s="50">
        <f>IF(A200&gt;Inputs!$C$62,"",IF(G200&gt;I200,I200,G200))</f>
        <v/>
      </c>
      <c r="K200" s="51">
        <f>IF(A200&gt;Inputs!$C$62,"",IF(G200=0,1,J200/G200))</f>
        <v/>
      </c>
      <c r="L200" s="51">
        <f>IF((Inputs!$C$36 + UnitEconomics!$B$12*Inputs!$C$37 + Inputs!$C$10*Inputs!$C$38 + Inputs!$C$70*(1-K200))&gt;1,1,(Inputs!$C$36 + UnitEconomics!$B$12*Inputs!$C$37 + Inputs!$C$10*Inputs!$C$38 + Inputs!$C$70*(1-K200)))</f>
        <v/>
      </c>
      <c r="M200" s="52">
        <f>IF(A200&gt;Inputs!$C$62,"",J200*Inputs!$C$7*(1-Inputs!$C$8)*(1-L200))</f>
        <v/>
      </c>
      <c r="N200" s="52">
        <f>IF(A200&gt;Inputs!$C$62,"",J200*UnitEconomics!$B$32*AI200 + (G200-J200)*Inputs!$C$71)</f>
        <v/>
      </c>
      <c r="O200" s="52">
        <f>M200-N200</f>
        <v/>
      </c>
      <c r="P200" s="52">
        <f>IF(A200&gt;Inputs!$C$62,"",Inputs!$C$40 + H200*Inputs!$C$41)</f>
        <v/>
      </c>
      <c r="Q200" s="52">
        <f>O200-P200</f>
        <v/>
      </c>
      <c r="R200" s="50">
        <f>IF(A200&gt;Inputs!$C$62,"",AD200*Inputs!$C$16*(Inputs!$C$9 + Inputs!$C$10*Inputs!$C$11 + Inputs!$C$12)*(1 + VLOOKUP(Inputs!$C$15,Lookups!$A$2:$B$20,2,TRUE)*(Scale!$B$9/IF(Scale!$B$8=0,1,Scale!$B$8)) + Inputs!$C$52))</f>
        <v/>
      </c>
      <c r="S200" s="50">
        <f>IF(A200=1,Scale!$B$13, W199)</f>
        <v/>
      </c>
      <c r="T200" s="50">
        <f>J200*Inputs!$C$16*(Inputs!$C$19 + Inputs!$C$20*Inputs!$C$21 + 1/Inputs!$C$18)</f>
        <v/>
      </c>
      <c r="U200" s="50">
        <f>MAX(0, (R200*(1+Inputs!$C$74)) - (S200 - T200))</f>
        <v/>
      </c>
      <c r="V200" s="50">
        <f>IF(A200&lt;=Inputs!$C$73,0,INDEX(U:U,ROW()-Inputs!$C$73))</f>
        <v/>
      </c>
      <c r="W200" s="50">
        <f>S200 - T200 + V200</f>
        <v/>
      </c>
      <c r="X200" s="52">
        <f>V200*Inputs!$C$17</f>
        <v/>
      </c>
      <c r="Y200" s="52">
        <f>IF(A200&gt;Inputs!$C$62,"",C200*AE200)</f>
        <v/>
      </c>
      <c r="Z200" s="52">
        <f>IF(A200=1,Inputs!$C$72,AA199)</f>
        <v/>
      </c>
      <c r="AA200" s="52">
        <f>Z200 + M200 - N200 - P200 - X200 - Y200</f>
        <v/>
      </c>
      <c r="AB200" s="53">
        <f>IF(AA200&lt;0,1,0)</f>
        <v/>
      </c>
      <c r="AC200" s="54">
        <f>IF(AD200=0,0,R200/(AD200*Inputs!$C$16))</f>
        <v/>
      </c>
      <c r="AD200" s="53">
        <f>IF(A200&gt;Inputs!$C$62,"",B200+C200)</f>
        <v/>
      </c>
      <c r="AE200" s="56">
        <f>IF(A200&gt;Inputs!$C$62,"", Inputs!$C$65*(1+Inputs!$C$89*POWER(MIN(1,IF(Inputs!$C$88=0,0,B200/Inputs!$C$88)),Inputs!$C$90)))</f>
        <v/>
      </c>
      <c r="AF200" s="52">
        <f>IF(A200&gt;Inputs!$C$62,"",IF(A200=1,Inputs!$C$86,MIN(Inputs!$C$86,Inputs!$C$87*M199)))</f>
        <v/>
      </c>
      <c r="AG200" s="51">
        <f>IF(A200&gt;Inputs!$C$62,"",MIN(0.5,MAX(0, Inputs!$C$67*L200 + Inputs!$C$68*(1-K200) + Inputs!$C$69*Inputs!$C$10)))</f>
        <v/>
      </c>
      <c r="AH200" s="51">
        <f>IF(A200&gt;Inputs!$C$62,"",INDEX(CapacityPlan!$G$7:$G$266,A200))</f>
        <v/>
      </c>
      <c r="AI200" s="54">
        <f>IF(A200&gt;Inputs!$C$62,"",INDEX(CapacityPlan!$J$7:$J$266,A200))</f>
        <v/>
      </c>
      <c r="AJ200" s="51">
        <f>IF(A200&gt;Inputs!$C$62,"",IF(I200=0,"",G200/I200))</f>
        <v/>
      </c>
    </row>
    <row r="201" ht="16" customHeight="1">
      <c r="A201" s="15" t="n">
        <v>179</v>
      </c>
      <c r="B201" s="50">
        <f>IF(A201&gt;Inputs!$C$62,"",IF(Inputs!$C$80=1,INDEX(Cohorts!$B$67:$B$326,A201),IF(A201=1,Inputs!$C$63,F200)))</f>
        <v/>
      </c>
      <c r="C201" s="50">
        <f>IF(A201&gt;Inputs!$C$62,"",IF(Inputs!$C$85=0,Inputs!$C$64,MIN(Inputs!$C$91,IF(AE201=0,0,AF201/AE201))))</f>
        <v/>
      </c>
      <c r="D201" s="51">
        <f>IF(A201&gt;Inputs!$C$62,"",IF(Inputs!$C$80=1,INDEX(Cohorts!$G$67:$G$326,A201),MAX(0, Inputs!$C$66 + Inputs!$C$67*L201 + Inputs!$C$68*(1-K201) + Inputs!$C$69*Inputs!$C$10)))</f>
        <v/>
      </c>
      <c r="E201" s="50">
        <f>IF(A201&gt;Inputs!$C$62,"",IF(Inputs!$C$80=1,INDEX(Cohorts!$H$67:$H$326,A201),D201*AD201))</f>
        <v/>
      </c>
      <c r="F201" s="50">
        <f>IF(A201&gt;Inputs!$C$62,"",IF(Inputs!$C$80=1,INDEX(Cohorts!$I$67:$I$326,A201),AD201-E201))</f>
        <v/>
      </c>
      <c r="G201" s="50">
        <f>IF(A201&gt;Inputs!$C$62,"",AD201)</f>
        <v/>
      </c>
      <c r="H201" s="50">
        <f>IF(A201&gt;Inputs!$C$62,"",INDEX(CapacityPlan!$E$7:$E$266,A201))</f>
        <v/>
      </c>
      <c r="I201" s="50">
        <f>IF(A201&gt;Inputs!$C$62,"",INDEX(CapacityPlan!$I$7:$I$266,A201))</f>
        <v/>
      </c>
      <c r="J201" s="50">
        <f>IF(A201&gt;Inputs!$C$62,"",IF(G201&gt;I201,I201,G201))</f>
        <v/>
      </c>
      <c r="K201" s="51">
        <f>IF(A201&gt;Inputs!$C$62,"",IF(G201=0,1,J201/G201))</f>
        <v/>
      </c>
      <c r="L201" s="51">
        <f>IF((Inputs!$C$36 + UnitEconomics!$B$12*Inputs!$C$37 + Inputs!$C$10*Inputs!$C$38 + Inputs!$C$70*(1-K201))&gt;1,1,(Inputs!$C$36 + UnitEconomics!$B$12*Inputs!$C$37 + Inputs!$C$10*Inputs!$C$38 + Inputs!$C$70*(1-K201)))</f>
        <v/>
      </c>
      <c r="M201" s="52">
        <f>IF(A201&gt;Inputs!$C$62,"",J201*Inputs!$C$7*(1-Inputs!$C$8)*(1-L201))</f>
        <v/>
      </c>
      <c r="N201" s="52">
        <f>IF(A201&gt;Inputs!$C$62,"",J201*UnitEconomics!$B$32*AI201 + (G201-J201)*Inputs!$C$71)</f>
        <v/>
      </c>
      <c r="O201" s="52">
        <f>M201-N201</f>
        <v/>
      </c>
      <c r="P201" s="52">
        <f>IF(A201&gt;Inputs!$C$62,"",Inputs!$C$40 + H201*Inputs!$C$41)</f>
        <v/>
      </c>
      <c r="Q201" s="52">
        <f>O201-P201</f>
        <v/>
      </c>
      <c r="R201" s="50">
        <f>IF(A201&gt;Inputs!$C$62,"",AD201*Inputs!$C$16*(Inputs!$C$9 + Inputs!$C$10*Inputs!$C$11 + Inputs!$C$12)*(1 + VLOOKUP(Inputs!$C$15,Lookups!$A$2:$B$20,2,TRUE)*(Scale!$B$9/IF(Scale!$B$8=0,1,Scale!$B$8)) + Inputs!$C$52))</f>
        <v/>
      </c>
      <c r="S201" s="50">
        <f>IF(A201=1,Scale!$B$13, W200)</f>
        <v/>
      </c>
      <c r="T201" s="50">
        <f>J201*Inputs!$C$16*(Inputs!$C$19 + Inputs!$C$20*Inputs!$C$21 + 1/Inputs!$C$18)</f>
        <v/>
      </c>
      <c r="U201" s="50">
        <f>MAX(0, (R201*(1+Inputs!$C$74)) - (S201 - T201))</f>
        <v/>
      </c>
      <c r="V201" s="50">
        <f>IF(A201&lt;=Inputs!$C$73,0,INDEX(U:U,ROW()-Inputs!$C$73))</f>
        <v/>
      </c>
      <c r="W201" s="50">
        <f>S201 - T201 + V201</f>
        <v/>
      </c>
      <c r="X201" s="52">
        <f>V201*Inputs!$C$17</f>
        <v/>
      </c>
      <c r="Y201" s="52">
        <f>IF(A201&gt;Inputs!$C$62,"",C201*AE201)</f>
        <v/>
      </c>
      <c r="Z201" s="52">
        <f>IF(A201=1,Inputs!$C$72,AA200)</f>
        <v/>
      </c>
      <c r="AA201" s="52">
        <f>Z201 + M201 - N201 - P201 - X201 - Y201</f>
        <v/>
      </c>
      <c r="AB201" s="53">
        <f>IF(AA201&lt;0,1,0)</f>
        <v/>
      </c>
      <c r="AC201" s="54">
        <f>IF(AD201=0,0,R201/(AD201*Inputs!$C$16))</f>
        <v/>
      </c>
      <c r="AD201" s="53">
        <f>IF(A201&gt;Inputs!$C$62,"",B201+C201)</f>
        <v/>
      </c>
      <c r="AE201" s="56">
        <f>IF(A201&gt;Inputs!$C$62,"", Inputs!$C$65*(1+Inputs!$C$89*POWER(MIN(1,IF(Inputs!$C$88=0,0,B201/Inputs!$C$88)),Inputs!$C$90)))</f>
        <v/>
      </c>
      <c r="AF201" s="52">
        <f>IF(A201&gt;Inputs!$C$62,"",IF(A201=1,Inputs!$C$86,MIN(Inputs!$C$86,Inputs!$C$87*M200)))</f>
        <v/>
      </c>
      <c r="AG201" s="51">
        <f>IF(A201&gt;Inputs!$C$62,"",MIN(0.5,MAX(0, Inputs!$C$67*L201 + Inputs!$C$68*(1-K201) + Inputs!$C$69*Inputs!$C$10)))</f>
        <v/>
      </c>
      <c r="AH201" s="51">
        <f>IF(A201&gt;Inputs!$C$62,"",INDEX(CapacityPlan!$G$7:$G$266,A201))</f>
        <v/>
      </c>
      <c r="AI201" s="54">
        <f>IF(A201&gt;Inputs!$C$62,"",INDEX(CapacityPlan!$J$7:$J$266,A201))</f>
        <v/>
      </c>
      <c r="AJ201" s="51">
        <f>IF(A201&gt;Inputs!$C$62,"",IF(I201=0,"",G201/I201))</f>
        <v/>
      </c>
    </row>
    <row r="202" ht="16" customHeight="1">
      <c r="A202" s="15" t="n">
        <v>180</v>
      </c>
      <c r="B202" s="50">
        <f>IF(A202&gt;Inputs!$C$62,"",IF(Inputs!$C$80=1,INDEX(Cohorts!$B$67:$B$326,A202),IF(A202=1,Inputs!$C$63,F201)))</f>
        <v/>
      </c>
      <c r="C202" s="50">
        <f>IF(A202&gt;Inputs!$C$62,"",IF(Inputs!$C$85=0,Inputs!$C$64,MIN(Inputs!$C$91,IF(AE202=0,0,AF202/AE202))))</f>
        <v/>
      </c>
      <c r="D202" s="51">
        <f>IF(A202&gt;Inputs!$C$62,"",IF(Inputs!$C$80=1,INDEX(Cohorts!$G$67:$G$326,A202),MAX(0, Inputs!$C$66 + Inputs!$C$67*L202 + Inputs!$C$68*(1-K202) + Inputs!$C$69*Inputs!$C$10)))</f>
        <v/>
      </c>
      <c r="E202" s="50">
        <f>IF(A202&gt;Inputs!$C$62,"",IF(Inputs!$C$80=1,INDEX(Cohorts!$H$67:$H$326,A202),D202*AD202))</f>
        <v/>
      </c>
      <c r="F202" s="50">
        <f>IF(A202&gt;Inputs!$C$62,"",IF(Inputs!$C$80=1,INDEX(Cohorts!$I$67:$I$326,A202),AD202-E202))</f>
        <v/>
      </c>
      <c r="G202" s="50">
        <f>IF(A202&gt;Inputs!$C$62,"",AD202)</f>
        <v/>
      </c>
      <c r="H202" s="50">
        <f>IF(A202&gt;Inputs!$C$62,"",INDEX(CapacityPlan!$E$7:$E$266,A202))</f>
        <v/>
      </c>
      <c r="I202" s="50">
        <f>IF(A202&gt;Inputs!$C$62,"",INDEX(CapacityPlan!$I$7:$I$266,A202))</f>
        <v/>
      </c>
      <c r="J202" s="50">
        <f>IF(A202&gt;Inputs!$C$62,"",IF(G202&gt;I202,I202,G202))</f>
        <v/>
      </c>
      <c r="K202" s="51">
        <f>IF(A202&gt;Inputs!$C$62,"",IF(G202=0,1,J202/G202))</f>
        <v/>
      </c>
      <c r="L202" s="51">
        <f>IF((Inputs!$C$36 + UnitEconomics!$B$12*Inputs!$C$37 + Inputs!$C$10*Inputs!$C$38 + Inputs!$C$70*(1-K202))&gt;1,1,(Inputs!$C$36 + UnitEconomics!$B$12*Inputs!$C$37 + Inputs!$C$10*Inputs!$C$38 + Inputs!$C$70*(1-K202)))</f>
        <v/>
      </c>
      <c r="M202" s="52">
        <f>IF(A202&gt;Inputs!$C$62,"",J202*Inputs!$C$7*(1-Inputs!$C$8)*(1-L202))</f>
        <v/>
      </c>
      <c r="N202" s="52">
        <f>IF(A202&gt;Inputs!$C$62,"",J202*UnitEconomics!$B$32*AI202 + (G202-J202)*Inputs!$C$71)</f>
        <v/>
      </c>
      <c r="O202" s="52">
        <f>M202-N202</f>
        <v/>
      </c>
      <c r="P202" s="52">
        <f>IF(A202&gt;Inputs!$C$62,"",Inputs!$C$40 + H202*Inputs!$C$41)</f>
        <v/>
      </c>
      <c r="Q202" s="52">
        <f>O202-P202</f>
        <v/>
      </c>
      <c r="R202" s="50">
        <f>IF(A202&gt;Inputs!$C$62,"",AD202*Inputs!$C$16*(Inputs!$C$9 + Inputs!$C$10*Inputs!$C$11 + Inputs!$C$12)*(1 + VLOOKUP(Inputs!$C$15,Lookups!$A$2:$B$20,2,TRUE)*(Scale!$B$9/IF(Scale!$B$8=0,1,Scale!$B$8)) + Inputs!$C$52))</f>
        <v/>
      </c>
      <c r="S202" s="50">
        <f>IF(A202=1,Scale!$B$13, W201)</f>
        <v/>
      </c>
      <c r="T202" s="50">
        <f>J202*Inputs!$C$16*(Inputs!$C$19 + Inputs!$C$20*Inputs!$C$21 + 1/Inputs!$C$18)</f>
        <v/>
      </c>
      <c r="U202" s="50">
        <f>MAX(0, (R202*(1+Inputs!$C$74)) - (S202 - T202))</f>
        <v/>
      </c>
      <c r="V202" s="50">
        <f>IF(A202&lt;=Inputs!$C$73,0,INDEX(U:U,ROW()-Inputs!$C$73))</f>
        <v/>
      </c>
      <c r="W202" s="50">
        <f>S202 - T202 + V202</f>
        <v/>
      </c>
      <c r="X202" s="52">
        <f>V202*Inputs!$C$17</f>
        <v/>
      </c>
      <c r="Y202" s="52">
        <f>IF(A202&gt;Inputs!$C$62,"",C202*AE202)</f>
        <v/>
      </c>
      <c r="Z202" s="52">
        <f>IF(A202=1,Inputs!$C$72,AA201)</f>
        <v/>
      </c>
      <c r="AA202" s="52">
        <f>Z202 + M202 - N202 - P202 - X202 - Y202</f>
        <v/>
      </c>
      <c r="AB202" s="53">
        <f>IF(AA202&lt;0,1,0)</f>
        <v/>
      </c>
      <c r="AC202" s="54">
        <f>IF(AD202=0,0,R202/(AD202*Inputs!$C$16))</f>
        <v/>
      </c>
      <c r="AD202" s="53">
        <f>IF(A202&gt;Inputs!$C$62,"",B202+C202)</f>
        <v/>
      </c>
      <c r="AE202" s="56">
        <f>IF(A202&gt;Inputs!$C$62,"", Inputs!$C$65*(1+Inputs!$C$89*POWER(MIN(1,IF(Inputs!$C$88=0,0,B202/Inputs!$C$88)),Inputs!$C$90)))</f>
        <v/>
      </c>
      <c r="AF202" s="52">
        <f>IF(A202&gt;Inputs!$C$62,"",IF(A202=1,Inputs!$C$86,MIN(Inputs!$C$86,Inputs!$C$87*M201)))</f>
        <v/>
      </c>
      <c r="AG202" s="51">
        <f>IF(A202&gt;Inputs!$C$62,"",MIN(0.5,MAX(0, Inputs!$C$67*L202 + Inputs!$C$68*(1-K202) + Inputs!$C$69*Inputs!$C$10)))</f>
        <v/>
      </c>
      <c r="AH202" s="51">
        <f>IF(A202&gt;Inputs!$C$62,"",INDEX(CapacityPlan!$G$7:$G$266,A202))</f>
        <v/>
      </c>
      <c r="AI202" s="54">
        <f>IF(A202&gt;Inputs!$C$62,"",INDEX(CapacityPlan!$J$7:$J$266,A202))</f>
        <v/>
      </c>
      <c r="AJ202" s="51">
        <f>IF(A202&gt;Inputs!$C$62,"",IF(I202=0,"",G202/I202))</f>
        <v/>
      </c>
    </row>
    <row r="203" ht="16" customHeight="1">
      <c r="A203" s="15" t="n">
        <v>181</v>
      </c>
      <c r="B203" s="50">
        <f>IF(A203&gt;Inputs!$C$62,"",IF(Inputs!$C$80=1,INDEX(Cohorts!$B$67:$B$326,A203),IF(A203=1,Inputs!$C$63,F202)))</f>
        <v/>
      </c>
      <c r="C203" s="50">
        <f>IF(A203&gt;Inputs!$C$62,"",IF(Inputs!$C$85=0,Inputs!$C$64,MIN(Inputs!$C$91,IF(AE203=0,0,AF203/AE203))))</f>
        <v/>
      </c>
      <c r="D203" s="51">
        <f>IF(A203&gt;Inputs!$C$62,"",IF(Inputs!$C$80=1,INDEX(Cohorts!$G$67:$G$326,A203),MAX(0, Inputs!$C$66 + Inputs!$C$67*L203 + Inputs!$C$68*(1-K203) + Inputs!$C$69*Inputs!$C$10)))</f>
        <v/>
      </c>
      <c r="E203" s="50">
        <f>IF(A203&gt;Inputs!$C$62,"",IF(Inputs!$C$80=1,INDEX(Cohorts!$H$67:$H$326,A203),D203*AD203))</f>
        <v/>
      </c>
      <c r="F203" s="50">
        <f>IF(A203&gt;Inputs!$C$62,"",IF(Inputs!$C$80=1,INDEX(Cohorts!$I$67:$I$326,A203),AD203-E203))</f>
        <v/>
      </c>
      <c r="G203" s="50">
        <f>IF(A203&gt;Inputs!$C$62,"",AD203)</f>
        <v/>
      </c>
      <c r="H203" s="50">
        <f>IF(A203&gt;Inputs!$C$62,"",INDEX(CapacityPlan!$E$7:$E$266,A203))</f>
        <v/>
      </c>
      <c r="I203" s="50">
        <f>IF(A203&gt;Inputs!$C$62,"",INDEX(CapacityPlan!$I$7:$I$266,A203))</f>
        <v/>
      </c>
      <c r="J203" s="50">
        <f>IF(A203&gt;Inputs!$C$62,"",IF(G203&gt;I203,I203,G203))</f>
        <v/>
      </c>
      <c r="K203" s="51">
        <f>IF(A203&gt;Inputs!$C$62,"",IF(G203=0,1,J203/G203))</f>
        <v/>
      </c>
      <c r="L203" s="51">
        <f>IF((Inputs!$C$36 + UnitEconomics!$B$12*Inputs!$C$37 + Inputs!$C$10*Inputs!$C$38 + Inputs!$C$70*(1-K203))&gt;1,1,(Inputs!$C$36 + UnitEconomics!$B$12*Inputs!$C$37 + Inputs!$C$10*Inputs!$C$38 + Inputs!$C$70*(1-K203)))</f>
        <v/>
      </c>
      <c r="M203" s="52">
        <f>IF(A203&gt;Inputs!$C$62,"",J203*Inputs!$C$7*(1-Inputs!$C$8)*(1-L203))</f>
        <v/>
      </c>
      <c r="N203" s="52">
        <f>IF(A203&gt;Inputs!$C$62,"",J203*UnitEconomics!$B$32*AI203 + (G203-J203)*Inputs!$C$71)</f>
        <v/>
      </c>
      <c r="O203" s="52">
        <f>M203-N203</f>
        <v/>
      </c>
      <c r="P203" s="52">
        <f>IF(A203&gt;Inputs!$C$62,"",Inputs!$C$40 + H203*Inputs!$C$41)</f>
        <v/>
      </c>
      <c r="Q203" s="52">
        <f>O203-P203</f>
        <v/>
      </c>
      <c r="R203" s="50">
        <f>IF(A203&gt;Inputs!$C$62,"",AD203*Inputs!$C$16*(Inputs!$C$9 + Inputs!$C$10*Inputs!$C$11 + Inputs!$C$12)*(1 + VLOOKUP(Inputs!$C$15,Lookups!$A$2:$B$20,2,TRUE)*(Scale!$B$9/IF(Scale!$B$8=0,1,Scale!$B$8)) + Inputs!$C$52))</f>
        <v/>
      </c>
      <c r="S203" s="50">
        <f>IF(A203=1,Scale!$B$13, W202)</f>
        <v/>
      </c>
      <c r="T203" s="50">
        <f>J203*Inputs!$C$16*(Inputs!$C$19 + Inputs!$C$20*Inputs!$C$21 + 1/Inputs!$C$18)</f>
        <v/>
      </c>
      <c r="U203" s="50">
        <f>MAX(0, (R203*(1+Inputs!$C$74)) - (S203 - T203))</f>
        <v/>
      </c>
      <c r="V203" s="50">
        <f>IF(A203&lt;=Inputs!$C$73,0,INDEX(U:U,ROW()-Inputs!$C$73))</f>
        <v/>
      </c>
      <c r="W203" s="50">
        <f>S203 - T203 + V203</f>
        <v/>
      </c>
      <c r="X203" s="52">
        <f>V203*Inputs!$C$17</f>
        <v/>
      </c>
      <c r="Y203" s="52">
        <f>IF(A203&gt;Inputs!$C$62,"",C203*AE203)</f>
        <v/>
      </c>
      <c r="Z203" s="52">
        <f>IF(A203=1,Inputs!$C$72,AA202)</f>
        <v/>
      </c>
      <c r="AA203" s="52">
        <f>Z203 + M203 - N203 - P203 - X203 - Y203</f>
        <v/>
      </c>
      <c r="AB203" s="53">
        <f>IF(AA203&lt;0,1,0)</f>
        <v/>
      </c>
      <c r="AC203" s="54">
        <f>IF(AD203=0,0,R203/(AD203*Inputs!$C$16))</f>
        <v/>
      </c>
      <c r="AD203" s="53">
        <f>IF(A203&gt;Inputs!$C$62,"",B203+C203)</f>
        <v/>
      </c>
      <c r="AE203" s="56">
        <f>IF(A203&gt;Inputs!$C$62,"", Inputs!$C$65*(1+Inputs!$C$89*POWER(MIN(1,IF(Inputs!$C$88=0,0,B203/Inputs!$C$88)),Inputs!$C$90)))</f>
        <v/>
      </c>
      <c r="AF203" s="52">
        <f>IF(A203&gt;Inputs!$C$62,"",IF(A203=1,Inputs!$C$86,MIN(Inputs!$C$86,Inputs!$C$87*M202)))</f>
        <v/>
      </c>
      <c r="AG203" s="51">
        <f>IF(A203&gt;Inputs!$C$62,"",MIN(0.5,MAX(0, Inputs!$C$67*L203 + Inputs!$C$68*(1-K203) + Inputs!$C$69*Inputs!$C$10)))</f>
        <v/>
      </c>
      <c r="AH203" s="51">
        <f>IF(A203&gt;Inputs!$C$62,"",INDEX(CapacityPlan!$G$7:$G$266,A203))</f>
        <v/>
      </c>
      <c r="AI203" s="54">
        <f>IF(A203&gt;Inputs!$C$62,"",INDEX(CapacityPlan!$J$7:$J$266,A203))</f>
        <v/>
      </c>
      <c r="AJ203" s="51">
        <f>IF(A203&gt;Inputs!$C$62,"",IF(I203=0,"",G203/I203))</f>
        <v/>
      </c>
    </row>
    <row r="204" ht="16" customHeight="1">
      <c r="A204" s="15" t="n">
        <v>182</v>
      </c>
      <c r="B204" s="50">
        <f>IF(A204&gt;Inputs!$C$62,"",IF(Inputs!$C$80=1,INDEX(Cohorts!$B$67:$B$326,A204),IF(A204=1,Inputs!$C$63,F203)))</f>
        <v/>
      </c>
      <c r="C204" s="50">
        <f>IF(A204&gt;Inputs!$C$62,"",IF(Inputs!$C$85=0,Inputs!$C$64,MIN(Inputs!$C$91,IF(AE204=0,0,AF204/AE204))))</f>
        <v/>
      </c>
      <c r="D204" s="51">
        <f>IF(A204&gt;Inputs!$C$62,"",IF(Inputs!$C$80=1,INDEX(Cohorts!$G$67:$G$326,A204),MAX(0, Inputs!$C$66 + Inputs!$C$67*L204 + Inputs!$C$68*(1-K204) + Inputs!$C$69*Inputs!$C$10)))</f>
        <v/>
      </c>
      <c r="E204" s="50">
        <f>IF(A204&gt;Inputs!$C$62,"",IF(Inputs!$C$80=1,INDEX(Cohorts!$H$67:$H$326,A204),D204*AD204))</f>
        <v/>
      </c>
      <c r="F204" s="50">
        <f>IF(A204&gt;Inputs!$C$62,"",IF(Inputs!$C$80=1,INDEX(Cohorts!$I$67:$I$326,A204),AD204-E204))</f>
        <v/>
      </c>
      <c r="G204" s="50">
        <f>IF(A204&gt;Inputs!$C$62,"",AD204)</f>
        <v/>
      </c>
      <c r="H204" s="50">
        <f>IF(A204&gt;Inputs!$C$62,"",INDEX(CapacityPlan!$E$7:$E$266,A204))</f>
        <v/>
      </c>
      <c r="I204" s="50">
        <f>IF(A204&gt;Inputs!$C$62,"",INDEX(CapacityPlan!$I$7:$I$266,A204))</f>
        <v/>
      </c>
      <c r="J204" s="50">
        <f>IF(A204&gt;Inputs!$C$62,"",IF(G204&gt;I204,I204,G204))</f>
        <v/>
      </c>
      <c r="K204" s="51">
        <f>IF(A204&gt;Inputs!$C$62,"",IF(G204=0,1,J204/G204))</f>
        <v/>
      </c>
      <c r="L204" s="51">
        <f>IF((Inputs!$C$36 + UnitEconomics!$B$12*Inputs!$C$37 + Inputs!$C$10*Inputs!$C$38 + Inputs!$C$70*(1-K204))&gt;1,1,(Inputs!$C$36 + UnitEconomics!$B$12*Inputs!$C$37 + Inputs!$C$10*Inputs!$C$38 + Inputs!$C$70*(1-K204)))</f>
        <v/>
      </c>
      <c r="M204" s="52">
        <f>IF(A204&gt;Inputs!$C$62,"",J204*Inputs!$C$7*(1-Inputs!$C$8)*(1-L204))</f>
        <v/>
      </c>
      <c r="N204" s="52">
        <f>IF(A204&gt;Inputs!$C$62,"",J204*UnitEconomics!$B$32*AI204 + (G204-J204)*Inputs!$C$71)</f>
        <v/>
      </c>
      <c r="O204" s="52">
        <f>M204-N204</f>
        <v/>
      </c>
      <c r="P204" s="52">
        <f>IF(A204&gt;Inputs!$C$62,"",Inputs!$C$40 + H204*Inputs!$C$41)</f>
        <v/>
      </c>
      <c r="Q204" s="52">
        <f>O204-P204</f>
        <v/>
      </c>
      <c r="R204" s="50">
        <f>IF(A204&gt;Inputs!$C$62,"",AD204*Inputs!$C$16*(Inputs!$C$9 + Inputs!$C$10*Inputs!$C$11 + Inputs!$C$12)*(1 + VLOOKUP(Inputs!$C$15,Lookups!$A$2:$B$20,2,TRUE)*(Scale!$B$9/IF(Scale!$B$8=0,1,Scale!$B$8)) + Inputs!$C$52))</f>
        <v/>
      </c>
      <c r="S204" s="50">
        <f>IF(A204=1,Scale!$B$13, W203)</f>
        <v/>
      </c>
      <c r="T204" s="50">
        <f>J204*Inputs!$C$16*(Inputs!$C$19 + Inputs!$C$20*Inputs!$C$21 + 1/Inputs!$C$18)</f>
        <v/>
      </c>
      <c r="U204" s="50">
        <f>MAX(0, (R204*(1+Inputs!$C$74)) - (S204 - T204))</f>
        <v/>
      </c>
      <c r="V204" s="50">
        <f>IF(A204&lt;=Inputs!$C$73,0,INDEX(U:U,ROW()-Inputs!$C$73))</f>
        <v/>
      </c>
      <c r="W204" s="50">
        <f>S204 - T204 + V204</f>
        <v/>
      </c>
      <c r="X204" s="52">
        <f>V204*Inputs!$C$17</f>
        <v/>
      </c>
      <c r="Y204" s="52">
        <f>IF(A204&gt;Inputs!$C$62,"",C204*AE204)</f>
        <v/>
      </c>
      <c r="Z204" s="52">
        <f>IF(A204=1,Inputs!$C$72,AA203)</f>
        <v/>
      </c>
      <c r="AA204" s="52">
        <f>Z204 + M204 - N204 - P204 - X204 - Y204</f>
        <v/>
      </c>
      <c r="AB204" s="53">
        <f>IF(AA204&lt;0,1,0)</f>
        <v/>
      </c>
      <c r="AC204" s="54">
        <f>IF(AD204=0,0,R204/(AD204*Inputs!$C$16))</f>
        <v/>
      </c>
      <c r="AD204" s="53">
        <f>IF(A204&gt;Inputs!$C$62,"",B204+C204)</f>
        <v/>
      </c>
      <c r="AE204" s="56">
        <f>IF(A204&gt;Inputs!$C$62,"", Inputs!$C$65*(1+Inputs!$C$89*POWER(MIN(1,IF(Inputs!$C$88=0,0,B204/Inputs!$C$88)),Inputs!$C$90)))</f>
        <v/>
      </c>
      <c r="AF204" s="52">
        <f>IF(A204&gt;Inputs!$C$62,"",IF(A204=1,Inputs!$C$86,MIN(Inputs!$C$86,Inputs!$C$87*M203)))</f>
        <v/>
      </c>
      <c r="AG204" s="51">
        <f>IF(A204&gt;Inputs!$C$62,"",MIN(0.5,MAX(0, Inputs!$C$67*L204 + Inputs!$C$68*(1-K204) + Inputs!$C$69*Inputs!$C$10)))</f>
        <v/>
      </c>
      <c r="AH204" s="51">
        <f>IF(A204&gt;Inputs!$C$62,"",INDEX(CapacityPlan!$G$7:$G$266,A204))</f>
        <v/>
      </c>
      <c r="AI204" s="54">
        <f>IF(A204&gt;Inputs!$C$62,"",INDEX(CapacityPlan!$J$7:$J$266,A204))</f>
        <v/>
      </c>
      <c r="AJ204" s="51">
        <f>IF(A204&gt;Inputs!$C$62,"",IF(I204=0,"",G204/I204))</f>
        <v/>
      </c>
    </row>
    <row r="205" ht="16" customHeight="1">
      <c r="A205" s="15" t="n">
        <v>183</v>
      </c>
      <c r="B205" s="50">
        <f>IF(A205&gt;Inputs!$C$62,"",IF(Inputs!$C$80=1,INDEX(Cohorts!$B$67:$B$326,A205),IF(A205=1,Inputs!$C$63,F204)))</f>
        <v/>
      </c>
      <c r="C205" s="50">
        <f>IF(A205&gt;Inputs!$C$62,"",IF(Inputs!$C$85=0,Inputs!$C$64,MIN(Inputs!$C$91,IF(AE205=0,0,AF205/AE205))))</f>
        <v/>
      </c>
      <c r="D205" s="51">
        <f>IF(A205&gt;Inputs!$C$62,"",IF(Inputs!$C$80=1,INDEX(Cohorts!$G$67:$G$326,A205),MAX(0, Inputs!$C$66 + Inputs!$C$67*L205 + Inputs!$C$68*(1-K205) + Inputs!$C$69*Inputs!$C$10)))</f>
        <v/>
      </c>
      <c r="E205" s="50">
        <f>IF(A205&gt;Inputs!$C$62,"",IF(Inputs!$C$80=1,INDEX(Cohorts!$H$67:$H$326,A205),D205*AD205))</f>
        <v/>
      </c>
      <c r="F205" s="50">
        <f>IF(A205&gt;Inputs!$C$62,"",IF(Inputs!$C$80=1,INDEX(Cohorts!$I$67:$I$326,A205),AD205-E205))</f>
        <v/>
      </c>
      <c r="G205" s="50">
        <f>IF(A205&gt;Inputs!$C$62,"",AD205)</f>
        <v/>
      </c>
      <c r="H205" s="50">
        <f>IF(A205&gt;Inputs!$C$62,"",INDEX(CapacityPlan!$E$7:$E$266,A205))</f>
        <v/>
      </c>
      <c r="I205" s="50">
        <f>IF(A205&gt;Inputs!$C$62,"",INDEX(CapacityPlan!$I$7:$I$266,A205))</f>
        <v/>
      </c>
      <c r="J205" s="50">
        <f>IF(A205&gt;Inputs!$C$62,"",IF(G205&gt;I205,I205,G205))</f>
        <v/>
      </c>
      <c r="K205" s="51">
        <f>IF(A205&gt;Inputs!$C$62,"",IF(G205=0,1,J205/G205))</f>
        <v/>
      </c>
      <c r="L205" s="51">
        <f>IF((Inputs!$C$36 + UnitEconomics!$B$12*Inputs!$C$37 + Inputs!$C$10*Inputs!$C$38 + Inputs!$C$70*(1-K205))&gt;1,1,(Inputs!$C$36 + UnitEconomics!$B$12*Inputs!$C$37 + Inputs!$C$10*Inputs!$C$38 + Inputs!$C$70*(1-K205)))</f>
        <v/>
      </c>
      <c r="M205" s="52">
        <f>IF(A205&gt;Inputs!$C$62,"",J205*Inputs!$C$7*(1-Inputs!$C$8)*(1-L205))</f>
        <v/>
      </c>
      <c r="N205" s="52">
        <f>IF(A205&gt;Inputs!$C$62,"",J205*UnitEconomics!$B$32*AI205 + (G205-J205)*Inputs!$C$71)</f>
        <v/>
      </c>
      <c r="O205" s="52">
        <f>M205-N205</f>
        <v/>
      </c>
      <c r="P205" s="52">
        <f>IF(A205&gt;Inputs!$C$62,"",Inputs!$C$40 + H205*Inputs!$C$41)</f>
        <v/>
      </c>
      <c r="Q205" s="52">
        <f>O205-P205</f>
        <v/>
      </c>
      <c r="R205" s="50">
        <f>IF(A205&gt;Inputs!$C$62,"",AD205*Inputs!$C$16*(Inputs!$C$9 + Inputs!$C$10*Inputs!$C$11 + Inputs!$C$12)*(1 + VLOOKUP(Inputs!$C$15,Lookups!$A$2:$B$20,2,TRUE)*(Scale!$B$9/IF(Scale!$B$8=0,1,Scale!$B$8)) + Inputs!$C$52))</f>
        <v/>
      </c>
      <c r="S205" s="50">
        <f>IF(A205=1,Scale!$B$13, W204)</f>
        <v/>
      </c>
      <c r="T205" s="50">
        <f>J205*Inputs!$C$16*(Inputs!$C$19 + Inputs!$C$20*Inputs!$C$21 + 1/Inputs!$C$18)</f>
        <v/>
      </c>
      <c r="U205" s="50">
        <f>MAX(0, (R205*(1+Inputs!$C$74)) - (S205 - T205))</f>
        <v/>
      </c>
      <c r="V205" s="50">
        <f>IF(A205&lt;=Inputs!$C$73,0,INDEX(U:U,ROW()-Inputs!$C$73))</f>
        <v/>
      </c>
      <c r="W205" s="50">
        <f>S205 - T205 + V205</f>
        <v/>
      </c>
      <c r="X205" s="52">
        <f>V205*Inputs!$C$17</f>
        <v/>
      </c>
      <c r="Y205" s="52">
        <f>IF(A205&gt;Inputs!$C$62,"",C205*AE205)</f>
        <v/>
      </c>
      <c r="Z205" s="52">
        <f>IF(A205=1,Inputs!$C$72,AA204)</f>
        <v/>
      </c>
      <c r="AA205" s="52">
        <f>Z205 + M205 - N205 - P205 - X205 - Y205</f>
        <v/>
      </c>
      <c r="AB205" s="53">
        <f>IF(AA205&lt;0,1,0)</f>
        <v/>
      </c>
      <c r="AC205" s="54">
        <f>IF(AD205=0,0,R205/(AD205*Inputs!$C$16))</f>
        <v/>
      </c>
      <c r="AD205" s="53">
        <f>IF(A205&gt;Inputs!$C$62,"",B205+C205)</f>
        <v/>
      </c>
      <c r="AE205" s="56">
        <f>IF(A205&gt;Inputs!$C$62,"", Inputs!$C$65*(1+Inputs!$C$89*POWER(MIN(1,IF(Inputs!$C$88=0,0,B205/Inputs!$C$88)),Inputs!$C$90)))</f>
        <v/>
      </c>
      <c r="AF205" s="52">
        <f>IF(A205&gt;Inputs!$C$62,"",IF(A205=1,Inputs!$C$86,MIN(Inputs!$C$86,Inputs!$C$87*M204)))</f>
        <v/>
      </c>
      <c r="AG205" s="51">
        <f>IF(A205&gt;Inputs!$C$62,"",MIN(0.5,MAX(0, Inputs!$C$67*L205 + Inputs!$C$68*(1-K205) + Inputs!$C$69*Inputs!$C$10)))</f>
        <v/>
      </c>
      <c r="AH205" s="51">
        <f>IF(A205&gt;Inputs!$C$62,"",INDEX(CapacityPlan!$G$7:$G$266,A205))</f>
        <v/>
      </c>
      <c r="AI205" s="54">
        <f>IF(A205&gt;Inputs!$C$62,"",INDEX(CapacityPlan!$J$7:$J$266,A205))</f>
        <v/>
      </c>
      <c r="AJ205" s="51">
        <f>IF(A205&gt;Inputs!$C$62,"",IF(I205=0,"",G205/I205))</f>
        <v/>
      </c>
    </row>
    <row r="206" ht="16" customHeight="1">
      <c r="A206" s="15" t="n">
        <v>184</v>
      </c>
      <c r="B206" s="50">
        <f>IF(A206&gt;Inputs!$C$62,"",IF(Inputs!$C$80=1,INDEX(Cohorts!$B$67:$B$326,A206),IF(A206=1,Inputs!$C$63,F205)))</f>
        <v/>
      </c>
      <c r="C206" s="50">
        <f>IF(A206&gt;Inputs!$C$62,"",IF(Inputs!$C$85=0,Inputs!$C$64,MIN(Inputs!$C$91,IF(AE206=0,0,AF206/AE206))))</f>
        <v/>
      </c>
      <c r="D206" s="51">
        <f>IF(A206&gt;Inputs!$C$62,"",IF(Inputs!$C$80=1,INDEX(Cohorts!$G$67:$G$326,A206),MAX(0, Inputs!$C$66 + Inputs!$C$67*L206 + Inputs!$C$68*(1-K206) + Inputs!$C$69*Inputs!$C$10)))</f>
        <v/>
      </c>
      <c r="E206" s="50">
        <f>IF(A206&gt;Inputs!$C$62,"",IF(Inputs!$C$80=1,INDEX(Cohorts!$H$67:$H$326,A206),D206*AD206))</f>
        <v/>
      </c>
      <c r="F206" s="50">
        <f>IF(A206&gt;Inputs!$C$62,"",IF(Inputs!$C$80=1,INDEX(Cohorts!$I$67:$I$326,A206),AD206-E206))</f>
        <v/>
      </c>
      <c r="G206" s="50">
        <f>IF(A206&gt;Inputs!$C$62,"",AD206)</f>
        <v/>
      </c>
      <c r="H206" s="50">
        <f>IF(A206&gt;Inputs!$C$62,"",INDEX(CapacityPlan!$E$7:$E$266,A206))</f>
        <v/>
      </c>
      <c r="I206" s="50">
        <f>IF(A206&gt;Inputs!$C$62,"",INDEX(CapacityPlan!$I$7:$I$266,A206))</f>
        <v/>
      </c>
      <c r="J206" s="50">
        <f>IF(A206&gt;Inputs!$C$62,"",IF(G206&gt;I206,I206,G206))</f>
        <v/>
      </c>
      <c r="K206" s="51">
        <f>IF(A206&gt;Inputs!$C$62,"",IF(G206=0,1,J206/G206))</f>
        <v/>
      </c>
      <c r="L206" s="51">
        <f>IF((Inputs!$C$36 + UnitEconomics!$B$12*Inputs!$C$37 + Inputs!$C$10*Inputs!$C$38 + Inputs!$C$70*(1-K206))&gt;1,1,(Inputs!$C$36 + UnitEconomics!$B$12*Inputs!$C$37 + Inputs!$C$10*Inputs!$C$38 + Inputs!$C$70*(1-K206)))</f>
        <v/>
      </c>
      <c r="M206" s="52">
        <f>IF(A206&gt;Inputs!$C$62,"",J206*Inputs!$C$7*(1-Inputs!$C$8)*(1-L206))</f>
        <v/>
      </c>
      <c r="N206" s="52">
        <f>IF(A206&gt;Inputs!$C$62,"",J206*UnitEconomics!$B$32*AI206 + (G206-J206)*Inputs!$C$71)</f>
        <v/>
      </c>
      <c r="O206" s="52">
        <f>M206-N206</f>
        <v/>
      </c>
      <c r="P206" s="52">
        <f>IF(A206&gt;Inputs!$C$62,"",Inputs!$C$40 + H206*Inputs!$C$41)</f>
        <v/>
      </c>
      <c r="Q206" s="52">
        <f>O206-P206</f>
        <v/>
      </c>
      <c r="R206" s="50">
        <f>IF(A206&gt;Inputs!$C$62,"",AD206*Inputs!$C$16*(Inputs!$C$9 + Inputs!$C$10*Inputs!$C$11 + Inputs!$C$12)*(1 + VLOOKUP(Inputs!$C$15,Lookups!$A$2:$B$20,2,TRUE)*(Scale!$B$9/IF(Scale!$B$8=0,1,Scale!$B$8)) + Inputs!$C$52))</f>
        <v/>
      </c>
      <c r="S206" s="50">
        <f>IF(A206=1,Scale!$B$13, W205)</f>
        <v/>
      </c>
      <c r="T206" s="50">
        <f>J206*Inputs!$C$16*(Inputs!$C$19 + Inputs!$C$20*Inputs!$C$21 + 1/Inputs!$C$18)</f>
        <v/>
      </c>
      <c r="U206" s="50">
        <f>MAX(0, (R206*(1+Inputs!$C$74)) - (S206 - T206))</f>
        <v/>
      </c>
      <c r="V206" s="50">
        <f>IF(A206&lt;=Inputs!$C$73,0,INDEX(U:U,ROW()-Inputs!$C$73))</f>
        <v/>
      </c>
      <c r="W206" s="50">
        <f>S206 - T206 + V206</f>
        <v/>
      </c>
      <c r="X206" s="52">
        <f>V206*Inputs!$C$17</f>
        <v/>
      </c>
      <c r="Y206" s="52">
        <f>IF(A206&gt;Inputs!$C$62,"",C206*AE206)</f>
        <v/>
      </c>
      <c r="Z206" s="52">
        <f>IF(A206=1,Inputs!$C$72,AA205)</f>
        <v/>
      </c>
      <c r="AA206" s="52">
        <f>Z206 + M206 - N206 - P206 - X206 - Y206</f>
        <v/>
      </c>
      <c r="AB206" s="53">
        <f>IF(AA206&lt;0,1,0)</f>
        <v/>
      </c>
      <c r="AC206" s="54">
        <f>IF(AD206=0,0,R206/(AD206*Inputs!$C$16))</f>
        <v/>
      </c>
      <c r="AD206" s="53">
        <f>IF(A206&gt;Inputs!$C$62,"",B206+C206)</f>
        <v/>
      </c>
      <c r="AE206" s="56">
        <f>IF(A206&gt;Inputs!$C$62,"", Inputs!$C$65*(1+Inputs!$C$89*POWER(MIN(1,IF(Inputs!$C$88=0,0,B206/Inputs!$C$88)),Inputs!$C$90)))</f>
        <v/>
      </c>
      <c r="AF206" s="52">
        <f>IF(A206&gt;Inputs!$C$62,"",IF(A206=1,Inputs!$C$86,MIN(Inputs!$C$86,Inputs!$C$87*M205)))</f>
        <v/>
      </c>
      <c r="AG206" s="51">
        <f>IF(A206&gt;Inputs!$C$62,"",MIN(0.5,MAX(0, Inputs!$C$67*L206 + Inputs!$C$68*(1-K206) + Inputs!$C$69*Inputs!$C$10)))</f>
        <v/>
      </c>
      <c r="AH206" s="51">
        <f>IF(A206&gt;Inputs!$C$62,"",INDEX(CapacityPlan!$G$7:$G$266,A206))</f>
        <v/>
      </c>
      <c r="AI206" s="54">
        <f>IF(A206&gt;Inputs!$C$62,"",INDEX(CapacityPlan!$J$7:$J$266,A206))</f>
        <v/>
      </c>
      <c r="AJ206" s="51">
        <f>IF(A206&gt;Inputs!$C$62,"",IF(I206=0,"",G206/I206))</f>
        <v/>
      </c>
    </row>
    <row r="207" ht="16" customHeight="1">
      <c r="A207" s="15" t="n">
        <v>185</v>
      </c>
      <c r="B207" s="50">
        <f>IF(A207&gt;Inputs!$C$62,"",IF(Inputs!$C$80=1,INDEX(Cohorts!$B$67:$B$326,A207),IF(A207=1,Inputs!$C$63,F206)))</f>
        <v/>
      </c>
      <c r="C207" s="50">
        <f>IF(A207&gt;Inputs!$C$62,"",IF(Inputs!$C$85=0,Inputs!$C$64,MIN(Inputs!$C$91,IF(AE207=0,0,AF207/AE207))))</f>
        <v/>
      </c>
      <c r="D207" s="51">
        <f>IF(A207&gt;Inputs!$C$62,"",IF(Inputs!$C$80=1,INDEX(Cohorts!$G$67:$G$326,A207),MAX(0, Inputs!$C$66 + Inputs!$C$67*L207 + Inputs!$C$68*(1-K207) + Inputs!$C$69*Inputs!$C$10)))</f>
        <v/>
      </c>
      <c r="E207" s="50">
        <f>IF(A207&gt;Inputs!$C$62,"",IF(Inputs!$C$80=1,INDEX(Cohorts!$H$67:$H$326,A207),D207*AD207))</f>
        <v/>
      </c>
      <c r="F207" s="50">
        <f>IF(A207&gt;Inputs!$C$62,"",IF(Inputs!$C$80=1,INDEX(Cohorts!$I$67:$I$326,A207),AD207-E207))</f>
        <v/>
      </c>
      <c r="G207" s="50">
        <f>IF(A207&gt;Inputs!$C$62,"",AD207)</f>
        <v/>
      </c>
      <c r="H207" s="50">
        <f>IF(A207&gt;Inputs!$C$62,"",INDEX(CapacityPlan!$E$7:$E$266,A207))</f>
        <v/>
      </c>
      <c r="I207" s="50">
        <f>IF(A207&gt;Inputs!$C$62,"",INDEX(CapacityPlan!$I$7:$I$266,A207))</f>
        <v/>
      </c>
      <c r="J207" s="50">
        <f>IF(A207&gt;Inputs!$C$62,"",IF(G207&gt;I207,I207,G207))</f>
        <v/>
      </c>
      <c r="K207" s="51">
        <f>IF(A207&gt;Inputs!$C$62,"",IF(G207=0,1,J207/G207))</f>
        <v/>
      </c>
      <c r="L207" s="51">
        <f>IF((Inputs!$C$36 + UnitEconomics!$B$12*Inputs!$C$37 + Inputs!$C$10*Inputs!$C$38 + Inputs!$C$70*(1-K207))&gt;1,1,(Inputs!$C$36 + UnitEconomics!$B$12*Inputs!$C$37 + Inputs!$C$10*Inputs!$C$38 + Inputs!$C$70*(1-K207)))</f>
        <v/>
      </c>
      <c r="M207" s="52">
        <f>IF(A207&gt;Inputs!$C$62,"",J207*Inputs!$C$7*(1-Inputs!$C$8)*(1-L207))</f>
        <v/>
      </c>
      <c r="N207" s="52">
        <f>IF(A207&gt;Inputs!$C$62,"",J207*UnitEconomics!$B$32*AI207 + (G207-J207)*Inputs!$C$71)</f>
        <v/>
      </c>
      <c r="O207" s="52">
        <f>M207-N207</f>
        <v/>
      </c>
      <c r="P207" s="52">
        <f>IF(A207&gt;Inputs!$C$62,"",Inputs!$C$40 + H207*Inputs!$C$41)</f>
        <v/>
      </c>
      <c r="Q207" s="52">
        <f>O207-P207</f>
        <v/>
      </c>
      <c r="R207" s="50">
        <f>IF(A207&gt;Inputs!$C$62,"",AD207*Inputs!$C$16*(Inputs!$C$9 + Inputs!$C$10*Inputs!$C$11 + Inputs!$C$12)*(1 + VLOOKUP(Inputs!$C$15,Lookups!$A$2:$B$20,2,TRUE)*(Scale!$B$9/IF(Scale!$B$8=0,1,Scale!$B$8)) + Inputs!$C$52))</f>
        <v/>
      </c>
      <c r="S207" s="50">
        <f>IF(A207=1,Scale!$B$13, W206)</f>
        <v/>
      </c>
      <c r="T207" s="50">
        <f>J207*Inputs!$C$16*(Inputs!$C$19 + Inputs!$C$20*Inputs!$C$21 + 1/Inputs!$C$18)</f>
        <v/>
      </c>
      <c r="U207" s="50">
        <f>MAX(0, (R207*(1+Inputs!$C$74)) - (S207 - T207))</f>
        <v/>
      </c>
      <c r="V207" s="50">
        <f>IF(A207&lt;=Inputs!$C$73,0,INDEX(U:U,ROW()-Inputs!$C$73))</f>
        <v/>
      </c>
      <c r="W207" s="50">
        <f>S207 - T207 + V207</f>
        <v/>
      </c>
      <c r="X207" s="52">
        <f>V207*Inputs!$C$17</f>
        <v/>
      </c>
      <c r="Y207" s="52">
        <f>IF(A207&gt;Inputs!$C$62,"",C207*AE207)</f>
        <v/>
      </c>
      <c r="Z207" s="52">
        <f>IF(A207=1,Inputs!$C$72,AA206)</f>
        <v/>
      </c>
      <c r="AA207" s="52">
        <f>Z207 + M207 - N207 - P207 - X207 - Y207</f>
        <v/>
      </c>
      <c r="AB207" s="53">
        <f>IF(AA207&lt;0,1,0)</f>
        <v/>
      </c>
      <c r="AC207" s="54">
        <f>IF(AD207=0,0,R207/(AD207*Inputs!$C$16))</f>
        <v/>
      </c>
      <c r="AD207" s="53">
        <f>IF(A207&gt;Inputs!$C$62,"",B207+C207)</f>
        <v/>
      </c>
      <c r="AE207" s="56">
        <f>IF(A207&gt;Inputs!$C$62,"", Inputs!$C$65*(1+Inputs!$C$89*POWER(MIN(1,IF(Inputs!$C$88=0,0,B207/Inputs!$C$88)),Inputs!$C$90)))</f>
        <v/>
      </c>
      <c r="AF207" s="52">
        <f>IF(A207&gt;Inputs!$C$62,"",IF(A207=1,Inputs!$C$86,MIN(Inputs!$C$86,Inputs!$C$87*M206)))</f>
        <v/>
      </c>
      <c r="AG207" s="51">
        <f>IF(A207&gt;Inputs!$C$62,"",MIN(0.5,MAX(0, Inputs!$C$67*L207 + Inputs!$C$68*(1-K207) + Inputs!$C$69*Inputs!$C$10)))</f>
        <v/>
      </c>
      <c r="AH207" s="51">
        <f>IF(A207&gt;Inputs!$C$62,"",INDEX(CapacityPlan!$G$7:$G$266,A207))</f>
        <v/>
      </c>
      <c r="AI207" s="54">
        <f>IF(A207&gt;Inputs!$C$62,"",INDEX(CapacityPlan!$J$7:$J$266,A207))</f>
        <v/>
      </c>
      <c r="AJ207" s="51">
        <f>IF(A207&gt;Inputs!$C$62,"",IF(I207=0,"",G207/I207))</f>
        <v/>
      </c>
    </row>
    <row r="208" ht="16" customHeight="1">
      <c r="A208" s="15" t="n">
        <v>186</v>
      </c>
      <c r="B208" s="50">
        <f>IF(A208&gt;Inputs!$C$62,"",IF(Inputs!$C$80=1,INDEX(Cohorts!$B$67:$B$326,A208),IF(A208=1,Inputs!$C$63,F207)))</f>
        <v/>
      </c>
      <c r="C208" s="50">
        <f>IF(A208&gt;Inputs!$C$62,"",IF(Inputs!$C$85=0,Inputs!$C$64,MIN(Inputs!$C$91,IF(AE208=0,0,AF208/AE208))))</f>
        <v/>
      </c>
      <c r="D208" s="51">
        <f>IF(A208&gt;Inputs!$C$62,"",IF(Inputs!$C$80=1,INDEX(Cohorts!$G$67:$G$326,A208),MAX(0, Inputs!$C$66 + Inputs!$C$67*L208 + Inputs!$C$68*(1-K208) + Inputs!$C$69*Inputs!$C$10)))</f>
        <v/>
      </c>
      <c r="E208" s="50">
        <f>IF(A208&gt;Inputs!$C$62,"",IF(Inputs!$C$80=1,INDEX(Cohorts!$H$67:$H$326,A208),D208*AD208))</f>
        <v/>
      </c>
      <c r="F208" s="50">
        <f>IF(A208&gt;Inputs!$C$62,"",IF(Inputs!$C$80=1,INDEX(Cohorts!$I$67:$I$326,A208),AD208-E208))</f>
        <v/>
      </c>
      <c r="G208" s="50">
        <f>IF(A208&gt;Inputs!$C$62,"",AD208)</f>
        <v/>
      </c>
      <c r="H208" s="50">
        <f>IF(A208&gt;Inputs!$C$62,"",INDEX(CapacityPlan!$E$7:$E$266,A208))</f>
        <v/>
      </c>
      <c r="I208" s="50">
        <f>IF(A208&gt;Inputs!$C$62,"",INDEX(CapacityPlan!$I$7:$I$266,A208))</f>
        <v/>
      </c>
      <c r="J208" s="50">
        <f>IF(A208&gt;Inputs!$C$62,"",IF(G208&gt;I208,I208,G208))</f>
        <v/>
      </c>
      <c r="K208" s="51">
        <f>IF(A208&gt;Inputs!$C$62,"",IF(G208=0,1,J208/G208))</f>
        <v/>
      </c>
      <c r="L208" s="51">
        <f>IF((Inputs!$C$36 + UnitEconomics!$B$12*Inputs!$C$37 + Inputs!$C$10*Inputs!$C$38 + Inputs!$C$70*(1-K208))&gt;1,1,(Inputs!$C$36 + UnitEconomics!$B$12*Inputs!$C$37 + Inputs!$C$10*Inputs!$C$38 + Inputs!$C$70*(1-K208)))</f>
        <v/>
      </c>
      <c r="M208" s="52">
        <f>IF(A208&gt;Inputs!$C$62,"",J208*Inputs!$C$7*(1-Inputs!$C$8)*(1-L208))</f>
        <v/>
      </c>
      <c r="N208" s="52">
        <f>IF(A208&gt;Inputs!$C$62,"",J208*UnitEconomics!$B$32*AI208 + (G208-J208)*Inputs!$C$71)</f>
        <v/>
      </c>
      <c r="O208" s="52">
        <f>M208-N208</f>
        <v/>
      </c>
      <c r="P208" s="52">
        <f>IF(A208&gt;Inputs!$C$62,"",Inputs!$C$40 + H208*Inputs!$C$41)</f>
        <v/>
      </c>
      <c r="Q208" s="52">
        <f>O208-P208</f>
        <v/>
      </c>
      <c r="R208" s="50">
        <f>IF(A208&gt;Inputs!$C$62,"",AD208*Inputs!$C$16*(Inputs!$C$9 + Inputs!$C$10*Inputs!$C$11 + Inputs!$C$12)*(1 + VLOOKUP(Inputs!$C$15,Lookups!$A$2:$B$20,2,TRUE)*(Scale!$B$9/IF(Scale!$B$8=0,1,Scale!$B$8)) + Inputs!$C$52))</f>
        <v/>
      </c>
      <c r="S208" s="50">
        <f>IF(A208=1,Scale!$B$13, W207)</f>
        <v/>
      </c>
      <c r="T208" s="50">
        <f>J208*Inputs!$C$16*(Inputs!$C$19 + Inputs!$C$20*Inputs!$C$21 + 1/Inputs!$C$18)</f>
        <v/>
      </c>
      <c r="U208" s="50">
        <f>MAX(0, (R208*(1+Inputs!$C$74)) - (S208 - T208))</f>
        <v/>
      </c>
      <c r="V208" s="50">
        <f>IF(A208&lt;=Inputs!$C$73,0,INDEX(U:U,ROW()-Inputs!$C$73))</f>
        <v/>
      </c>
      <c r="W208" s="50">
        <f>S208 - T208 + V208</f>
        <v/>
      </c>
      <c r="X208" s="52">
        <f>V208*Inputs!$C$17</f>
        <v/>
      </c>
      <c r="Y208" s="52">
        <f>IF(A208&gt;Inputs!$C$62,"",C208*AE208)</f>
        <v/>
      </c>
      <c r="Z208" s="52">
        <f>IF(A208=1,Inputs!$C$72,AA207)</f>
        <v/>
      </c>
      <c r="AA208" s="52">
        <f>Z208 + M208 - N208 - P208 - X208 - Y208</f>
        <v/>
      </c>
      <c r="AB208" s="53">
        <f>IF(AA208&lt;0,1,0)</f>
        <v/>
      </c>
      <c r="AC208" s="54">
        <f>IF(AD208=0,0,R208/(AD208*Inputs!$C$16))</f>
        <v/>
      </c>
      <c r="AD208" s="53">
        <f>IF(A208&gt;Inputs!$C$62,"",B208+C208)</f>
        <v/>
      </c>
      <c r="AE208" s="56">
        <f>IF(A208&gt;Inputs!$C$62,"", Inputs!$C$65*(1+Inputs!$C$89*POWER(MIN(1,IF(Inputs!$C$88=0,0,B208/Inputs!$C$88)),Inputs!$C$90)))</f>
        <v/>
      </c>
      <c r="AF208" s="52">
        <f>IF(A208&gt;Inputs!$C$62,"",IF(A208=1,Inputs!$C$86,MIN(Inputs!$C$86,Inputs!$C$87*M207)))</f>
        <v/>
      </c>
      <c r="AG208" s="51">
        <f>IF(A208&gt;Inputs!$C$62,"",MIN(0.5,MAX(0, Inputs!$C$67*L208 + Inputs!$C$68*(1-K208) + Inputs!$C$69*Inputs!$C$10)))</f>
        <v/>
      </c>
      <c r="AH208" s="51">
        <f>IF(A208&gt;Inputs!$C$62,"",INDEX(CapacityPlan!$G$7:$G$266,A208))</f>
        <v/>
      </c>
      <c r="AI208" s="54">
        <f>IF(A208&gt;Inputs!$C$62,"",INDEX(CapacityPlan!$J$7:$J$266,A208))</f>
        <v/>
      </c>
      <c r="AJ208" s="51">
        <f>IF(A208&gt;Inputs!$C$62,"",IF(I208=0,"",G208/I208))</f>
        <v/>
      </c>
    </row>
    <row r="209" ht="16" customHeight="1">
      <c r="A209" s="15" t="n">
        <v>187</v>
      </c>
      <c r="B209" s="50">
        <f>IF(A209&gt;Inputs!$C$62,"",IF(Inputs!$C$80=1,INDEX(Cohorts!$B$67:$B$326,A209),IF(A209=1,Inputs!$C$63,F208)))</f>
        <v/>
      </c>
      <c r="C209" s="50">
        <f>IF(A209&gt;Inputs!$C$62,"",IF(Inputs!$C$85=0,Inputs!$C$64,MIN(Inputs!$C$91,IF(AE209=0,0,AF209/AE209))))</f>
        <v/>
      </c>
      <c r="D209" s="51">
        <f>IF(A209&gt;Inputs!$C$62,"",IF(Inputs!$C$80=1,INDEX(Cohorts!$G$67:$G$326,A209),MAX(0, Inputs!$C$66 + Inputs!$C$67*L209 + Inputs!$C$68*(1-K209) + Inputs!$C$69*Inputs!$C$10)))</f>
        <v/>
      </c>
      <c r="E209" s="50">
        <f>IF(A209&gt;Inputs!$C$62,"",IF(Inputs!$C$80=1,INDEX(Cohorts!$H$67:$H$326,A209),D209*AD209))</f>
        <v/>
      </c>
      <c r="F209" s="50">
        <f>IF(A209&gt;Inputs!$C$62,"",IF(Inputs!$C$80=1,INDEX(Cohorts!$I$67:$I$326,A209),AD209-E209))</f>
        <v/>
      </c>
      <c r="G209" s="50">
        <f>IF(A209&gt;Inputs!$C$62,"",AD209)</f>
        <v/>
      </c>
      <c r="H209" s="50">
        <f>IF(A209&gt;Inputs!$C$62,"",INDEX(CapacityPlan!$E$7:$E$266,A209))</f>
        <v/>
      </c>
      <c r="I209" s="50">
        <f>IF(A209&gt;Inputs!$C$62,"",INDEX(CapacityPlan!$I$7:$I$266,A209))</f>
        <v/>
      </c>
      <c r="J209" s="50">
        <f>IF(A209&gt;Inputs!$C$62,"",IF(G209&gt;I209,I209,G209))</f>
        <v/>
      </c>
      <c r="K209" s="51">
        <f>IF(A209&gt;Inputs!$C$62,"",IF(G209=0,1,J209/G209))</f>
        <v/>
      </c>
      <c r="L209" s="51">
        <f>IF((Inputs!$C$36 + UnitEconomics!$B$12*Inputs!$C$37 + Inputs!$C$10*Inputs!$C$38 + Inputs!$C$70*(1-K209))&gt;1,1,(Inputs!$C$36 + UnitEconomics!$B$12*Inputs!$C$37 + Inputs!$C$10*Inputs!$C$38 + Inputs!$C$70*(1-K209)))</f>
        <v/>
      </c>
      <c r="M209" s="52">
        <f>IF(A209&gt;Inputs!$C$62,"",J209*Inputs!$C$7*(1-Inputs!$C$8)*(1-L209))</f>
        <v/>
      </c>
      <c r="N209" s="52">
        <f>IF(A209&gt;Inputs!$C$62,"",J209*UnitEconomics!$B$32*AI209 + (G209-J209)*Inputs!$C$71)</f>
        <v/>
      </c>
      <c r="O209" s="52">
        <f>M209-N209</f>
        <v/>
      </c>
      <c r="P209" s="52">
        <f>IF(A209&gt;Inputs!$C$62,"",Inputs!$C$40 + H209*Inputs!$C$41)</f>
        <v/>
      </c>
      <c r="Q209" s="52">
        <f>O209-P209</f>
        <v/>
      </c>
      <c r="R209" s="50">
        <f>IF(A209&gt;Inputs!$C$62,"",AD209*Inputs!$C$16*(Inputs!$C$9 + Inputs!$C$10*Inputs!$C$11 + Inputs!$C$12)*(1 + VLOOKUP(Inputs!$C$15,Lookups!$A$2:$B$20,2,TRUE)*(Scale!$B$9/IF(Scale!$B$8=0,1,Scale!$B$8)) + Inputs!$C$52))</f>
        <v/>
      </c>
      <c r="S209" s="50">
        <f>IF(A209=1,Scale!$B$13, W208)</f>
        <v/>
      </c>
      <c r="T209" s="50">
        <f>J209*Inputs!$C$16*(Inputs!$C$19 + Inputs!$C$20*Inputs!$C$21 + 1/Inputs!$C$18)</f>
        <v/>
      </c>
      <c r="U209" s="50">
        <f>MAX(0, (R209*(1+Inputs!$C$74)) - (S209 - T209))</f>
        <v/>
      </c>
      <c r="V209" s="50">
        <f>IF(A209&lt;=Inputs!$C$73,0,INDEX(U:U,ROW()-Inputs!$C$73))</f>
        <v/>
      </c>
      <c r="W209" s="50">
        <f>S209 - T209 + V209</f>
        <v/>
      </c>
      <c r="X209" s="52">
        <f>V209*Inputs!$C$17</f>
        <v/>
      </c>
      <c r="Y209" s="52">
        <f>IF(A209&gt;Inputs!$C$62,"",C209*AE209)</f>
        <v/>
      </c>
      <c r="Z209" s="52">
        <f>IF(A209=1,Inputs!$C$72,AA208)</f>
        <v/>
      </c>
      <c r="AA209" s="52">
        <f>Z209 + M209 - N209 - P209 - X209 - Y209</f>
        <v/>
      </c>
      <c r="AB209" s="53">
        <f>IF(AA209&lt;0,1,0)</f>
        <v/>
      </c>
      <c r="AC209" s="54">
        <f>IF(AD209=0,0,R209/(AD209*Inputs!$C$16))</f>
        <v/>
      </c>
      <c r="AD209" s="53">
        <f>IF(A209&gt;Inputs!$C$62,"",B209+C209)</f>
        <v/>
      </c>
      <c r="AE209" s="56">
        <f>IF(A209&gt;Inputs!$C$62,"", Inputs!$C$65*(1+Inputs!$C$89*POWER(MIN(1,IF(Inputs!$C$88=0,0,B209/Inputs!$C$88)),Inputs!$C$90)))</f>
        <v/>
      </c>
      <c r="AF209" s="52">
        <f>IF(A209&gt;Inputs!$C$62,"",IF(A209=1,Inputs!$C$86,MIN(Inputs!$C$86,Inputs!$C$87*M208)))</f>
        <v/>
      </c>
      <c r="AG209" s="51">
        <f>IF(A209&gt;Inputs!$C$62,"",MIN(0.5,MAX(0, Inputs!$C$67*L209 + Inputs!$C$68*(1-K209) + Inputs!$C$69*Inputs!$C$10)))</f>
        <v/>
      </c>
      <c r="AH209" s="51">
        <f>IF(A209&gt;Inputs!$C$62,"",INDEX(CapacityPlan!$G$7:$G$266,A209))</f>
        <v/>
      </c>
      <c r="AI209" s="54">
        <f>IF(A209&gt;Inputs!$C$62,"",INDEX(CapacityPlan!$J$7:$J$266,A209))</f>
        <v/>
      </c>
      <c r="AJ209" s="51">
        <f>IF(A209&gt;Inputs!$C$62,"",IF(I209=0,"",G209/I209))</f>
        <v/>
      </c>
    </row>
    <row r="210" ht="16" customHeight="1">
      <c r="A210" s="15" t="n">
        <v>188</v>
      </c>
      <c r="B210" s="50">
        <f>IF(A210&gt;Inputs!$C$62,"",IF(Inputs!$C$80=1,INDEX(Cohorts!$B$67:$B$326,A210),IF(A210=1,Inputs!$C$63,F209)))</f>
        <v/>
      </c>
      <c r="C210" s="50">
        <f>IF(A210&gt;Inputs!$C$62,"",IF(Inputs!$C$85=0,Inputs!$C$64,MIN(Inputs!$C$91,IF(AE210=0,0,AF210/AE210))))</f>
        <v/>
      </c>
      <c r="D210" s="51">
        <f>IF(A210&gt;Inputs!$C$62,"",IF(Inputs!$C$80=1,INDEX(Cohorts!$G$67:$G$326,A210),MAX(0, Inputs!$C$66 + Inputs!$C$67*L210 + Inputs!$C$68*(1-K210) + Inputs!$C$69*Inputs!$C$10)))</f>
        <v/>
      </c>
      <c r="E210" s="50">
        <f>IF(A210&gt;Inputs!$C$62,"",IF(Inputs!$C$80=1,INDEX(Cohorts!$H$67:$H$326,A210),D210*AD210))</f>
        <v/>
      </c>
      <c r="F210" s="50">
        <f>IF(A210&gt;Inputs!$C$62,"",IF(Inputs!$C$80=1,INDEX(Cohorts!$I$67:$I$326,A210),AD210-E210))</f>
        <v/>
      </c>
      <c r="G210" s="50">
        <f>IF(A210&gt;Inputs!$C$62,"",AD210)</f>
        <v/>
      </c>
      <c r="H210" s="50">
        <f>IF(A210&gt;Inputs!$C$62,"",INDEX(CapacityPlan!$E$7:$E$266,A210))</f>
        <v/>
      </c>
      <c r="I210" s="50">
        <f>IF(A210&gt;Inputs!$C$62,"",INDEX(CapacityPlan!$I$7:$I$266,A210))</f>
        <v/>
      </c>
      <c r="J210" s="50">
        <f>IF(A210&gt;Inputs!$C$62,"",IF(G210&gt;I210,I210,G210))</f>
        <v/>
      </c>
      <c r="K210" s="51">
        <f>IF(A210&gt;Inputs!$C$62,"",IF(G210=0,1,J210/G210))</f>
        <v/>
      </c>
      <c r="L210" s="51">
        <f>IF((Inputs!$C$36 + UnitEconomics!$B$12*Inputs!$C$37 + Inputs!$C$10*Inputs!$C$38 + Inputs!$C$70*(1-K210))&gt;1,1,(Inputs!$C$36 + UnitEconomics!$B$12*Inputs!$C$37 + Inputs!$C$10*Inputs!$C$38 + Inputs!$C$70*(1-K210)))</f>
        <v/>
      </c>
      <c r="M210" s="52">
        <f>IF(A210&gt;Inputs!$C$62,"",J210*Inputs!$C$7*(1-Inputs!$C$8)*(1-L210))</f>
        <v/>
      </c>
      <c r="N210" s="52">
        <f>IF(A210&gt;Inputs!$C$62,"",J210*UnitEconomics!$B$32*AI210 + (G210-J210)*Inputs!$C$71)</f>
        <v/>
      </c>
      <c r="O210" s="52">
        <f>M210-N210</f>
        <v/>
      </c>
      <c r="P210" s="52">
        <f>IF(A210&gt;Inputs!$C$62,"",Inputs!$C$40 + H210*Inputs!$C$41)</f>
        <v/>
      </c>
      <c r="Q210" s="52">
        <f>O210-P210</f>
        <v/>
      </c>
      <c r="R210" s="50">
        <f>IF(A210&gt;Inputs!$C$62,"",AD210*Inputs!$C$16*(Inputs!$C$9 + Inputs!$C$10*Inputs!$C$11 + Inputs!$C$12)*(1 + VLOOKUP(Inputs!$C$15,Lookups!$A$2:$B$20,2,TRUE)*(Scale!$B$9/IF(Scale!$B$8=0,1,Scale!$B$8)) + Inputs!$C$52))</f>
        <v/>
      </c>
      <c r="S210" s="50">
        <f>IF(A210=1,Scale!$B$13, W209)</f>
        <v/>
      </c>
      <c r="T210" s="50">
        <f>J210*Inputs!$C$16*(Inputs!$C$19 + Inputs!$C$20*Inputs!$C$21 + 1/Inputs!$C$18)</f>
        <v/>
      </c>
      <c r="U210" s="50">
        <f>MAX(0, (R210*(1+Inputs!$C$74)) - (S210 - T210))</f>
        <v/>
      </c>
      <c r="V210" s="50">
        <f>IF(A210&lt;=Inputs!$C$73,0,INDEX(U:U,ROW()-Inputs!$C$73))</f>
        <v/>
      </c>
      <c r="W210" s="50">
        <f>S210 - T210 + V210</f>
        <v/>
      </c>
      <c r="X210" s="52">
        <f>V210*Inputs!$C$17</f>
        <v/>
      </c>
      <c r="Y210" s="52">
        <f>IF(A210&gt;Inputs!$C$62,"",C210*AE210)</f>
        <v/>
      </c>
      <c r="Z210" s="52">
        <f>IF(A210=1,Inputs!$C$72,AA209)</f>
        <v/>
      </c>
      <c r="AA210" s="52">
        <f>Z210 + M210 - N210 - P210 - X210 - Y210</f>
        <v/>
      </c>
      <c r="AB210" s="53">
        <f>IF(AA210&lt;0,1,0)</f>
        <v/>
      </c>
      <c r="AC210" s="54">
        <f>IF(AD210=0,0,R210/(AD210*Inputs!$C$16))</f>
        <v/>
      </c>
      <c r="AD210" s="53">
        <f>IF(A210&gt;Inputs!$C$62,"",B210+C210)</f>
        <v/>
      </c>
      <c r="AE210" s="56">
        <f>IF(A210&gt;Inputs!$C$62,"", Inputs!$C$65*(1+Inputs!$C$89*POWER(MIN(1,IF(Inputs!$C$88=0,0,B210/Inputs!$C$88)),Inputs!$C$90)))</f>
        <v/>
      </c>
      <c r="AF210" s="52">
        <f>IF(A210&gt;Inputs!$C$62,"",IF(A210=1,Inputs!$C$86,MIN(Inputs!$C$86,Inputs!$C$87*M209)))</f>
        <v/>
      </c>
      <c r="AG210" s="51">
        <f>IF(A210&gt;Inputs!$C$62,"",MIN(0.5,MAX(0, Inputs!$C$67*L210 + Inputs!$C$68*(1-K210) + Inputs!$C$69*Inputs!$C$10)))</f>
        <v/>
      </c>
      <c r="AH210" s="51">
        <f>IF(A210&gt;Inputs!$C$62,"",INDEX(CapacityPlan!$G$7:$G$266,A210))</f>
        <v/>
      </c>
      <c r="AI210" s="54">
        <f>IF(A210&gt;Inputs!$C$62,"",INDEX(CapacityPlan!$J$7:$J$266,A210))</f>
        <v/>
      </c>
      <c r="AJ210" s="51">
        <f>IF(A210&gt;Inputs!$C$62,"",IF(I210=0,"",G210/I210))</f>
        <v/>
      </c>
    </row>
    <row r="211" ht="16" customHeight="1">
      <c r="A211" s="15" t="n">
        <v>189</v>
      </c>
      <c r="B211" s="50">
        <f>IF(A211&gt;Inputs!$C$62,"",IF(Inputs!$C$80=1,INDEX(Cohorts!$B$67:$B$326,A211),IF(A211=1,Inputs!$C$63,F210)))</f>
        <v/>
      </c>
      <c r="C211" s="50">
        <f>IF(A211&gt;Inputs!$C$62,"",IF(Inputs!$C$85=0,Inputs!$C$64,MIN(Inputs!$C$91,IF(AE211=0,0,AF211/AE211))))</f>
        <v/>
      </c>
      <c r="D211" s="51">
        <f>IF(A211&gt;Inputs!$C$62,"",IF(Inputs!$C$80=1,INDEX(Cohorts!$G$67:$G$326,A211),MAX(0, Inputs!$C$66 + Inputs!$C$67*L211 + Inputs!$C$68*(1-K211) + Inputs!$C$69*Inputs!$C$10)))</f>
        <v/>
      </c>
      <c r="E211" s="50">
        <f>IF(A211&gt;Inputs!$C$62,"",IF(Inputs!$C$80=1,INDEX(Cohorts!$H$67:$H$326,A211),D211*AD211))</f>
        <v/>
      </c>
      <c r="F211" s="50">
        <f>IF(A211&gt;Inputs!$C$62,"",IF(Inputs!$C$80=1,INDEX(Cohorts!$I$67:$I$326,A211),AD211-E211))</f>
        <v/>
      </c>
      <c r="G211" s="50">
        <f>IF(A211&gt;Inputs!$C$62,"",AD211)</f>
        <v/>
      </c>
      <c r="H211" s="50">
        <f>IF(A211&gt;Inputs!$C$62,"",INDEX(CapacityPlan!$E$7:$E$266,A211))</f>
        <v/>
      </c>
      <c r="I211" s="50">
        <f>IF(A211&gt;Inputs!$C$62,"",INDEX(CapacityPlan!$I$7:$I$266,A211))</f>
        <v/>
      </c>
      <c r="J211" s="50">
        <f>IF(A211&gt;Inputs!$C$62,"",IF(G211&gt;I211,I211,G211))</f>
        <v/>
      </c>
      <c r="K211" s="51">
        <f>IF(A211&gt;Inputs!$C$62,"",IF(G211=0,1,J211/G211))</f>
        <v/>
      </c>
      <c r="L211" s="51">
        <f>IF((Inputs!$C$36 + UnitEconomics!$B$12*Inputs!$C$37 + Inputs!$C$10*Inputs!$C$38 + Inputs!$C$70*(1-K211))&gt;1,1,(Inputs!$C$36 + UnitEconomics!$B$12*Inputs!$C$37 + Inputs!$C$10*Inputs!$C$38 + Inputs!$C$70*(1-K211)))</f>
        <v/>
      </c>
      <c r="M211" s="52">
        <f>IF(A211&gt;Inputs!$C$62,"",J211*Inputs!$C$7*(1-Inputs!$C$8)*(1-L211))</f>
        <v/>
      </c>
      <c r="N211" s="52">
        <f>IF(A211&gt;Inputs!$C$62,"",J211*UnitEconomics!$B$32*AI211 + (G211-J211)*Inputs!$C$71)</f>
        <v/>
      </c>
      <c r="O211" s="52">
        <f>M211-N211</f>
        <v/>
      </c>
      <c r="P211" s="52">
        <f>IF(A211&gt;Inputs!$C$62,"",Inputs!$C$40 + H211*Inputs!$C$41)</f>
        <v/>
      </c>
      <c r="Q211" s="52">
        <f>O211-P211</f>
        <v/>
      </c>
      <c r="R211" s="50">
        <f>IF(A211&gt;Inputs!$C$62,"",AD211*Inputs!$C$16*(Inputs!$C$9 + Inputs!$C$10*Inputs!$C$11 + Inputs!$C$12)*(1 + VLOOKUP(Inputs!$C$15,Lookups!$A$2:$B$20,2,TRUE)*(Scale!$B$9/IF(Scale!$B$8=0,1,Scale!$B$8)) + Inputs!$C$52))</f>
        <v/>
      </c>
      <c r="S211" s="50">
        <f>IF(A211=1,Scale!$B$13, W210)</f>
        <v/>
      </c>
      <c r="T211" s="50">
        <f>J211*Inputs!$C$16*(Inputs!$C$19 + Inputs!$C$20*Inputs!$C$21 + 1/Inputs!$C$18)</f>
        <v/>
      </c>
      <c r="U211" s="50">
        <f>MAX(0, (R211*(1+Inputs!$C$74)) - (S211 - T211))</f>
        <v/>
      </c>
      <c r="V211" s="50">
        <f>IF(A211&lt;=Inputs!$C$73,0,INDEX(U:U,ROW()-Inputs!$C$73))</f>
        <v/>
      </c>
      <c r="W211" s="50">
        <f>S211 - T211 + V211</f>
        <v/>
      </c>
      <c r="X211" s="52">
        <f>V211*Inputs!$C$17</f>
        <v/>
      </c>
      <c r="Y211" s="52">
        <f>IF(A211&gt;Inputs!$C$62,"",C211*AE211)</f>
        <v/>
      </c>
      <c r="Z211" s="52">
        <f>IF(A211=1,Inputs!$C$72,AA210)</f>
        <v/>
      </c>
      <c r="AA211" s="52">
        <f>Z211 + M211 - N211 - P211 - X211 - Y211</f>
        <v/>
      </c>
      <c r="AB211" s="53">
        <f>IF(AA211&lt;0,1,0)</f>
        <v/>
      </c>
      <c r="AC211" s="54">
        <f>IF(AD211=0,0,R211/(AD211*Inputs!$C$16))</f>
        <v/>
      </c>
      <c r="AD211" s="53">
        <f>IF(A211&gt;Inputs!$C$62,"",B211+C211)</f>
        <v/>
      </c>
      <c r="AE211" s="56">
        <f>IF(A211&gt;Inputs!$C$62,"", Inputs!$C$65*(1+Inputs!$C$89*POWER(MIN(1,IF(Inputs!$C$88=0,0,B211/Inputs!$C$88)),Inputs!$C$90)))</f>
        <v/>
      </c>
      <c r="AF211" s="52">
        <f>IF(A211&gt;Inputs!$C$62,"",IF(A211=1,Inputs!$C$86,MIN(Inputs!$C$86,Inputs!$C$87*M210)))</f>
        <v/>
      </c>
      <c r="AG211" s="51">
        <f>IF(A211&gt;Inputs!$C$62,"",MIN(0.5,MAX(0, Inputs!$C$67*L211 + Inputs!$C$68*(1-K211) + Inputs!$C$69*Inputs!$C$10)))</f>
        <v/>
      </c>
      <c r="AH211" s="51">
        <f>IF(A211&gt;Inputs!$C$62,"",INDEX(CapacityPlan!$G$7:$G$266,A211))</f>
        <v/>
      </c>
      <c r="AI211" s="54">
        <f>IF(A211&gt;Inputs!$C$62,"",INDEX(CapacityPlan!$J$7:$J$266,A211))</f>
        <v/>
      </c>
      <c r="AJ211" s="51">
        <f>IF(A211&gt;Inputs!$C$62,"",IF(I211=0,"",G211/I211))</f>
        <v/>
      </c>
    </row>
    <row r="212" ht="16" customHeight="1">
      <c r="A212" s="15" t="n">
        <v>190</v>
      </c>
      <c r="B212" s="50">
        <f>IF(A212&gt;Inputs!$C$62,"",IF(Inputs!$C$80=1,INDEX(Cohorts!$B$67:$B$326,A212),IF(A212=1,Inputs!$C$63,F211)))</f>
        <v/>
      </c>
      <c r="C212" s="50">
        <f>IF(A212&gt;Inputs!$C$62,"",IF(Inputs!$C$85=0,Inputs!$C$64,MIN(Inputs!$C$91,IF(AE212=0,0,AF212/AE212))))</f>
        <v/>
      </c>
      <c r="D212" s="51">
        <f>IF(A212&gt;Inputs!$C$62,"",IF(Inputs!$C$80=1,INDEX(Cohorts!$G$67:$G$326,A212),MAX(0, Inputs!$C$66 + Inputs!$C$67*L212 + Inputs!$C$68*(1-K212) + Inputs!$C$69*Inputs!$C$10)))</f>
        <v/>
      </c>
      <c r="E212" s="50">
        <f>IF(A212&gt;Inputs!$C$62,"",IF(Inputs!$C$80=1,INDEX(Cohorts!$H$67:$H$326,A212),D212*AD212))</f>
        <v/>
      </c>
      <c r="F212" s="50">
        <f>IF(A212&gt;Inputs!$C$62,"",IF(Inputs!$C$80=1,INDEX(Cohorts!$I$67:$I$326,A212),AD212-E212))</f>
        <v/>
      </c>
      <c r="G212" s="50">
        <f>IF(A212&gt;Inputs!$C$62,"",AD212)</f>
        <v/>
      </c>
      <c r="H212" s="50">
        <f>IF(A212&gt;Inputs!$C$62,"",INDEX(CapacityPlan!$E$7:$E$266,A212))</f>
        <v/>
      </c>
      <c r="I212" s="50">
        <f>IF(A212&gt;Inputs!$C$62,"",INDEX(CapacityPlan!$I$7:$I$266,A212))</f>
        <v/>
      </c>
      <c r="J212" s="50">
        <f>IF(A212&gt;Inputs!$C$62,"",IF(G212&gt;I212,I212,G212))</f>
        <v/>
      </c>
      <c r="K212" s="51">
        <f>IF(A212&gt;Inputs!$C$62,"",IF(G212=0,1,J212/G212))</f>
        <v/>
      </c>
      <c r="L212" s="51">
        <f>IF((Inputs!$C$36 + UnitEconomics!$B$12*Inputs!$C$37 + Inputs!$C$10*Inputs!$C$38 + Inputs!$C$70*(1-K212))&gt;1,1,(Inputs!$C$36 + UnitEconomics!$B$12*Inputs!$C$37 + Inputs!$C$10*Inputs!$C$38 + Inputs!$C$70*(1-K212)))</f>
        <v/>
      </c>
      <c r="M212" s="52">
        <f>IF(A212&gt;Inputs!$C$62,"",J212*Inputs!$C$7*(1-Inputs!$C$8)*(1-L212))</f>
        <v/>
      </c>
      <c r="N212" s="52">
        <f>IF(A212&gt;Inputs!$C$62,"",J212*UnitEconomics!$B$32*AI212 + (G212-J212)*Inputs!$C$71)</f>
        <v/>
      </c>
      <c r="O212" s="52">
        <f>M212-N212</f>
        <v/>
      </c>
      <c r="P212" s="52">
        <f>IF(A212&gt;Inputs!$C$62,"",Inputs!$C$40 + H212*Inputs!$C$41)</f>
        <v/>
      </c>
      <c r="Q212" s="52">
        <f>O212-P212</f>
        <v/>
      </c>
      <c r="R212" s="50">
        <f>IF(A212&gt;Inputs!$C$62,"",AD212*Inputs!$C$16*(Inputs!$C$9 + Inputs!$C$10*Inputs!$C$11 + Inputs!$C$12)*(1 + VLOOKUP(Inputs!$C$15,Lookups!$A$2:$B$20,2,TRUE)*(Scale!$B$9/IF(Scale!$B$8=0,1,Scale!$B$8)) + Inputs!$C$52))</f>
        <v/>
      </c>
      <c r="S212" s="50">
        <f>IF(A212=1,Scale!$B$13, W211)</f>
        <v/>
      </c>
      <c r="T212" s="50">
        <f>J212*Inputs!$C$16*(Inputs!$C$19 + Inputs!$C$20*Inputs!$C$21 + 1/Inputs!$C$18)</f>
        <v/>
      </c>
      <c r="U212" s="50">
        <f>MAX(0, (R212*(1+Inputs!$C$74)) - (S212 - T212))</f>
        <v/>
      </c>
      <c r="V212" s="50">
        <f>IF(A212&lt;=Inputs!$C$73,0,INDEX(U:U,ROW()-Inputs!$C$73))</f>
        <v/>
      </c>
      <c r="W212" s="50">
        <f>S212 - T212 + V212</f>
        <v/>
      </c>
      <c r="X212" s="52">
        <f>V212*Inputs!$C$17</f>
        <v/>
      </c>
      <c r="Y212" s="52">
        <f>IF(A212&gt;Inputs!$C$62,"",C212*AE212)</f>
        <v/>
      </c>
      <c r="Z212" s="52">
        <f>IF(A212=1,Inputs!$C$72,AA211)</f>
        <v/>
      </c>
      <c r="AA212" s="52">
        <f>Z212 + M212 - N212 - P212 - X212 - Y212</f>
        <v/>
      </c>
      <c r="AB212" s="53">
        <f>IF(AA212&lt;0,1,0)</f>
        <v/>
      </c>
      <c r="AC212" s="54">
        <f>IF(AD212=0,0,R212/(AD212*Inputs!$C$16))</f>
        <v/>
      </c>
      <c r="AD212" s="53">
        <f>IF(A212&gt;Inputs!$C$62,"",B212+C212)</f>
        <v/>
      </c>
      <c r="AE212" s="56">
        <f>IF(A212&gt;Inputs!$C$62,"", Inputs!$C$65*(1+Inputs!$C$89*POWER(MIN(1,IF(Inputs!$C$88=0,0,B212/Inputs!$C$88)),Inputs!$C$90)))</f>
        <v/>
      </c>
      <c r="AF212" s="52">
        <f>IF(A212&gt;Inputs!$C$62,"",IF(A212=1,Inputs!$C$86,MIN(Inputs!$C$86,Inputs!$C$87*M211)))</f>
        <v/>
      </c>
      <c r="AG212" s="51">
        <f>IF(A212&gt;Inputs!$C$62,"",MIN(0.5,MAX(0, Inputs!$C$67*L212 + Inputs!$C$68*(1-K212) + Inputs!$C$69*Inputs!$C$10)))</f>
        <v/>
      </c>
      <c r="AH212" s="51">
        <f>IF(A212&gt;Inputs!$C$62,"",INDEX(CapacityPlan!$G$7:$G$266,A212))</f>
        <v/>
      </c>
      <c r="AI212" s="54">
        <f>IF(A212&gt;Inputs!$C$62,"",INDEX(CapacityPlan!$J$7:$J$266,A212))</f>
        <v/>
      </c>
      <c r="AJ212" s="51">
        <f>IF(A212&gt;Inputs!$C$62,"",IF(I212=0,"",G212/I212))</f>
        <v/>
      </c>
    </row>
    <row r="213" ht="16" customHeight="1">
      <c r="A213" s="15" t="n">
        <v>191</v>
      </c>
      <c r="B213" s="50">
        <f>IF(A213&gt;Inputs!$C$62,"",IF(Inputs!$C$80=1,INDEX(Cohorts!$B$67:$B$326,A213),IF(A213=1,Inputs!$C$63,F212)))</f>
        <v/>
      </c>
      <c r="C213" s="50">
        <f>IF(A213&gt;Inputs!$C$62,"",IF(Inputs!$C$85=0,Inputs!$C$64,MIN(Inputs!$C$91,IF(AE213=0,0,AF213/AE213))))</f>
        <v/>
      </c>
      <c r="D213" s="51">
        <f>IF(A213&gt;Inputs!$C$62,"",IF(Inputs!$C$80=1,INDEX(Cohorts!$G$67:$G$326,A213),MAX(0, Inputs!$C$66 + Inputs!$C$67*L213 + Inputs!$C$68*(1-K213) + Inputs!$C$69*Inputs!$C$10)))</f>
        <v/>
      </c>
      <c r="E213" s="50">
        <f>IF(A213&gt;Inputs!$C$62,"",IF(Inputs!$C$80=1,INDEX(Cohorts!$H$67:$H$326,A213),D213*AD213))</f>
        <v/>
      </c>
      <c r="F213" s="50">
        <f>IF(A213&gt;Inputs!$C$62,"",IF(Inputs!$C$80=1,INDEX(Cohorts!$I$67:$I$326,A213),AD213-E213))</f>
        <v/>
      </c>
      <c r="G213" s="50">
        <f>IF(A213&gt;Inputs!$C$62,"",AD213)</f>
        <v/>
      </c>
      <c r="H213" s="50">
        <f>IF(A213&gt;Inputs!$C$62,"",INDEX(CapacityPlan!$E$7:$E$266,A213))</f>
        <v/>
      </c>
      <c r="I213" s="50">
        <f>IF(A213&gt;Inputs!$C$62,"",INDEX(CapacityPlan!$I$7:$I$266,A213))</f>
        <v/>
      </c>
      <c r="J213" s="50">
        <f>IF(A213&gt;Inputs!$C$62,"",IF(G213&gt;I213,I213,G213))</f>
        <v/>
      </c>
      <c r="K213" s="51">
        <f>IF(A213&gt;Inputs!$C$62,"",IF(G213=0,1,J213/G213))</f>
        <v/>
      </c>
      <c r="L213" s="51">
        <f>IF((Inputs!$C$36 + UnitEconomics!$B$12*Inputs!$C$37 + Inputs!$C$10*Inputs!$C$38 + Inputs!$C$70*(1-K213))&gt;1,1,(Inputs!$C$36 + UnitEconomics!$B$12*Inputs!$C$37 + Inputs!$C$10*Inputs!$C$38 + Inputs!$C$70*(1-K213)))</f>
        <v/>
      </c>
      <c r="M213" s="52">
        <f>IF(A213&gt;Inputs!$C$62,"",J213*Inputs!$C$7*(1-Inputs!$C$8)*(1-L213))</f>
        <v/>
      </c>
      <c r="N213" s="52">
        <f>IF(A213&gt;Inputs!$C$62,"",J213*UnitEconomics!$B$32*AI213 + (G213-J213)*Inputs!$C$71)</f>
        <v/>
      </c>
      <c r="O213" s="52">
        <f>M213-N213</f>
        <v/>
      </c>
      <c r="P213" s="52">
        <f>IF(A213&gt;Inputs!$C$62,"",Inputs!$C$40 + H213*Inputs!$C$41)</f>
        <v/>
      </c>
      <c r="Q213" s="52">
        <f>O213-P213</f>
        <v/>
      </c>
      <c r="R213" s="50">
        <f>IF(A213&gt;Inputs!$C$62,"",AD213*Inputs!$C$16*(Inputs!$C$9 + Inputs!$C$10*Inputs!$C$11 + Inputs!$C$12)*(1 + VLOOKUP(Inputs!$C$15,Lookups!$A$2:$B$20,2,TRUE)*(Scale!$B$9/IF(Scale!$B$8=0,1,Scale!$B$8)) + Inputs!$C$52))</f>
        <v/>
      </c>
      <c r="S213" s="50">
        <f>IF(A213=1,Scale!$B$13, W212)</f>
        <v/>
      </c>
      <c r="T213" s="50">
        <f>J213*Inputs!$C$16*(Inputs!$C$19 + Inputs!$C$20*Inputs!$C$21 + 1/Inputs!$C$18)</f>
        <v/>
      </c>
      <c r="U213" s="50">
        <f>MAX(0, (R213*(1+Inputs!$C$74)) - (S213 - T213))</f>
        <v/>
      </c>
      <c r="V213" s="50">
        <f>IF(A213&lt;=Inputs!$C$73,0,INDEX(U:U,ROW()-Inputs!$C$73))</f>
        <v/>
      </c>
      <c r="W213" s="50">
        <f>S213 - T213 + V213</f>
        <v/>
      </c>
      <c r="X213" s="52">
        <f>V213*Inputs!$C$17</f>
        <v/>
      </c>
      <c r="Y213" s="52">
        <f>IF(A213&gt;Inputs!$C$62,"",C213*AE213)</f>
        <v/>
      </c>
      <c r="Z213" s="52">
        <f>IF(A213=1,Inputs!$C$72,AA212)</f>
        <v/>
      </c>
      <c r="AA213" s="52">
        <f>Z213 + M213 - N213 - P213 - X213 - Y213</f>
        <v/>
      </c>
      <c r="AB213" s="53">
        <f>IF(AA213&lt;0,1,0)</f>
        <v/>
      </c>
      <c r="AC213" s="54">
        <f>IF(AD213=0,0,R213/(AD213*Inputs!$C$16))</f>
        <v/>
      </c>
      <c r="AD213" s="53">
        <f>IF(A213&gt;Inputs!$C$62,"",B213+C213)</f>
        <v/>
      </c>
      <c r="AE213" s="56">
        <f>IF(A213&gt;Inputs!$C$62,"", Inputs!$C$65*(1+Inputs!$C$89*POWER(MIN(1,IF(Inputs!$C$88=0,0,B213/Inputs!$C$88)),Inputs!$C$90)))</f>
        <v/>
      </c>
      <c r="AF213" s="52">
        <f>IF(A213&gt;Inputs!$C$62,"",IF(A213=1,Inputs!$C$86,MIN(Inputs!$C$86,Inputs!$C$87*M212)))</f>
        <v/>
      </c>
      <c r="AG213" s="51">
        <f>IF(A213&gt;Inputs!$C$62,"",MIN(0.5,MAX(0, Inputs!$C$67*L213 + Inputs!$C$68*(1-K213) + Inputs!$C$69*Inputs!$C$10)))</f>
        <v/>
      </c>
      <c r="AH213" s="51">
        <f>IF(A213&gt;Inputs!$C$62,"",INDEX(CapacityPlan!$G$7:$G$266,A213))</f>
        <v/>
      </c>
      <c r="AI213" s="54">
        <f>IF(A213&gt;Inputs!$C$62,"",INDEX(CapacityPlan!$J$7:$J$266,A213))</f>
        <v/>
      </c>
      <c r="AJ213" s="51">
        <f>IF(A213&gt;Inputs!$C$62,"",IF(I213=0,"",G213/I213))</f>
        <v/>
      </c>
    </row>
    <row r="214" ht="16" customHeight="1">
      <c r="A214" s="15" t="n">
        <v>192</v>
      </c>
      <c r="B214" s="50">
        <f>IF(A214&gt;Inputs!$C$62,"",IF(Inputs!$C$80=1,INDEX(Cohorts!$B$67:$B$326,A214),IF(A214=1,Inputs!$C$63,F213)))</f>
        <v/>
      </c>
      <c r="C214" s="50">
        <f>IF(A214&gt;Inputs!$C$62,"",IF(Inputs!$C$85=0,Inputs!$C$64,MIN(Inputs!$C$91,IF(AE214=0,0,AF214/AE214))))</f>
        <v/>
      </c>
      <c r="D214" s="51">
        <f>IF(A214&gt;Inputs!$C$62,"",IF(Inputs!$C$80=1,INDEX(Cohorts!$G$67:$G$326,A214),MAX(0, Inputs!$C$66 + Inputs!$C$67*L214 + Inputs!$C$68*(1-K214) + Inputs!$C$69*Inputs!$C$10)))</f>
        <v/>
      </c>
      <c r="E214" s="50">
        <f>IF(A214&gt;Inputs!$C$62,"",IF(Inputs!$C$80=1,INDEX(Cohorts!$H$67:$H$326,A214),D214*AD214))</f>
        <v/>
      </c>
      <c r="F214" s="50">
        <f>IF(A214&gt;Inputs!$C$62,"",IF(Inputs!$C$80=1,INDEX(Cohorts!$I$67:$I$326,A214),AD214-E214))</f>
        <v/>
      </c>
      <c r="G214" s="50">
        <f>IF(A214&gt;Inputs!$C$62,"",AD214)</f>
        <v/>
      </c>
      <c r="H214" s="50">
        <f>IF(A214&gt;Inputs!$C$62,"",INDEX(CapacityPlan!$E$7:$E$266,A214))</f>
        <v/>
      </c>
      <c r="I214" s="50">
        <f>IF(A214&gt;Inputs!$C$62,"",INDEX(CapacityPlan!$I$7:$I$266,A214))</f>
        <v/>
      </c>
      <c r="J214" s="50">
        <f>IF(A214&gt;Inputs!$C$62,"",IF(G214&gt;I214,I214,G214))</f>
        <v/>
      </c>
      <c r="K214" s="51">
        <f>IF(A214&gt;Inputs!$C$62,"",IF(G214=0,1,J214/G214))</f>
        <v/>
      </c>
      <c r="L214" s="51">
        <f>IF((Inputs!$C$36 + UnitEconomics!$B$12*Inputs!$C$37 + Inputs!$C$10*Inputs!$C$38 + Inputs!$C$70*(1-K214))&gt;1,1,(Inputs!$C$36 + UnitEconomics!$B$12*Inputs!$C$37 + Inputs!$C$10*Inputs!$C$38 + Inputs!$C$70*(1-K214)))</f>
        <v/>
      </c>
      <c r="M214" s="52">
        <f>IF(A214&gt;Inputs!$C$62,"",J214*Inputs!$C$7*(1-Inputs!$C$8)*(1-L214))</f>
        <v/>
      </c>
      <c r="N214" s="52">
        <f>IF(A214&gt;Inputs!$C$62,"",J214*UnitEconomics!$B$32*AI214 + (G214-J214)*Inputs!$C$71)</f>
        <v/>
      </c>
      <c r="O214" s="52">
        <f>M214-N214</f>
        <v/>
      </c>
      <c r="P214" s="52">
        <f>IF(A214&gt;Inputs!$C$62,"",Inputs!$C$40 + H214*Inputs!$C$41)</f>
        <v/>
      </c>
      <c r="Q214" s="52">
        <f>O214-P214</f>
        <v/>
      </c>
      <c r="R214" s="50">
        <f>IF(A214&gt;Inputs!$C$62,"",AD214*Inputs!$C$16*(Inputs!$C$9 + Inputs!$C$10*Inputs!$C$11 + Inputs!$C$12)*(1 + VLOOKUP(Inputs!$C$15,Lookups!$A$2:$B$20,2,TRUE)*(Scale!$B$9/IF(Scale!$B$8=0,1,Scale!$B$8)) + Inputs!$C$52))</f>
        <v/>
      </c>
      <c r="S214" s="50">
        <f>IF(A214=1,Scale!$B$13, W213)</f>
        <v/>
      </c>
      <c r="T214" s="50">
        <f>J214*Inputs!$C$16*(Inputs!$C$19 + Inputs!$C$20*Inputs!$C$21 + 1/Inputs!$C$18)</f>
        <v/>
      </c>
      <c r="U214" s="50">
        <f>MAX(0, (R214*(1+Inputs!$C$74)) - (S214 - T214))</f>
        <v/>
      </c>
      <c r="V214" s="50">
        <f>IF(A214&lt;=Inputs!$C$73,0,INDEX(U:U,ROW()-Inputs!$C$73))</f>
        <v/>
      </c>
      <c r="W214" s="50">
        <f>S214 - T214 + V214</f>
        <v/>
      </c>
      <c r="X214" s="52">
        <f>V214*Inputs!$C$17</f>
        <v/>
      </c>
      <c r="Y214" s="52">
        <f>IF(A214&gt;Inputs!$C$62,"",C214*AE214)</f>
        <v/>
      </c>
      <c r="Z214" s="52">
        <f>IF(A214=1,Inputs!$C$72,AA213)</f>
        <v/>
      </c>
      <c r="AA214" s="52">
        <f>Z214 + M214 - N214 - P214 - X214 - Y214</f>
        <v/>
      </c>
      <c r="AB214" s="53">
        <f>IF(AA214&lt;0,1,0)</f>
        <v/>
      </c>
      <c r="AC214" s="54">
        <f>IF(AD214=0,0,R214/(AD214*Inputs!$C$16))</f>
        <v/>
      </c>
      <c r="AD214" s="53">
        <f>IF(A214&gt;Inputs!$C$62,"",B214+C214)</f>
        <v/>
      </c>
      <c r="AE214" s="56">
        <f>IF(A214&gt;Inputs!$C$62,"", Inputs!$C$65*(1+Inputs!$C$89*POWER(MIN(1,IF(Inputs!$C$88=0,0,B214/Inputs!$C$88)),Inputs!$C$90)))</f>
        <v/>
      </c>
      <c r="AF214" s="52">
        <f>IF(A214&gt;Inputs!$C$62,"",IF(A214=1,Inputs!$C$86,MIN(Inputs!$C$86,Inputs!$C$87*M213)))</f>
        <v/>
      </c>
      <c r="AG214" s="51">
        <f>IF(A214&gt;Inputs!$C$62,"",MIN(0.5,MAX(0, Inputs!$C$67*L214 + Inputs!$C$68*(1-K214) + Inputs!$C$69*Inputs!$C$10)))</f>
        <v/>
      </c>
      <c r="AH214" s="51">
        <f>IF(A214&gt;Inputs!$C$62,"",INDEX(CapacityPlan!$G$7:$G$266,A214))</f>
        <v/>
      </c>
      <c r="AI214" s="54">
        <f>IF(A214&gt;Inputs!$C$62,"",INDEX(CapacityPlan!$J$7:$J$266,A214))</f>
        <v/>
      </c>
      <c r="AJ214" s="51">
        <f>IF(A214&gt;Inputs!$C$62,"",IF(I214=0,"",G214/I214))</f>
        <v/>
      </c>
    </row>
    <row r="215" ht="16" customHeight="1">
      <c r="A215" s="15" t="n">
        <v>193</v>
      </c>
      <c r="B215" s="50">
        <f>IF(A215&gt;Inputs!$C$62,"",IF(Inputs!$C$80=1,INDEX(Cohorts!$B$67:$B$326,A215),IF(A215=1,Inputs!$C$63,F214)))</f>
        <v/>
      </c>
      <c r="C215" s="50">
        <f>IF(A215&gt;Inputs!$C$62,"",IF(Inputs!$C$85=0,Inputs!$C$64,MIN(Inputs!$C$91,IF(AE215=0,0,AF215/AE215))))</f>
        <v/>
      </c>
      <c r="D215" s="51">
        <f>IF(A215&gt;Inputs!$C$62,"",IF(Inputs!$C$80=1,INDEX(Cohorts!$G$67:$G$326,A215),MAX(0, Inputs!$C$66 + Inputs!$C$67*L215 + Inputs!$C$68*(1-K215) + Inputs!$C$69*Inputs!$C$10)))</f>
        <v/>
      </c>
      <c r="E215" s="50">
        <f>IF(A215&gt;Inputs!$C$62,"",IF(Inputs!$C$80=1,INDEX(Cohorts!$H$67:$H$326,A215),D215*AD215))</f>
        <v/>
      </c>
      <c r="F215" s="50">
        <f>IF(A215&gt;Inputs!$C$62,"",IF(Inputs!$C$80=1,INDEX(Cohorts!$I$67:$I$326,A215),AD215-E215))</f>
        <v/>
      </c>
      <c r="G215" s="50">
        <f>IF(A215&gt;Inputs!$C$62,"",AD215)</f>
        <v/>
      </c>
      <c r="H215" s="50">
        <f>IF(A215&gt;Inputs!$C$62,"",INDEX(CapacityPlan!$E$7:$E$266,A215))</f>
        <v/>
      </c>
      <c r="I215" s="50">
        <f>IF(A215&gt;Inputs!$C$62,"",INDEX(CapacityPlan!$I$7:$I$266,A215))</f>
        <v/>
      </c>
      <c r="J215" s="50">
        <f>IF(A215&gt;Inputs!$C$62,"",IF(G215&gt;I215,I215,G215))</f>
        <v/>
      </c>
      <c r="K215" s="51">
        <f>IF(A215&gt;Inputs!$C$62,"",IF(G215=0,1,J215/G215))</f>
        <v/>
      </c>
      <c r="L215" s="51">
        <f>IF((Inputs!$C$36 + UnitEconomics!$B$12*Inputs!$C$37 + Inputs!$C$10*Inputs!$C$38 + Inputs!$C$70*(1-K215))&gt;1,1,(Inputs!$C$36 + UnitEconomics!$B$12*Inputs!$C$37 + Inputs!$C$10*Inputs!$C$38 + Inputs!$C$70*(1-K215)))</f>
        <v/>
      </c>
      <c r="M215" s="52">
        <f>IF(A215&gt;Inputs!$C$62,"",J215*Inputs!$C$7*(1-Inputs!$C$8)*(1-L215))</f>
        <v/>
      </c>
      <c r="N215" s="52">
        <f>IF(A215&gt;Inputs!$C$62,"",J215*UnitEconomics!$B$32*AI215 + (G215-J215)*Inputs!$C$71)</f>
        <v/>
      </c>
      <c r="O215" s="52">
        <f>M215-N215</f>
        <v/>
      </c>
      <c r="P215" s="52">
        <f>IF(A215&gt;Inputs!$C$62,"",Inputs!$C$40 + H215*Inputs!$C$41)</f>
        <v/>
      </c>
      <c r="Q215" s="52">
        <f>O215-P215</f>
        <v/>
      </c>
      <c r="R215" s="50">
        <f>IF(A215&gt;Inputs!$C$62,"",AD215*Inputs!$C$16*(Inputs!$C$9 + Inputs!$C$10*Inputs!$C$11 + Inputs!$C$12)*(1 + VLOOKUP(Inputs!$C$15,Lookups!$A$2:$B$20,2,TRUE)*(Scale!$B$9/IF(Scale!$B$8=0,1,Scale!$B$8)) + Inputs!$C$52))</f>
        <v/>
      </c>
      <c r="S215" s="50">
        <f>IF(A215=1,Scale!$B$13, W214)</f>
        <v/>
      </c>
      <c r="T215" s="50">
        <f>J215*Inputs!$C$16*(Inputs!$C$19 + Inputs!$C$20*Inputs!$C$21 + 1/Inputs!$C$18)</f>
        <v/>
      </c>
      <c r="U215" s="50">
        <f>MAX(0, (R215*(1+Inputs!$C$74)) - (S215 - T215))</f>
        <v/>
      </c>
      <c r="V215" s="50">
        <f>IF(A215&lt;=Inputs!$C$73,0,INDEX(U:U,ROW()-Inputs!$C$73))</f>
        <v/>
      </c>
      <c r="W215" s="50">
        <f>S215 - T215 + V215</f>
        <v/>
      </c>
      <c r="X215" s="52">
        <f>V215*Inputs!$C$17</f>
        <v/>
      </c>
      <c r="Y215" s="52">
        <f>IF(A215&gt;Inputs!$C$62,"",C215*AE215)</f>
        <v/>
      </c>
      <c r="Z215" s="52">
        <f>IF(A215=1,Inputs!$C$72,AA214)</f>
        <v/>
      </c>
      <c r="AA215" s="52">
        <f>Z215 + M215 - N215 - P215 - X215 - Y215</f>
        <v/>
      </c>
      <c r="AB215" s="53">
        <f>IF(AA215&lt;0,1,0)</f>
        <v/>
      </c>
      <c r="AC215" s="54">
        <f>IF(AD215=0,0,R215/(AD215*Inputs!$C$16))</f>
        <v/>
      </c>
      <c r="AD215" s="53">
        <f>IF(A215&gt;Inputs!$C$62,"",B215+C215)</f>
        <v/>
      </c>
      <c r="AE215" s="56">
        <f>IF(A215&gt;Inputs!$C$62,"", Inputs!$C$65*(1+Inputs!$C$89*POWER(MIN(1,IF(Inputs!$C$88=0,0,B215/Inputs!$C$88)),Inputs!$C$90)))</f>
        <v/>
      </c>
      <c r="AF215" s="52">
        <f>IF(A215&gt;Inputs!$C$62,"",IF(A215=1,Inputs!$C$86,MIN(Inputs!$C$86,Inputs!$C$87*M214)))</f>
        <v/>
      </c>
      <c r="AG215" s="51">
        <f>IF(A215&gt;Inputs!$C$62,"",MIN(0.5,MAX(0, Inputs!$C$67*L215 + Inputs!$C$68*(1-K215) + Inputs!$C$69*Inputs!$C$10)))</f>
        <v/>
      </c>
      <c r="AH215" s="51">
        <f>IF(A215&gt;Inputs!$C$62,"",INDEX(CapacityPlan!$G$7:$G$266,A215))</f>
        <v/>
      </c>
      <c r="AI215" s="54">
        <f>IF(A215&gt;Inputs!$C$62,"",INDEX(CapacityPlan!$J$7:$J$266,A215))</f>
        <v/>
      </c>
      <c r="AJ215" s="51">
        <f>IF(A215&gt;Inputs!$C$62,"",IF(I215=0,"",G215/I215))</f>
        <v/>
      </c>
    </row>
    <row r="216" ht="16" customHeight="1">
      <c r="A216" s="15" t="n">
        <v>194</v>
      </c>
      <c r="B216" s="50">
        <f>IF(A216&gt;Inputs!$C$62,"",IF(Inputs!$C$80=1,INDEX(Cohorts!$B$67:$B$326,A216),IF(A216=1,Inputs!$C$63,F215)))</f>
        <v/>
      </c>
      <c r="C216" s="50">
        <f>IF(A216&gt;Inputs!$C$62,"",IF(Inputs!$C$85=0,Inputs!$C$64,MIN(Inputs!$C$91,IF(AE216=0,0,AF216/AE216))))</f>
        <v/>
      </c>
      <c r="D216" s="51">
        <f>IF(A216&gt;Inputs!$C$62,"",IF(Inputs!$C$80=1,INDEX(Cohorts!$G$67:$G$326,A216),MAX(0, Inputs!$C$66 + Inputs!$C$67*L216 + Inputs!$C$68*(1-K216) + Inputs!$C$69*Inputs!$C$10)))</f>
        <v/>
      </c>
      <c r="E216" s="50">
        <f>IF(A216&gt;Inputs!$C$62,"",IF(Inputs!$C$80=1,INDEX(Cohorts!$H$67:$H$326,A216),D216*AD216))</f>
        <v/>
      </c>
      <c r="F216" s="50">
        <f>IF(A216&gt;Inputs!$C$62,"",IF(Inputs!$C$80=1,INDEX(Cohorts!$I$67:$I$326,A216),AD216-E216))</f>
        <v/>
      </c>
      <c r="G216" s="50">
        <f>IF(A216&gt;Inputs!$C$62,"",AD216)</f>
        <v/>
      </c>
      <c r="H216" s="50">
        <f>IF(A216&gt;Inputs!$C$62,"",INDEX(CapacityPlan!$E$7:$E$266,A216))</f>
        <v/>
      </c>
      <c r="I216" s="50">
        <f>IF(A216&gt;Inputs!$C$62,"",INDEX(CapacityPlan!$I$7:$I$266,A216))</f>
        <v/>
      </c>
      <c r="J216" s="50">
        <f>IF(A216&gt;Inputs!$C$62,"",IF(G216&gt;I216,I216,G216))</f>
        <v/>
      </c>
      <c r="K216" s="51">
        <f>IF(A216&gt;Inputs!$C$62,"",IF(G216=0,1,J216/G216))</f>
        <v/>
      </c>
      <c r="L216" s="51">
        <f>IF((Inputs!$C$36 + UnitEconomics!$B$12*Inputs!$C$37 + Inputs!$C$10*Inputs!$C$38 + Inputs!$C$70*(1-K216))&gt;1,1,(Inputs!$C$36 + UnitEconomics!$B$12*Inputs!$C$37 + Inputs!$C$10*Inputs!$C$38 + Inputs!$C$70*(1-K216)))</f>
        <v/>
      </c>
      <c r="M216" s="52">
        <f>IF(A216&gt;Inputs!$C$62,"",J216*Inputs!$C$7*(1-Inputs!$C$8)*(1-L216))</f>
        <v/>
      </c>
      <c r="N216" s="52">
        <f>IF(A216&gt;Inputs!$C$62,"",J216*UnitEconomics!$B$32*AI216 + (G216-J216)*Inputs!$C$71)</f>
        <v/>
      </c>
      <c r="O216" s="52">
        <f>M216-N216</f>
        <v/>
      </c>
      <c r="P216" s="52">
        <f>IF(A216&gt;Inputs!$C$62,"",Inputs!$C$40 + H216*Inputs!$C$41)</f>
        <v/>
      </c>
      <c r="Q216" s="52">
        <f>O216-P216</f>
        <v/>
      </c>
      <c r="R216" s="50">
        <f>IF(A216&gt;Inputs!$C$62,"",AD216*Inputs!$C$16*(Inputs!$C$9 + Inputs!$C$10*Inputs!$C$11 + Inputs!$C$12)*(1 + VLOOKUP(Inputs!$C$15,Lookups!$A$2:$B$20,2,TRUE)*(Scale!$B$9/IF(Scale!$B$8=0,1,Scale!$B$8)) + Inputs!$C$52))</f>
        <v/>
      </c>
      <c r="S216" s="50">
        <f>IF(A216=1,Scale!$B$13, W215)</f>
        <v/>
      </c>
      <c r="T216" s="50">
        <f>J216*Inputs!$C$16*(Inputs!$C$19 + Inputs!$C$20*Inputs!$C$21 + 1/Inputs!$C$18)</f>
        <v/>
      </c>
      <c r="U216" s="50">
        <f>MAX(0, (R216*(1+Inputs!$C$74)) - (S216 - T216))</f>
        <v/>
      </c>
      <c r="V216" s="50">
        <f>IF(A216&lt;=Inputs!$C$73,0,INDEX(U:U,ROW()-Inputs!$C$73))</f>
        <v/>
      </c>
      <c r="W216" s="50">
        <f>S216 - T216 + V216</f>
        <v/>
      </c>
      <c r="X216" s="52">
        <f>V216*Inputs!$C$17</f>
        <v/>
      </c>
      <c r="Y216" s="52">
        <f>IF(A216&gt;Inputs!$C$62,"",C216*AE216)</f>
        <v/>
      </c>
      <c r="Z216" s="52">
        <f>IF(A216=1,Inputs!$C$72,AA215)</f>
        <v/>
      </c>
      <c r="AA216" s="52">
        <f>Z216 + M216 - N216 - P216 - X216 - Y216</f>
        <v/>
      </c>
      <c r="AB216" s="53">
        <f>IF(AA216&lt;0,1,0)</f>
        <v/>
      </c>
      <c r="AC216" s="54">
        <f>IF(AD216=0,0,R216/(AD216*Inputs!$C$16))</f>
        <v/>
      </c>
      <c r="AD216" s="53">
        <f>IF(A216&gt;Inputs!$C$62,"",B216+C216)</f>
        <v/>
      </c>
      <c r="AE216" s="56">
        <f>IF(A216&gt;Inputs!$C$62,"", Inputs!$C$65*(1+Inputs!$C$89*POWER(MIN(1,IF(Inputs!$C$88=0,0,B216/Inputs!$C$88)),Inputs!$C$90)))</f>
        <v/>
      </c>
      <c r="AF216" s="52">
        <f>IF(A216&gt;Inputs!$C$62,"",IF(A216=1,Inputs!$C$86,MIN(Inputs!$C$86,Inputs!$C$87*M215)))</f>
        <v/>
      </c>
      <c r="AG216" s="51">
        <f>IF(A216&gt;Inputs!$C$62,"",MIN(0.5,MAX(0, Inputs!$C$67*L216 + Inputs!$C$68*(1-K216) + Inputs!$C$69*Inputs!$C$10)))</f>
        <v/>
      </c>
      <c r="AH216" s="51">
        <f>IF(A216&gt;Inputs!$C$62,"",INDEX(CapacityPlan!$G$7:$G$266,A216))</f>
        <v/>
      </c>
      <c r="AI216" s="54">
        <f>IF(A216&gt;Inputs!$C$62,"",INDEX(CapacityPlan!$J$7:$J$266,A216))</f>
        <v/>
      </c>
      <c r="AJ216" s="51">
        <f>IF(A216&gt;Inputs!$C$62,"",IF(I216=0,"",G216/I216))</f>
        <v/>
      </c>
    </row>
    <row r="217" ht="16" customHeight="1">
      <c r="A217" s="15" t="n">
        <v>195</v>
      </c>
      <c r="B217" s="50">
        <f>IF(A217&gt;Inputs!$C$62,"",IF(Inputs!$C$80=1,INDEX(Cohorts!$B$67:$B$326,A217),IF(A217=1,Inputs!$C$63,F216)))</f>
        <v/>
      </c>
      <c r="C217" s="50">
        <f>IF(A217&gt;Inputs!$C$62,"",IF(Inputs!$C$85=0,Inputs!$C$64,MIN(Inputs!$C$91,IF(AE217=0,0,AF217/AE217))))</f>
        <v/>
      </c>
      <c r="D217" s="51">
        <f>IF(A217&gt;Inputs!$C$62,"",IF(Inputs!$C$80=1,INDEX(Cohorts!$G$67:$G$326,A217),MAX(0, Inputs!$C$66 + Inputs!$C$67*L217 + Inputs!$C$68*(1-K217) + Inputs!$C$69*Inputs!$C$10)))</f>
        <v/>
      </c>
      <c r="E217" s="50">
        <f>IF(A217&gt;Inputs!$C$62,"",IF(Inputs!$C$80=1,INDEX(Cohorts!$H$67:$H$326,A217),D217*AD217))</f>
        <v/>
      </c>
      <c r="F217" s="50">
        <f>IF(A217&gt;Inputs!$C$62,"",IF(Inputs!$C$80=1,INDEX(Cohorts!$I$67:$I$326,A217),AD217-E217))</f>
        <v/>
      </c>
      <c r="G217" s="50">
        <f>IF(A217&gt;Inputs!$C$62,"",AD217)</f>
        <v/>
      </c>
      <c r="H217" s="50">
        <f>IF(A217&gt;Inputs!$C$62,"",INDEX(CapacityPlan!$E$7:$E$266,A217))</f>
        <v/>
      </c>
      <c r="I217" s="50">
        <f>IF(A217&gt;Inputs!$C$62,"",INDEX(CapacityPlan!$I$7:$I$266,A217))</f>
        <v/>
      </c>
      <c r="J217" s="50">
        <f>IF(A217&gt;Inputs!$C$62,"",IF(G217&gt;I217,I217,G217))</f>
        <v/>
      </c>
      <c r="K217" s="51">
        <f>IF(A217&gt;Inputs!$C$62,"",IF(G217=0,1,J217/G217))</f>
        <v/>
      </c>
      <c r="L217" s="51">
        <f>IF((Inputs!$C$36 + UnitEconomics!$B$12*Inputs!$C$37 + Inputs!$C$10*Inputs!$C$38 + Inputs!$C$70*(1-K217))&gt;1,1,(Inputs!$C$36 + UnitEconomics!$B$12*Inputs!$C$37 + Inputs!$C$10*Inputs!$C$38 + Inputs!$C$70*(1-K217)))</f>
        <v/>
      </c>
      <c r="M217" s="52">
        <f>IF(A217&gt;Inputs!$C$62,"",J217*Inputs!$C$7*(1-Inputs!$C$8)*(1-L217))</f>
        <v/>
      </c>
      <c r="N217" s="52">
        <f>IF(A217&gt;Inputs!$C$62,"",J217*UnitEconomics!$B$32*AI217 + (G217-J217)*Inputs!$C$71)</f>
        <v/>
      </c>
      <c r="O217" s="52">
        <f>M217-N217</f>
        <v/>
      </c>
      <c r="P217" s="52">
        <f>IF(A217&gt;Inputs!$C$62,"",Inputs!$C$40 + H217*Inputs!$C$41)</f>
        <v/>
      </c>
      <c r="Q217" s="52">
        <f>O217-P217</f>
        <v/>
      </c>
      <c r="R217" s="50">
        <f>IF(A217&gt;Inputs!$C$62,"",AD217*Inputs!$C$16*(Inputs!$C$9 + Inputs!$C$10*Inputs!$C$11 + Inputs!$C$12)*(1 + VLOOKUP(Inputs!$C$15,Lookups!$A$2:$B$20,2,TRUE)*(Scale!$B$9/IF(Scale!$B$8=0,1,Scale!$B$8)) + Inputs!$C$52))</f>
        <v/>
      </c>
      <c r="S217" s="50">
        <f>IF(A217=1,Scale!$B$13, W216)</f>
        <v/>
      </c>
      <c r="T217" s="50">
        <f>J217*Inputs!$C$16*(Inputs!$C$19 + Inputs!$C$20*Inputs!$C$21 + 1/Inputs!$C$18)</f>
        <v/>
      </c>
      <c r="U217" s="50">
        <f>MAX(0, (R217*(1+Inputs!$C$74)) - (S217 - T217))</f>
        <v/>
      </c>
      <c r="V217" s="50">
        <f>IF(A217&lt;=Inputs!$C$73,0,INDEX(U:U,ROW()-Inputs!$C$73))</f>
        <v/>
      </c>
      <c r="W217" s="50">
        <f>S217 - T217 + V217</f>
        <v/>
      </c>
      <c r="X217" s="52">
        <f>V217*Inputs!$C$17</f>
        <v/>
      </c>
      <c r="Y217" s="52">
        <f>IF(A217&gt;Inputs!$C$62,"",C217*AE217)</f>
        <v/>
      </c>
      <c r="Z217" s="52">
        <f>IF(A217=1,Inputs!$C$72,AA216)</f>
        <v/>
      </c>
      <c r="AA217" s="52">
        <f>Z217 + M217 - N217 - P217 - X217 - Y217</f>
        <v/>
      </c>
      <c r="AB217" s="53">
        <f>IF(AA217&lt;0,1,0)</f>
        <v/>
      </c>
      <c r="AC217" s="54">
        <f>IF(AD217=0,0,R217/(AD217*Inputs!$C$16))</f>
        <v/>
      </c>
      <c r="AD217" s="53">
        <f>IF(A217&gt;Inputs!$C$62,"",B217+C217)</f>
        <v/>
      </c>
      <c r="AE217" s="56">
        <f>IF(A217&gt;Inputs!$C$62,"", Inputs!$C$65*(1+Inputs!$C$89*POWER(MIN(1,IF(Inputs!$C$88=0,0,B217/Inputs!$C$88)),Inputs!$C$90)))</f>
        <v/>
      </c>
      <c r="AF217" s="52">
        <f>IF(A217&gt;Inputs!$C$62,"",IF(A217=1,Inputs!$C$86,MIN(Inputs!$C$86,Inputs!$C$87*M216)))</f>
        <v/>
      </c>
      <c r="AG217" s="51">
        <f>IF(A217&gt;Inputs!$C$62,"",MIN(0.5,MAX(0, Inputs!$C$67*L217 + Inputs!$C$68*(1-K217) + Inputs!$C$69*Inputs!$C$10)))</f>
        <v/>
      </c>
      <c r="AH217" s="51">
        <f>IF(A217&gt;Inputs!$C$62,"",INDEX(CapacityPlan!$G$7:$G$266,A217))</f>
        <v/>
      </c>
      <c r="AI217" s="54">
        <f>IF(A217&gt;Inputs!$C$62,"",INDEX(CapacityPlan!$J$7:$J$266,A217))</f>
        <v/>
      </c>
      <c r="AJ217" s="51">
        <f>IF(A217&gt;Inputs!$C$62,"",IF(I217=0,"",G217/I217))</f>
        <v/>
      </c>
    </row>
    <row r="218" ht="16" customHeight="1">
      <c r="A218" s="15" t="n">
        <v>196</v>
      </c>
      <c r="B218" s="50">
        <f>IF(A218&gt;Inputs!$C$62,"",IF(Inputs!$C$80=1,INDEX(Cohorts!$B$67:$B$326,A218),IF(A218=1,Inputs!$C$63,F217)))</f>
        <v/>
      </c>
      <c r="C218" s="50">
        <f>IF(A218&gt;Inputs!$C$62,"",IF(Inputs!$C$85=0,Inputs!$C$64,MIN(Inputs!$C$91,IF(AE218=0,0,AF218/AE218))))</f>
        <v/>
      </c>
      <c r="D218" s="51">
        <f>IF(A218&gt;Inputs!$C$62,"",IF(Inputs!$C$80=1,INDEX(Cohorts!$G$67:$G$326,A218),MAX(0, Inputs!$C$66 + Inputs!$C$67*L218 + Inputs!$C$68*(1-K218) + Inputs!$C$69*Inputs!$C$10)))</f>
        <v/>
      </c>
      <c r="E218" s="50">
        <f>IF(A218&gt;Inputs!$C$62,"",IF(Inputs!$C$80=1,INDEX(Cohorts!$H$67:$H$326,A218),D218*AD218))</f>
        <v/>
      </c>
      <c r="F218" s="50">
        <f>IF(A218&gt;Inputs!$C$62,"",IF(Inputs!$C$80=1,INDEX(Cohorts!$I$67:$I$326,A218),AD218-E218))</f>
        <v/>
      </c>
      <c r="G218" s="50">
        <f>IF(A218&gt;Inputs!$C$62,"",AD218)</f>
        <v/>
      </c>
      <c r="H218" s="50">
        <f>IF(A218&gt;Inputs!$C$62,"",INDEX(CapacityPlan!$E$7:$E$266,A218))</f>
        <v/>
      </c>
      <c r="I218" s="50">
        <f>IF(A218&gt;Inputs!$C$62,"",INDEX(CapacityPlan!$I$7:$I$266,A218))</f>
        <v/>
      </c>
      <c r="J218" s="50">
        <f>IF(A218&gt;Inputs!$C$62,"",IF(G218&gt;I218,I218,G218))</f>
        <v/>
      </c>
      <c r="K218" s="51">
        <f>IF(A218&gt;Inputs!$C$62,"",IF(G218=0,1,J218/G218))</f>
        <v/>
      </c>
      <c r="L218" s="51">
        <f>IF((Inputs!$C$36 + UnitEconomics!$B$12*Inputs!$C$37 + Inputs!$C$10*Inputs!$C$38 + Inputs!$C$70*(1-K218))&gt;1,1,(Inputs!$C$36 + UnitEconomics!$B$12*Inputs!$C$37 + Inputs!$C$10*Inputs!$C$38 + Inputs!$C$70*(1-K218)))</f>
        <v/>
      </c>
      <c r="M218" s="52">
        <f>IF(A218&gt;Inputs!$C$62,"",J218*Inputs!$C$7*(1-Inputs!$C$8)*(1-L218))</f>
        <v/>
      </c>
      <c r="N218" s="52">
        <f>IF(A218&gt;Inputs!$C$62,"",J218*UnitEconomics!$B$32*AI218 + (G218-J218)*Inputs!$C$71)</f>
        <v/>
      </c>
      <c r="O218" s="52">
        <f>M218-N218</f>
        <v/>
      </c>
      <c r="P218" s="52">
        <f>IF(A218&gt;Inputs!$C$62,"",Inputs!$C$40 + H218*Inputs!$C$41)</f>
        <v/>
      </c>
      <c r="Q218" s="52">
        <f>O218-P218</f>
        <v/>
      </c>
      <c r="R218" s="50">
        <f>IF(A218&gt;Inputs!$C$62,"",AD218*Inputs!$C$16*(Inputs!$C$9 + Inputs!$C$10*Inputs!$C$11 + Inputs!$C$12)*(1 + VLOOKUP(Inputs!$C$15,Lookups!$A$2:$B$20,2,TRUE)*(Scale!$B$9/IF(Scale!$B$8=0,1,Scale!$B$8)) + Inputs!$C$52))</f>
        <v/>
      </c>
      <c r="S218" s="50">
        <f>IF(A218=1,Scale!$B$13, W217)</f>
        <v/>
      </c>
      <c r="T218" s="50">
        <f>J218*Inputs!$C$16*(Inputs!$C$19 + Inputs!$C$20*Inputs!$C$21 + 1/Inputs!$C$18)</f>
        <v/>
      </c>
      <c r="U218" s="50">
        <f>MAX(0, (R218*(1+Inputs!$C$74)) - (S218 - T218))</f>
        <v/>
      </c>
      <c r="V218" s="50">
        <f>IF(A218&lt;=Inputs!$C$73,0,INDEX(U:U,ROW()-Inputs!$C$73))</f>
        <v/>
      </c>
      <c r="W218" s="50">
        <f>S218 - T218 + V218</f>
        <v/>
      </c>
      <c r="X218" s="52">
        <f>V218*Inputs!$C$17</f>
        <v/>
      </c>
      <c r="Y218" s="52">
        <f>IF(A218&gt;Inputs!$C$62,"",C218*AE218)</f>
        <v/>
      </c>
      <c r="Z218" s="52">
        <f>IF(A218=1,Inputs!$C$72,AA217)</f>
        <v/>
      </c>
      <c r="AA218" s="52">
        <f>Z218 + M218 - N218 - P218 - X218 - Y218</f>
        <v/>
      </c>
      <c r="AB218" s="53">
        <f>IF(AA218&lt;0,1,0)</f>
        <v/>
      </c>
      <c r="AC218" s="54">
        <f>IF(AD218=0,0,R218/(AD218*Inputs!$C$16))</f>
        <v/>
      </c>
      <c r="AD218" s="53">
        <f>IF(A218&gt;Inputs!$C$62,"",B218+C218)</f>
        <v/>
      </c>
      <c r="AE218" s="56">
        <f>IF(A218&gt;Inputs!$C$62,"", Inputs!$C$65*(1+Inputs!$C$89*POWER(MIN(1,IF(Inputs!$C$88=0,0,B218/Inputs!$C$88)),Inputs!$C$90)))</f>
        <v/>
      </c>
      <c r="AF218" s="52">
        <f>IF(A218&gt;Inputs!$C$62,"",IF(A218=1,Inputs!$C$86,MIN(Inputs!$C$86,Inputs!$C$87*M217)))</f>
        <v/>
      </c>
      <c r="AG218" s="51">
        <f>IF(A218&gt;Inputs!$C$62,"",MIN(0.5,MAX(0, Inputs!$C$67*L218 + Inputs!$C$68*(1-K218) + Inputs!$C$69*Inputs!$C$10)))</f>
        <v/>
      </c>
      <c r="AH218" s="51">
        <f>IF(A218&gt;Inputs!$C$62,"",INDEX(CapacityPlan!$G$7:$G$266,A218))</f>
        <v/>
      </c>
      <c r="AI218" s="54">
        <f>IF(A218&gt;Inputs!$C$62,"",INDEX(CapacityPlan!$J$7:$J$266,A218))</f>
        <v/>
      </c>
      <c r="AJ218" s="51">
        <f>IF(A218&gt;Inputs!$C$62,"",IF(I218=0,"",G218/I218))</f>
        <v/>
      </c>
    </row>
    <row r="219" ht="16" customHeight="1">
      <c r="A219" s="15" t="n">
        <v>197</v>
      </c>
      <c r="B219" s="50">
        <f>IF(A219&gt;Inputs!$C$62,"",IF(Inputs!$C$80=1,INDEX(Cohorts!$B$67:$B$326,A219),IF(A219=1,Inputs!$C$63,F218)))</f>
        <v/>
      </c>
      <c r="C219" s="50">
        <f>IF(A219&gt;Inputs!$C$62,"",IF(Inputs!$C$85=0,Inputs!$C$64,MIN(Inputs!$C$91,IF(AE219=0,0,AF219/AE219))))</f>
        <v/>
      </c>
      <c r="D219" s="51">
        <f>IF(A219&gt;Inputs!$C$62,"",IF(Inputs!$C$80=1,INDEX(Cohorts!$G$67:$G$326,A219),MAX(0, Inputs!$C$66 + Inputs!$C$67*L219 + Inputs!$C$68*(1-K219) + Inputs!$C$69*Inputs!$C$10)))</f>
        <v/>
      </c>
      <c r="E219" s="50">
        <f>IF(A219&gt;Inputs!$C$62,"",IF(Inputs!$C$80=1,INDEX(Cohorts!$H$67:$H$326,A219),D219*AD219))</f>
        <v/>
      </c>
      <c r="F219" s="50">
        <f>IF(A219&gt;Inputs!$C$62,"",IF(Inputs!$C$80=1,INDEX(Cohorts!$I$67:$I$326,A219),AD219-E219))</f>
        <v/>
      </c>
      <c r="G219" s="50">
        <f>IF(A219&gt;Inputs!$C$62,"",AD219)</f>
        <v/>
      </c>
      <c r="H219" s="50">
        <f>IF(A219&gt;Inputs!$C$62,"",INDEX(CapacityPlan!$E$7:$E$266,A219))</f>
        <v/>
      </c>
      <c r="I219" s="50">
        <f>IF(A219&gt;Inputs!$C$62,"",INDEX(CapacityPlan!$I$7:$I$266,A219))</f>
        <v/>
      </c>
      <c r="J219" s="50">
        <f>IF(A219&gt;Inputs!$C$62,"",IF(G219&gt;I219,I219,G219))</f>
        <v/>
      </c>
      <c r="K219" s="51">
        <f>IF(A219&gt;Inputs!$C$62,"",IF(G219=0,1,J219/G219))</f>
        <v/>
      </c>
      <c r="L219" s="51">
        <f>IF((Inputs!$C$36 + UnitEconomics!$B$12*Inputs!$C$37 + Inputs!$C$10*Inputs!$C$38 + Inputs!$C$70*(1-K219))&gt;1,1,(Inputs!$C$36 + UnitEconomics!$B$12*Inputs!$C$37 + Inputs!$C$10*Inputs!$C$38 + Inputs!$C$70*(1-K219)))</f>
        <v/>
      </c>
      <c r="M219" s="52">
        <f>IF(A219&gt;Inputs!$C$62,"",J219*Inputs!$C$7*(1-Inputs!$C$8)*(1-L219))</f>
        <v/>
      </c>
      <c r="N219" s="52">
        <f>IF(A219&gt;Inputs!$C$62,"",J219*UnitEconomics!$B$32*AI219 + (G219-J219)*Inputs!$C$71)</f>
        <v/>
      </c>
      <c r="O219" s="52">
        <f>M219-N219</f>
        <v/>
      </c>
      <c r="P219" s="52">
        <f>IF(A219&gt;Inputs!$C$62,"",Inputs!$C$40 + H219*Inputs!$C$41)</f>
        <v/>
      </c>
      <c r="Q219" s="52">
        <f>O219-P219</f>
        <v/>
      </c>
      <c r="R219" s="50">
        <f>IF(A219&gt;Inputs!$C$62,"",AD219*Inputs!$C$16*(Inputs!$C$9 + Inputs!$C$10*Inputs!$C$11 + Inputs!$C$12)*(1 + VLOOKUP(Inputs!$C$15,Lookups!$A$2:$B$20,2,TRUE)*(Scale!$B$9/IF(Scale!$B$8=0,1,Scale!$B$8)) + Inputs!$C$52))</f>
        <v/>
      </c>
      <c r="S219" s="50">
        <f>IF(A219=1,Scale!$B$13, W218)</f>
        <v/>
      </c>
      <c r="T219" s="50">
        <f>J219*Inputs!$C$16*(Inputs!$C$19 + Inputs!$C$20*Inputs!$C$21 + 1/Inputs!$C$18)</f>
        <v/>
      </c>
      <c r="U219" s="50">
        <f>MAX(0, (R219*(1+Inputs!$C$74)) - (S219 - T219))</f>
        <v/>
      </c>
      <c r="V219" s="50">
        <f>IF(A219&lt;=Inputs!$C$73,0,INDEX(U:U,ROW()-Inputs!$C$73))</f>
        <v/>
      </c>
      <c r="W219" s="50">
        <f>S219 - T219 + V219</f>
        <v/>
      </c>
      <c r="X219" s="52">
        <f>V219*Inputs!$C$17</f>
        <v/>
      </c>
      <c r="Y219" s="52">
        <f>IF(A219&gt;Inputs!$C$62,"",C219*AE219)</f>
        <v/>
      </c>
      <c r="Z219" s="52">
        <f>IF(A219=1,Inputs!$C$72,AA218)</f>
        <v/>
      </c>
      <c r="AA219" s="52">
        <f>Z219 + M219 - N219 - P219 - X219 - Y219</f>
        <v/>
      </c>
      <c r="AB219" s="53">
        <f>IF(AA219&lt;0,1,0)</f>
        <v/>
      </c>
      <c r="AC219" s="54">
        <f>IF(AD219=0,0,R219/(AD219*Inputs!$C$16))</f>
        <v/>
      </c>
      <c r="AD219" s="53">
        <f>IF(A219&gt;Inputs!$C$62,"",B219+C219)</f>
        <v/>
      </c>
      <c r="AE219" s="56">
        <f>IF(A219&gt;Inputs!$C$62,"", Inputs!$C$65*(1+Inputs!$C$89*POWER(MIN(1,IF(Inputs!$C$88=0,0,B219/Inputs!$C$88)),Inputs!$C$90)))</f>
        <v/>
      </c>
      <c r="AF219" s="52">
        <f>IF(A219&gt;Inputs!$C$62,"",IF(A219=1,Inputs!$C$86,MIN(Inputs!$C$86,Inputs!$C$87*M218)))</f>
        <v/>
      </c>
      <c r="AG219" s="51">
        <f>IF(A219&gt;Inputs!$C$62,"",MIN(0.5,MAX(0, Inputs!$C$67*L219 + Inputs!$C$68*(1-K219) + Inputs!$C$69*Inputs!$C$10)))</f>
        <v/>
      </c>
      <c r="AH219" s="51">
        <f>IF(A219&gt;Inputs!$C$62,"",INDEX(CapacityPlan!$G$7:$G$266,A219))</f>
        <v/>
      </c>
      <c r="AI219" s="54">
        <f>IF(A219&gt;Inputs!$C$62,"",INDEX(CapacityPlan!$J$7:$J$266,A219))</f>
        <v/>
      </c>
      <c r="AJ219" s="51">
        <f>IF(A219&gt;Inputs!$C$62,"",IF(I219=0,"",G219/I219))</f>
        <v/>
      </c>
    </row>
    <row r="220" ht="16" customHeight="1">
      <c r="A220" s="15" t="n">
        <v>198</v>
      </c>
      <c r="B220" s="50">
        <f>IF(A220&gt;Inputs!$C$62,"",IF(Inputs!$C$80=1,INDEX(Cohorts!$B$67:$B$326,A220),IF(A220=1,Inputs!$C$63,F219)))</f>
        <v/>
      </c>
      <c r="C220" s="50">
        <f>IF(A220&gt;Inputs!$C$62,"",IF(Inputs!$C$85=0,Inputs!$C$64,MIN(Inputs!$C$91,IF(AE220=0,0,AF220/AE220))))</f>
        <v/>
      </c>
      <c r="D220" s="51">
        <f>IF(A220&gt;Inputs!$C$62,"",IF(Inputs!$C$80=1,INDEX(Cohorts!$G$67:$G$326,A220),MAX(0, Inputs!$C$66 + Inputs!$C$67*L220 + Inputs!$C$68*(1-K220) + Inputs!$C$69*Inputs!$C$10)))</f>
        <v/>
      </c>
      <c r="E220" s="50">
        <f>IF(A220&gt;Inputs!$C$62,"",IF(Inputs!$C$80=1,INDEX(Cohorts!$H$67:$H$326,A220),D220*AD220))</f>
        <v/>
      </c>
      <c r="F220" s="50">
        <f>IF(A220&gt;Inputs!$C$62,"",IF(Inputs!$C$80=1,INDEX(Cohorts!$I$67:$I$326,A220),AD220-E220))</f>
        <v/>
      </c>
      <c r="G220" s="50">
        <f>IF(A220&gt;Inputs!$C$62,"",AD220)</f>
        <v/>
      </c>
      <c r="H220" s="50">
        <f>IF(A220&gt;Inputs!$C$62,"",INDEX(CapacityPlan!$E$7:$E$266,A220))</f>
        <v/>
      </c>
      <c r="I220" s="50">
        <f>IF(A220&gt;Inputs!$C$62,"",INDEX(CapacityPlan!$I$7:$I$266,A220))</f>
        <v/>
      </c>
      <c r="J220" s="50">
        <f>IF(A220&gt;Inputs!$C$62,"",IF(G220&gt;I220,I220,G220))</f>
        <v/>
      </c>
      <c r="K220" s="51">
        <f>IF(A220&gt;Inputs!$C$62,"",IF(G220=0,1,J220/G220))</f>
        <v/>
      </c>
      <c r="L220" s="51">
        <f>IF((Inputs!$C$36 + UnitEconomics!$B$12*Inputs!$C$37 + Inputs!$C$10*Inputs!$C$38 + Inputs!$C$70*(1-K220))&gt;1,1,(Inputs!$C$36 + UnitEconomics!$B$12*Inputs!$C$37 + Inputs!$C$10*Inputs!$C$38 + Inputs!$C$70*(1-K220)))</f>
        <v/>
      </c>
      <c r="M220" s="52">
        <f>IF(A220&gt;Inputs!$C$62,"",J220*Inputs!$C$7*(1-Inputs!$C$8)*(1-L220))</f>
        <v/>
      </c>
      <c r="N220" s="52">
        <f>IF(A220&gt;Inputs!$C$62,"",J220*UnitEconomics!$B$32*AI220 + (G220-J220)*Inputs!$C$71)</f>
        <v/>
      </c>
      <c r="O220" s="52">
        <f>M220-N220</f>
        <v/>
      </c>
      <c r="P220" s="52">
        <f>IF(A220&gt;Inputs!$C$62,"",Inputs!$C$40 + H220*Inputs!$C$41)</f>
        <v/>
      </c>
      <c r="Q220" s="52">
        <f>O220-P220</f>
        <v/>
      </c>
      <c r="R220" s="50">
        <f>IF(A220&gt;Inputs!$C$62,"",AD220*Inputs!$C$16*(Inputs!$C$9 + Inputs!$C$10*Inputs!$C$11 + Inputs!$C$12)*(1 + VLOOKUP(Inputs!$C$15,Lookups!$A$2:$B$20,2,TRUE)*(Scale!$B$9/IF(Scale!$B$8=0,1,Scale!$B$8)) + Inputs!$C$52))</f>
        <v/>
      </c>
      <c r="S220" s="50">
        <f>IF(A220=1,Scale!$B$13, W219)</f>
        <v/>
      </c>
      <c r="T220" s="50">
        <f>J220*Inputs!$C$16*(Inputs!$C$19 + Inputs!$C$20*Inputs!$C$21 + 1/Inputs!$C$18)</f>
        <v/>
      </c>
      <c r="U220" s="50">
        <f>MAX(0, (R220*(1+Inputs!$C$74)) - (S220 - T220))</f>
        <v/>
      </c>
      <c r="V220" s="50">
        <f>IF(A220&lt;=Inputs!$C$73,0,INDEX(U:U,ROW()-Inputs!$C$73))</f>
        <v/>
      </c>
      <c r="W220" s="50">
        <f>S220 - T220 + V220</f>
        <v/>
      </c>
      <c r="X220" s="52">
        <f>V220*Inputs!$C$17</f>
        <v/>
      </c>
      <c r="Y220" s="52">
        <f>IF(A220&gt;Inputs!$C$62,"",C220*AE220)</f>
        <v/>
      </c>
      <c r="Z220" s="52">
        <f>IF(A220=1,Inputs!$C$72,AA219)</f>
        <v/>
      </c>
      <c r="AA220" s="52">
        <f>Z220 + M220 - N220 - P220 - X220 - Y220</f>
        <v/>
      </c>
      <c r="AB220" s="53">
        <f>IF(AA220&lt;0,1,0)</f>
        <v/>
      </c>
      <c r="AC220" s="54">
        <f>IF(AD220=0,0,R220/(AD220*Inputs!$C$16))</f>
        <v/>
      </c>
      <c r="AD220" s="53">
        <f>IF(A220&gt;Inputs!$C$62,"",B220+C220)</f>
        <v/>
      </c>
      <c r="AE220" s="56">
        <f>IF(A220&gt;Inputs!$C$62,"", Inputs!$C$65*(1+Inputs!$C$89*POWER(MIN(1,IF(Inputs!$C$88=0,0,B220/Inputs!$C$88)),Inputs!$C$90)))</f>
        <v/>
      </c>
      <c r="AF220" s="52">
        <f>IF(A220&gt;Inputs!$C$62,"",IF(A220=1,Inputs!$C$86,MIN(Inputs!$C$86,Inputs!$C$87*M219)))</f>
        <v/>
      </c>
      <c r="AG220" s="51">
        <f>IF(A220&gt;Inputs!$C$62,"",MIN(0.5,MAX(0, Inputs!$C$67*L220 + Inputs!$C$68*(1-K220) + Inputs!$C$69*Inputs!$C$10)))</f>
        <v/>
      </c>
      <c r="AH220" s="51">
        <f>IF(A220&gt;Inputs!$C$62,"",INDEX(CapacityPlan!$G$7:$G$266,A220))</f>
        <v/>
      </c>
      <c r="AI220" s="54">
        <f>IF(A220&gt;Inputs!$C$62,"",INDEX(CapacityPlan!$J$7:$J$266,A220))</f>
        <v/>
      </c>
      <c r="AJ220" s="51">
        <f>IF(A220&gt;Inputs!$C$62,"",IF(I220=0,"",G220/I220))</f>
        <v/>
      </c>
    </row>
    <row r="221" ht="16" customHeight="1">
      <c r="A221" s="15" t="n">
        <v>199</v>
      </c>
      <c r="B221" s="50">
        <f>IF(A221&gt;Inputs!$C$62,"",IF(Inputs!$C$80=1,INDEX(Cohorts!$B$67:$B$326,A221),IF(A221=1,Inputs!$C$63,F220)))</f>
        <v/>
      </c>
      <c r="C221" s="50">
        <f>IF(A221&gt;Inputs!$C$62,"",IF(Inputs!$C$85=0,Inputs!$C$64,MIN(Inputs!$C$91,IF(AE221=0,0,AF221/AE221))))</f>
        <v/>
      </c>
      <c r="D221" s="51">
        <f>IF(A221&gt;Inputs!$C$62,"",IF(Inputs!$C$80=1,INDEX(Cohorts!$G$67:$G$326,A221),MAX(0, Inputs!$C$66 + Inputs!$C$67*L221 + Inputs!$C$68*(1-K221) + Inputs!$C$69*Inputs!$C$10)))</f>
        <v/>
      </c>
      <c r="E221" s="50">
        <f>IF(A221&gt;Inputs!$C$62,"",IF(Inputs!$C$80=1,INDEX(Cohorts!$H$67:$H$326,A221),D221*AD221))</f>
        <v/>
      </c>
      <c r="F221" s="50">
        <f>IF(A221&gt;Inputs!$C$62,"",IF(Inputs!$C$80=1,INDEX(Cohorts!$I$67:$I$326,A221),AD221-E221))</f>
        <v/>
      </c>
      <c r="G221" s="50">
        <f>IF(A221&gt;Inputs!$C$62,"",AD221)</f>
        <v/>
      </c>
      <c r="H221" s="50">
        <f>IF(A221&gt;Inputs!$C$62,"",INDEX(CapacityPlan!$E$7:$E$266,A221))</f>
        <v/>
      </c>
      <c r="I221" s="50">
        <f>IF(A221&gt;Inputs!$C$62,"",INDEX(CapacityPlan!$I$7:$I$266,A221))</f>
        <v/>
      </c>
      <c r="J221" s="50">
        <f>IF(A221&gt;Inputs!$C$62,"",IF(G221&gt;I221,I221,G221))</f>
        <v/>
      </c>
      <c r="K221" s="51">
        <f>IF(A221&gt;Inputs!$C$62,"",IF(G221=0,1,J221/G221))</f>
        <v/>
      </c>
      <c r="L221" s="51">
        <f>IF((Inputs!$C$36 + UnitEconomics!$B$12*Inputs!$C$37 + Inputs!$C$10*Inputs!$C$38 + Inputs!$C$70*(1-K221))&gt;1,1,(Inputs!$C$36 + UnitEconomics!$B$12*Inputs!$C$37 + Inputs!$C$10*Inputs!$C$38 + Inputs!$C$70*(1-K221)))</f>
        <v/>
      </c>
      <c r="M221" s="52">
        <f>IF(A221&gt;Inputs!$C$62,"",J221*Inputs!$C$7*(1-Inputs!$C$8)*(1-L221))</f>
        <v/>
      </c>
      <c r="N221" s="52">
        <f>IF(A221&gt;Inputs!$C$62,"",J221*UnitEconomics!$B$32*AI221 + (G221-J221)*Inputs!$C$71)</f>
        <v/>
      </c>
      <c r="O221" s="52">
        <f>M221-N221</f>
        <v/>
      </c>
      <c r="P221" s="52">
        <f>IF(A221&gt;Inputs!$C$62,"",Inputs!$C$40 + H221*Inputs!$C$41)</f>
        <v/>
      </c>
      <c r="Q221" s="52">
        <f>O221-P221</f>
        <v/>
      </c>
      <c r="R221" s="50">
        <f>IF(A221&gt;Inputs!$C$62,"",AD221*Inputs!$C$16*(Inputs!$C$9 + Inputs!$C$10*Inputs!$C$11 + Inputs!$C$12)*(1 + VLOOKUP(Inputs!$C$15,Lookups!$A$2:$B$20,2,TRUE)*(Scale!$B$9/IF(Scale!$B$8=0,1,Scale!$B$8)) + Inputs!$C$52))</f>
        <v/>
      </c>
      <c r="S221" s="50">
        <f>IF(A221=1,Scale!$B$13, W220)</f>
        <v/>
      </c>
      <c r="T221" s="50">
        <f>J221*Inputs!$C$16*(Inputs!$C$19 + Inputs!$C$20*Inputs!$C$21 + 1/Inputs!$C$18)</f>
        <v/>
      </c>
      <c r="U221" s="50">
        <f>MAX(0, (R221*(1+Inputs!$C$74)) - (S221 - T221))</f>
        <v/>
      </c>
      <c r="V221" s="50">
        <f>IF(A221&lt;=Inputs!$C$73,0,INDEX(U:U,ROW()-Inputs!$C$73))</f>
        <v/>
      </c>
      <c r="W221" s="50">
        <f>S221 - T221 + V221</f>
        <v/>
      </c>
      <c r="X221" s="52">
        <f>V221*Inputs!$C$17</f>
        <v/>
      </c>
      <c r="Y221" s="52">
        <f>IF(A221&gt;Inputs!$C$62,"",C221*AE221)</f>
        <v/>
      </c>
      <c r="Z221" s="52">
        <f>IF(A221=1,Inputs!$C$72,AA220)</f>
        <v/>
      </c>
      <c r="AA221" s="52">
        <f>Z221 + M221 - N221 - P221 - X221 - Y221</f>
        <v/>
      </c>
      <c r="AB221" s="53">
        <f>IF(AA221&lt;0,1,0)</f>
        <v/>
      </c>
      <c r="AC221" s="54">
        <f>IF(AD221=0,0,R221/(AD221*Inputs!$C$16))</f>
        <v/>
      </c>
      <c r="AD221" s="53">
        <f>IF(A221&gt;Inputs!$C$62,"",B221+C221)</f>
        <v/>
      </c>
      <c r="AE221" s="56">
        <f>IF(A221&gt;Inputs!$C$62,"", Inputs!$C$65*(1+Inputs!$C$89*POWER(MIN(1,IF(Inputs!$C$88=0,0,B221/Inputs!$C$88)),Inputs!$C$90)))</f>
        <v/>
      </c>
      <c r="AF221" s="52">
        <f>IF(A221&gt;Inputs!$C$62,"",IF(A221=1,Inputs!$C$86,MIN(Inputs!$C$86,Inputs!$C$87*M220)))</f>
        <v/>
      </c>
      <c r="AG221" s="51">
        <f>IF(A221&gt;Inputs!$C$62,"",MIN(0.5,MAX(0, Inputs!$C$67*L221 + Inputs!$C$68*(1-K221) + Inputs!$C$69*Inputs!$C$10)))</f>
        <v/>
      </c>
      <c r="AH221" s="51">
        <f>IF(A221&gt;Inputs!$C$62,"",INDEX(CapacityPlan!$G$7:$G$266,A221))</f>
        <v/>
      </c>
      <c r="AI221" s="54">
        <f>IF(A221&gt;Inputs!$C$62,"",INDEX(CapacityPlan!$J$7:$J$266,A221))</f>
        <v/>
      </c>
      <c r="AJ221" s="51">
        <f>IF(A221&gt;Inputs!$C$62,"",IF(I221=0,"",G221/I221))</f>
        <v/>
      </c>
    </row>
    <row r="222" ht="16" customHeight="1">
      <c r="A222" s="15" t="n">
        <v>200</v>
      </c>
      <c r="B222" s="50">
        <f>IF(A222&gt;Inputs!$C$62,"",IF(Inputs!$C$80=1,INDEX(Cohorts!$B$67:$B$326,A222),IF(A222=1,Inputs!$C$63,F221)))</f>
        <v/>
      </c>
      <c r="C222" s="50">
        <f>IF(A222&gt;Inputs!$C$62,"",IF(Inputs!$C$85=0,Inputs!$C$64,MIN(Inputs!$C$91,IF(AE222=0,0,AF222/AE222))))</f>
        <v/>
      </c>
      <c r="D222" s="51">
        <f>IF(A222&gt;Inputs!$C$62,"",IF(Inputs!$C$80=1,INDEX(Cohorts!$G$67:$G$326,A222),MAX(0, Inputs!$C$66 + Inputs!$C$67*L222 + Inputs!$C$68*(1-K222) + Inputs!$C$69*Inputs!$C$10)))</f>
        <v/>
      </c>
      <c r="E222" s="50">
        <f>IF(A222&gt;Inputs!$C$62,"",IF(Inputs!$C$80=1,INDEX(Cohorts!$H$67:$H$326,A222),D222*AD222))</f>
        <v/>
      </c>
      <c r="F222" s="50">
        <f>IF(A222&gt;Inputs!$C$62,"",IF(Inputs!$C$80=1,INDEX(Cohorts!$I$67:$I$326,A222),AD222-E222))</f>
        <v/>
      </c>
      <c r="G222" s="50">
        <f>IF(A222&gt;Inputs!$C$62,"",AD222)</f>
        <v/>
      </c>
      <c r="H222" s="50">
        <f>IF(A222&gt;Inputs!$C$62,"",INDEX(CapacityPlan!$E$7:$E$266,A222))</f>
        <v/>
      </c>
      <c r="I222" s="50">
        <f>IF(A222&gt;Inputs!$C$62,"",INDEX(CapacityPlan!$I$7:$I$266,A222))</f>
        <v/>
      </c>
      <c r="J222" s="50">
        <f>IF(A222&gt;Inputs!$C$62,"",IF(G222&gt;I222,I222,G222))</f>
        <v/>
      </c>
      <c r="K222" s="51">
        <f>IF(A222&gt;Inputs!$C$62,"",IF(G222=0,1,J222/G222))</f>
        <v/>
      </c>
      <c r="L222" s="51">
        <f>IF((Inputs!$C$36 + UnitEconomics!$B$12*Inputs!$C$37 + Inputs!$C$10*Inputs!$C$38 + Inputs!$C$70*(1-K222))&gt;1,1,(Inputs!$C$36 + UnitEconomics!$B$12*Inputs!$C$37 + Inputs!$C$10*Inputs!$C$38 + Inputs!$C$70*(1-K222)))</f>
        <v/>
      </c>
      <c r="M222" s="52">
        <f>IF(A222&gt;Inputs!$C$62,"",J222*Inputs!$C$7*(1-Inputs!$C$8)*(1-L222))</f>
        <v/>
      </c>
      <c r="N222" s="52">
        <f>IF(A222&gt;Inputs!$C$62,"",J222*UnitEconomics!$B$32*AI222 + (G222-J222)*Inputs!$C$71)</f>
        <v/>
      </c>
      <c r="O222" s="52">
        <f>M222-N222</f>
        <v/>
      </c>
      <c r="P222" s="52">
        <f>IF(A222&gt;Inputs!$C$62,"",Inputs!$C$40 + H222*Inputs!$C$41)</f>
        <v/>
      </c>
      <c r="Q222" s="52">
        <f>O222-P222</f>
        <v/>
      </c>
      <c r="R222" s="50">
        <f>IF(A222&gt;Inputs!$C$62,"",AD222*Inputs!$C$16*(Inputs!$C$9 + Inputs!$C$10*Inputs!$C$11 + Inputs!$C$12)*(1 + VLOOKUP(Inputs!$C$15,Lookups!$A$2:$B$20,2,TRUE)*(Scale!$B$9/IF(Scale!$B$8=0,1,Scale!$B$8)) + Inputs!$C$52))</f>
        <v/>
      </c>
      <c r="S222" s="50">
        <f>IF(A222=1,Scale!$B$13, W221)</f>
        <v/>
      </c>
      <c r="T222" s="50">
        <f>J222*Inputs!$C$16*(Inputs!$C$19 + Inputs!$C$20*Inputs!$C$21 + 1/Inputs!$C$18)</f>
        <v/>
      </c>
      <c r="U222" s="50">
        <f>MAX(0, (R222*(1+Inputs!$C$74)) - (S222 - T222))</f>
        <v/>
      </c>
      <c r="V222" s="50">
        <f>IF(A222&lt;=Inputs!$C$73,0,INDEX(U:U,ROW()-Inputs!$C$73))</f>
        <v/>
      </c>
      <c r="W222" s="50">
        <f>S222 - T222 + V222</f>
        <v/>
      </c>
      <c r="X222" s="52">
        <f>V222*Inputs!$C$17</f>
        <v/>
      </c>
      <c r="Y222" s="52">
        <f>IF(A222&gt;Inputs!$C$62,"",C222*AE222)</f>
        <v/>
      </c>
      <c r="Z222" s="52">
        <f>IF(A222=1,Inputs!$C$72,AA221)</f>
        <v/>
      </c>
      <c r="AA222" s="52">
        <f>Z222 + M222 - N222 - P222 - X222 - Y222</f>
        <v/>
      </c>
      <c r="AB222" s="53">
        <f>IF(AA222&lt;0,1,0)</f>
        <v/>
      </c>
      <c r="AC222" s="54">
        <f>IF(AD222=0,0,R222/(AD222*Inputs!$C$16))</f>
        <v/>
      </c>
      <c r="AD222" s="53">
        <f>IF(A222&gt;Inputs!$C$62,"",B222+C222)</f>
        <v/>
      </c>
      <c r="AE222" s="56">
        <f>IF(A222&gt;Inputs!$C$62,"", Inputs!$C$65*(1+Inputs!$C$89*POWER(MIN(1,IF(Inputs!$C$88=0,0,B222/Inputs!$C$88)),Inputs!$C$90)))</f>
        <v/>
      </c>
      <c r="AF222" s="52">
        <f>IF(A222&gt;Inputs!$C$62,"",IF(A222=1,Inputs!$C$86,MIN(Inputs!$C$86,Inputs!$C$87*M221)))</f>
        <v/>
      </c>
      <c r="AG222" s="51">
        <f>IF(A222&gt;Inputs!$C$62,"",MIN(0.5,MAX(0, Inputs!$C$67*L222 + Inputs!$C$68*(1-K222) + Inputs!$C$69*Inputs!$C$10)))</f>
        <v/>
      </c>
      <c r="AH222" s="51">
        <f>IF(A222&gt;Inputs!$C$62,"",INDEX(CapacityPlan!$G$7:$G$266,A222))</f>
        <v/>
      </c>
      <c r="AI222" s="54">
        <f>IF(A222&gt;Inputs!$C$62,"",INDEX(CapacityPlan!$J$7:$J$266,A222))</f>
        <v/>
      </c>
      <c r="AJ222" s="51">
        <f>IF(A222&gt;Inputs!$C$62,"",IF(I222=0,"",G222/I222))</f>
        <v/>
      </c>
    </row>
    <row r="223">
      <c r="A223" s="15" t="n">
        <v>201</v>
      </c>
      <c r="B223">
        <f>IF(A223&gt;Inputs!$C$62,"",IF(Inputs!$C$80=1,INDEX(Cohorts!$B$67:$B$326,A223),IF(A223=1,Inputs!$C$63,F222)))</f>
        <v/>
      </c>
      <c r="C223">
        <f>IF(A223&gt;Inputs!$C$62,"",IF(Inputs!$C$85=0,Inputs!$C$64,MIN(Inputs!$C$91,IF(AE223=0,0,AF223/AE223))))</f>
        <v/>
      </c>
      <c r="D223">
        <f>IF(A223&gt;Inputs!$C$62,"",IF(Inputs!$C$80=1,INDEX(Cohorts!$G$67:$G$326,A223),MAX(0, Inputs!$C$66 + Inputs!$C$67*L223 + Inputs!$C$68*(1-K223) + Inputs!$C$69*Inputs!$C$10)))</f>
        <v/>
      </c>
      <c r="E223">
        <f>IF(A223&gt;Inputs!$C$62,"",IF(Inputs!$C$80=1,INDEX(Cohorts!$H$67:$H$326,A223),D223*AD223))</f>
        <v/>
      </c>
      <c r="F223">
        <f>IF(A223&gt;Inputs!$C$62,"",IF(Inputs!$C$80=1,INDEX(Cohorts!$I$67:$I$326,A223),AD223-E223))</f>
        <v/>
      </c>
      <c r="G223">
        <f>IF(A223&gt;Inputs!$C$62,"",AD223)</f>
        <v/>
      </c>
      <c r="H223">
        <f>IF(A223&gt;Inputs!$C$62,"",INDEX(CapacityPlan!$E$7:$E$266,A223))</f>
        <v/>
      </c>
      <c r="I223">
        <f>IF(A223&gt;Inputs!$C$62,"",INDEX(CapacityPlan!$I$7:$I$266,A223))</f>
        <v/>
      </c>
      <c r="J223">
        <f>IF(A223&gt;Inputs!$C$62,"",IF(G223&gt;I223,I223,G223))</f>
        <v/>
      </c>
      <c r="K223">
        <f>IF(A223&gt;Inputs!$C$62,"",IF(G223=0,1,J223/G223))</f>
        <v/>
      </c>
      <c r="M223">
        <f>IF(A223&gt;Inputs!$C$62,"",J223*Inputs!$C$7*(1-Inputs!$C$8)*(1-L223))</f>
        <v/>
      </c>
      <c r="N223">
        <f>IF(A223&gt;Inputs!$C$62,"",J223*UnitEconomics!$B$32*AI223 + (G223-J223)*Inputs!$C$71)</f>
        <v/>
      </c>
      <c r="P223">
        <f>IF(A223&gt;Inputs!$C$62,"",Inputs!$C$40 + H223*Inputs!$C$41)</f>
        <v/>
      </c>
      <c r="R223">
        <f>IF(A223&gt;Inputs!$C$62,"",AD223*Inputs!$C$16*(Inputs!$C$9 + Inputs!$C$10*Inputs!$C$11 + Inputs!$C$12)*(1 + VLOOKUP(Inputs!$C$15,Lookups!$A$2:$B$20,2,TRUE)*(Scale!$B$9/IF(Scale!$B$8=0,1,Scale!$B$8)) + Inputs!$C$52))</f>
        <v/>
      </c>
      <c r="Y223">
        <f>IF(A223&gt;Inputs!$C$62,"",C223*AE223)</f>
        <v/>
      </c>
      <c r="AC223">
        <f>IF(AD223=0,0,R223/(AD223*Inputs!$C$16))</f>
        <v/>
      </c>
      <c r="AD223" s="53">
        <f>IF(A223&gt;Inputs!$C$62,"",B223+C223)</f>
        <v/>
      </c>
      <c r="AE223" s="56">
        <f>IF(A223&gt;Inputs!$C$62,"", Inputs!$C$65*(1+Inputs!$C$89*POWER(MIN(1,IF(Inputs!$C$88=0,0,B223/Inputs!$C$88)),Inputs!$C$90)))</f>
        <v/>
      </c>
      <c r="AF223" s="52">
        <f>IF(A223&gt;Inputs!$C$62,"",IF(A223=1,Inputs!$C$86,MIN(Inputs!$C$86,Inputs!$C$87*M222)))</f>
        <v/>
      </c>
      <c r="AG223" s="51">
        <f>IF(A223&gt;Inputs!$C$62,"",MIN(0.5,MAX(0, Inputs!$C$67*L223 + Inputs!$C$68*(1-K223) + Inputs!$C$69*Inputs!$C$10)))</f>
        <v/>
      </c>
      <c r="AH223" s="51">
        <f>IF(A223&gt;Inputs!$C$62,"",INDEX(CapacityPlan!$G$7:$G$266,A223))</f>
        <v/>
      </c>
      <c r="AI223" s="54">
        <f>IF(A223&gt;Inputs!$C$62,"",INDEX(CapacityPlan!$J$7:$J$266,A223))</f>
        <v/>
      </c>
      <c r="AJ223" s="51">
        <f>IF(A223&gt;Inputs!$C$62,"",IF(I223=0,"",G223/I223))</f>
        <v/>
      </c>
    </row>
    <row r="224">
      <c r="A224" s="15" t="n">
        <v>202</v>
      </c>
      <c r="B224">
        <f>IF(A224&gt;Inputs!$C$62,"",IF(Inputs!$C$80=1,INDEX(Cohorts!$B$67:$B$326,A224),IF(A224=1,Inputs!$C$63,F223)))</f>
        <v/>
      </c>
      <c r="C224">
        <f>IF(A224&gt;Inputs!$C$62,"",IF(Inputs!$C$85=0,Inputs!$C$64,MIN(Inputs!$C$91,IF(AE224=0,0,AF224/AE224))))</f>
        <v/>
      </c>
      <c r="D224">
        <f>IF(A224&gt;Inputs!$C$62,"",IF(Inputs!$C$80=1,INDEX(Cohorts!$G$67:$G$326,A224),MAX(0, Inputs!$C$66 + Inputs!$C$67*L224 + Inputs!$C$68*(1-K224) + Inputs!$C$69*Inputs!$C$10)))</f>
        <v/>
      </c>
      <c r="E224">
        <f>IF(A224&gt;Inputs!$C$62,"",IF(Inputs!$C$80=1,INDEX(Cohorts!$H$67:$H$326,A224),D224*AD224))</f>
        <v/>
      </c>
      <c r="F224">
        <f>IF(A224&gt;Inputs!$C$62,"",IF(Inputs!$C$80=1,INDEX(Cohorts!$I$67:$I$326,A224),AD224-E224))</f>
        <v/>
      </c>
      <c r="G224">
        <f>IF(A224&gt;Inputs!$C$62,"",AD224)</f>
        <v/>
      </c>
      <c r="H224">
        <f>IF(A224&gt;Inputs!$C$62,"",INDEX(CapacityPlan!$E$7:$E$266,A224))</f>
        <v/>
      </c>
      <c r="I224">
        <f>IF(A224&gt;Inputs!$C$62,"",INDEX(CapacityPlan!$I$7:$I$266,A224))</f>
        <v/>
      </c>
      <c r="J224">
        <f>IF(A224&gt;Inputs!$C$62,"",IF(G224&gt;I224,I224,G224))</f>
        <v/>
      </c>
      <c r="K224">
        <f>IF(A224&gt;Inputs!$C$62,"",IF(G224=0,1,J224/G224))</f>
        <v/>
      </c>
      <c r="M224">
        <f>IF(A224&gt;Inputs!$C$62,"",J224*Inputs!$C$7*(1-Inputs!$C$8)*(1-L224))</f>
        <v/>
      </c>
      <c r="N224">
        <f>IF(A224&gt;Inputs!$C$62,"",J224*UnitEconomics!$B$32*AI224 + (G224-J224)*Inputs!$C$71)</f>
        <v/>
      </c>
      <c r="P224">
        <f>IF(A224&gt;Inputs!$C$62,"",Inputs!$C$40 + H224*Inputs!$C$41)</f>
        <v/>
      </c>
      <c r="R224">
        <f>IF(A224&gt;Inputs!$C$62,"",AD224*Inputs!$C$16*(Inputs!$C$9 + Inputs!$C$10*Inputs!$C$11 + Inputs!$C$12)*(1 + VLOOKUP(Inputs!$C$15,Lookups!$A$2:$B$20,2,TRUE)*(Scale!$B$9/IF(Scale!$B$8=0,1,Scale!$B$8)) + Inputs!$C$52))</f>
        <v/>
      </c>
      <c r="Y224">
        <f>IF(A224&gt;Inputs!$C$62,"",C224*AE224)</f>
        <v/>
      </c>
      <c r="AC224">
        <f>IF(AD224=0,0,R224/(AD224*Inputs!$C$16))</f>
        <v/>
      </c>
      <c r="AD224" s="53">
        <f>IF(A224&gt;Inputs!$C$62,"",B224+C224)</f>
        <v/>
      </c>
      <c r="AE224" s="56">
        <f>IF(A224&gt;Inputs!$C$62,"", Inputs!$C$65*(1+Inputs!$C$89*POWER(MIN(1,IF(Inputs!$C$88=0,0,B224/Inputs!$C$88)),Inputs!$C$90)))</f>
        <v/>
      </c>
      <c r="AF224" s="52">
        <f>IF(A224&gt;Inputs!$C$62,"",IF(A224=1,Inputs!$C$86,MIN(Inputs!$C$86,Inputs!$C$87*M223)))</f>
        <v/>
      </c>
      <c r="AG224" s="51">
        <f>IF(A224&gt;Inputs!$C$62,"",MIN(0.5,MAX(0, Inputs!$C$67*L224 + Inputs!$C$68*(1-K224) + Inputs!$C$69*Inputs!$C$10)))</f>
        <v/>
      </c>
      <c r="AH224" s="51">
        <f>IF(A224&gt;Inputs!$C$62,"",INDEX(CapacityPlan!$G$7:$G$266,A224))</f>
        <v/>
      </c>
      <c r="AI224" s="54">
        <f>IF(A224&gt;Inputs!$C$62,"",INDEX(CapacityPlan!$J$7:$J$266,A224))</f>
        <v/>
      </c>
      <c r="AJ224" s="51">
        <f>IF(A224&gt;Inputs!$C$62,"",IF(I224=0,"",G224/I224))</f>
        <v/>
      </c>
    </row>
    <row r="225">
      <c r="A225" s="15" t="n">
        <v>203</v>
      </c>
      <c r="B225">
        <f>IF(A225&gt;Inputs!$C$62,"",IF(Inputs!$C$80=1,INDEX(Cohorts!$B$67:$B$326,A225),IF(A225=1,Inputs!$C$63,F224)))</f>
        <v/>
      </c>
      <c r="C225">
        <f>IF(A225&gt;Inputs!$C$62,"",IF(Inputs!$C$85=0,Inputs!$C$64,MIN(Inputs!$C$91,IF(AE225=0,0,AF225/AE225))))</f>
        <v/>
      </c>
      <c r="D225">
        <f>IF(A225&gt;Inputs!$C$62,"",IF(Inputs!$C$80=1,INDEX(Cohorts!$G$67:$G$326,A225),MAX(0, Inputs!$C$66 + Inputs!$C$67*L225 + Inputs!$C$68*(1-K225) + Inputs!$C$69*Inputs!$C$10)))</f>
        <v/>
      </c>
      <c r="E225">
        <f>IF(A225&gt;Inputs!$C$62,"",IF(Inputs!$C$80=1,INDEX(Cohorts!$H$67:$H$326,A225),D225*AD225))</f>
        <v/>
      </c>
      <c r="F225">
        <f>IF(A225&gt;Inputs!$C$62,"",IF(Inputs!$C$80=1,INDEX(Cohorts!$I$67:$I$326,A225),AD225-E225))</f>
        <v/>
      </c>
      <c r="G225">
        <f>IF(A225&gt;Inputs!$C$62,"",AD225)</f>
        <v/>
      </c>
      <c r="H225">
        <f>IF(A225&gt;Inputs!$C$62,"",INDEX(CapacityPlan!$E$7:$E$266,A225))</f>
        <v/>
      </c>
      <c r="I225">
        <f>IF(A225&gt;Inputs!$C$62,"",INDEX(CapacityPlan!$I$7:$I$266,A225))</f>
        <v/>
      </c>
      <c r="J225">
        <f>IF(A225&gt;Inputs!$C$62,"",IF(G225&gt;I225,I225,G225))</f>
        <v/>
      </c>
      <c r="K225">
        <f>IF(A225&gt;Inputs!$C$62,"",IF(G225=0,1,J225/G225))</f>
        <v/>
      </c>
      <c r="M225">
        <f>IF(A225&gt;Inputs!$C$62,"",J225*Inputs!$C$7*(1-Inputs!$C$8)*(1-L225))</f>
        <v/>
      </c>
      <c r="N225">
        <f>IF(A225&gt;Inputs!$C$62,"",J225*UnitEconomics!$B$32*AI225 + (G225-J225)*Inputs!$C$71)</f>
        <v/>
      </c>
      <c r="P225">
        <f>IF(A225&gt;Inputs!$C$62,"",Inputs!$C$40 + H225*Inputs!$C$41)</f>
        <v/>
      </c>
      <c r="R225">
        <f>IF(A225&gt;Inputs!$C$62,"",AD225*Inputs!$C$16*(Inputs!$C$9 + Inputs!$C$10*Inputs!$C$11 + Inputs!$C$12)*(1 + VLOOKUP(Inputs!$C$15,Lookups!$A$2:$B$20,2,TRUE)*(Scale!$B$9/IF(Scale!$B$8=0,1,Scale!$B$8)) + Inputs!$C$52))</f>
        <v/>
      </c>
      <c r="Y225">
        <f>IF(A225&gt;Inputs!$C$62,"",C225*AE225)</f>
        <v/>
      </c>
      <c r="AC225">
        <f>IF(AD225=0,0,R225/(AD225*Inputs!$C$16))</f>
        <v/>
      </c>
      <c r="AD225" s="53">
        <f>IF(A225&gt;Inputs!$C$62,"",B225+C225)</f>
        <v/>
      </c>
      <c r="AE225" s="56">
        <f>IF(A225&gt;Inputs!$C$62,"", Inputs!$C$65*(1+Inputs!$C$89*POWER(MIN(1,IF(Inputs!$C$88=0,0,B225/Inputs!$C$88)),Inputs!$C$90)))</f>
        <v/>
      </c>
      <c r="AF225" s="52">
        <f>IF(A225&gt;Inputs!$C$62,"",IF(A225=1,Inputs!$C$86,MIN(Inputs!$C$86,Inputs!$C$87*M224)))</f>
        <v/>
      </c>
      <c r="AG225" s="51">
        <f>IF(A225&gt;Inputs!$C$62,"",MIN(0.5,MAX(0, Inputs!$C$67*L225 + Inputs!$C$68*(1-K225) + Inputs!$C$69*Inputs!$C$10)))</f>
        <v/>
      </c>
      <c r="AH225" s="51">
        <f>IF(A225&gt;Inputs!$C$62,"",INDEX(CapacityPlan!$G$7:$G$266,A225))</f>
        <v/>
      </c>
      <c r="AI225" s="54">
        <f>IF(A225&gt;Inputs!$C$62,"",INDEX(CapacityPlan!$J$7:$J$266,A225))</f>
        <v/>
      </c>
      <c r="AJ225" s="51">
        <f>IF(A225&gt;Inputs!$C$62,"",IF(I225=0,"",G225/I225))</f>
        <v/>
      </c>
    </row>
    <row r="226">
      <c r="A226" s="15" t="n">
        <v>204</v>
      </c>
      <c r="B226">
        <f>IF(A226&gt;Inputs!$C$62,"",IF(Inputs!$C$80=1,INDEX(Cohorts!$B$67:$B$326,A226),IF(A226=1,Inputs!$C$63,F225)))</f>
        <v/>
      </c>
      <c r="C226">
        <f>IF(A226&gt;Inputs!$C$62,"",IF(Inputs!$C$85=0,Inputs!$C$64,MIN(Inputs!$C$91,IF(AE226=0,0,AF226/AE226))))</f>
        <v/>
      </c>
      <c r="D226">
        <f>IF(A226&gt;Inputs!$C$62,"",IF(Inputs!$C$80=1,INDEX(Cohorts!$G$67:$G$326,A226),MAX(0, Inputs!$C$66 + Inputs!$C$67*L226 + Inputs!$C$68*(1-K226) + Inputs!$C$69*Inputs!$C$10)))</f>
        <v/>
      </c>
      <c r="E226">
        <f>IF(A226&gt;Inputs!$C$62,"",IF(Inputs!$C$80=1,INDEX(Cohorts!$H$67:$H$326,A226),D226*AD226))</f>
        <v/>
      </c>
      <c r="F226">
        <f>IF(A226&gt;Inputs!$C$62,"",IF(Inputs!$C$80=1,INDEX(Cohorts!$I$67:$I$326,A226),AD226-E226))</f>
        <v/>
      </c>
      <c r="G226">
        <f>IF(A226&gt;Inputs!$C$62,"",AD226)</f>
        <v/>
      </c>
      <c r="H226">
        <f>IF(A226&gt;Inputs!$C$62,"",INDEX(CapacityPlan!$E$7:$E$266,A226))</f>
        <v/>
      </c>
      <c r="I226">
        <f>IF(A226&gt;Inputs!$C$62,"",INDEX(CapacityPlan!$I$7:$I$266,A226))</f>
        <v/>
      </c>
      <c r="J226">
        <f>IF(A226&gt;Inputs!$C$62,"",IF(G226&gt;I226,I226,G226))</f>
        <v/>
      </c>
      <c r="K226">
        <f>IF(A226&gt;Inputs!$C$62,"",IF(G226=0,1,J226/G226))</f>
        <v/>
      </c>
      <c r="M226">
        <f>IF(A226&gt;Inputs!$C$62,"",J226*Inputs!$C$7*(1-Inputs!$C$8)*(1-L226))</f>
        <v/>
      </c>
      <c r="N226">
        <f>IF(A226&gt;Inputs!$C$62,"",J226*UnitEconomics!$B$32*AI226 + (G226-J226)*Inputs!$C$71)</f>
        <v/>
      </c>
      <c r="P226">
        <f>IF(A226&gt;Inputs!$C$62,"",Inputs!$C$40 + H226*Inputs!$C$41)</f>
        <v/>
      </c>
      <c r="R226">
        <f>IF(A226&gt;Inputs!$C$62,"",AD226*Inputs!$C$16*(Inputs!$C$9 + Inputs!$C$10*Inputs!$C$11 + Inputs!$C$12)*(1 + VLOOKUP(Inputs!$C$15,Lookups!$A$2:$B$20,2,TRUE)*(Scale!$B$9/IF(Scale!$B$8=0,1,Scale!$B$8)) + Inputs!$C$52))</f>
        <v/>
      </c>
      <c r="Y226">
        <f>IF(A226&gt;Inputs!$C$62,"",C226*AE226)</f>
        <v/>
      </c>
      <c r="AC226">
        <f>IF(AD226=0,0,R226/(AD226*Inputs!$C$16))</f>
        <v/>
      </c>
      <c r="AD226" s="53">
        <f>IF(A226&gt;Inputs!$C$62,"",B226+C226)</f>
        <v/>
      </c>
      <c r="AE226" s="56">
        <f>IF(A226&gt;Inputs!$C$62,"", Inputs!$C$65*(1+Inputs!$C$89*POWER(MIN(1,IF(Inputs!$C$88=0,0,B226/Inputs!$C$88)),Inputs!$C$90)))</f>
        <v/>
      </c>
      <c r="AF226" s="52">
        <f>IF(A226&gt;Inputs!$C$62,"",IF(A226=1,Inputs!$C$86,MIN(Inputs!$C$86,Inputs!$C$87*M225)))</f>
        <v/>
      </c>
      <c r="AG226" s="51">
        <f>IF(A226&gt;Inputs!$C$62,"",MIN(0.5,MAX(0, Inputs!$C$67*L226 + Inputs!$C$68*(1-K226) + Inputs!$C$69*Inputs!$C$10)))</f>
        <v/>
      </c>
      <c r="AH226" s="51">
        <f>IF(A226&gt;Inputs!$C$62,"",INDEX(CapacityPlan!$G$7:$G$266,A226))</f>
        <v/>
      </c>
      <c r="AI226" s="54">
        <f>IF(A226&gt;Inputs!$C$62,"",INDEX(CapacityPlan!$J$7:$J$266,A226))</f>
        <v/>
      </c>
      <c r="AJ226" s="51">
        <f>IF(A226&gt;Inputs!$C$62,"",IF(I226=0,"",G226/I226))</f>
        <v/>
      </c>
    </row>
    <row r="227">
      <c r="A227" s="15" t="n">
        <v>205</v>
      </c>
      <c r="B227">
        <f>IF(A227&gt;Inputs!$C$62,"",IF(Inputs!$C$80=1,INDEX(Cohorts!$B$67:$B$326,A227),IF(A227=1,Inputs!$C$63,F226)))</f>
        <v/>
      </c>
      <c r="C227">
        <f>IF(A227&gt;Inputs!$C$62,"",IF(Inputs!$C$85=0,Inputs!$C$64,MIN(Inputs!$C$91,IF(AE227=0,0,AF227/AE227))))</f>
        <v/>
      </c>
      <c r="D227">
        <f>IF(A227&gt;Inputs!$C$62,"",IF(Inputs!$C$80=1,INDEX(Cohorts!$G$67:$G$326,A227),MAX(0, Inputs!$C$66 + Inputs!$C$67*L227 + Inputs!$C$68*(1-K227) + Inputs!$C$69*Inputs!$C$10)))</f>
        <v/>
      </c>
      <c r="E227">
        <f>IF(A227&gt;Inputs!$C$62,"",IF(Inputs!$C$80=1,INDEX(Cohorts!$H$67:$H$326,A227),D227*AD227))</f>
        <v/>
      </c>
      <c r="F227">
        <f>IF(A227&gt;Inputs!$C$62,"",IF(Inputs!$C$80=1,INDEX(Cohorts!$I$67:$I$326,A227),AD227-E227))</f>
        <v/>
      </c>
      <c r="G227">
        <f>IF(A227&gt;Inputs!$C$62,"",AD227)</f>
        <v/>
      </c>
      <c r="H227">
        <f>IF(A227&gt;Inputs!$C$62,"",INDEX(CapacityPlan!$E$7:$E$266,A227))</f>
        <v/>
      </c>
      <c r="I227">
        <f>IF(A227&gt;Inputs!$C$62,"",INDEX(CapacityPlan!$I$7:$I$266,A227))</f>
        <v/>
      </c>
      <c r="J227">
        <f>IF(A227&gt;Inputs!$C$62,"",IF(G227&gt;I227,I227,G227))</f>
        <v/>
      </c>
      <c r="K227">
        <f>IF(A227&gt;Inputs!$C$62,"",IF(G227=0,1,J227/G227))</f>
        <v/>
      </c>
      <c r="M227">
        <f>IF(A227&gt;Inputs!$C$62,"",J227*Inputs!$C$7*(1-Inputs!$C$8)*(1-L227))</f>
        <v/>
      </c>
      <c r="N227">
        <f>IF(A227&gt;Inputs!$C$62,"",J227*UnitEconomics!$B$32*AI227 + (G227-J227)*Inputs!$C$71)</f>
        <v/>
      </c>
      <c r="P227">
        <f>IF(A227&gt;Inputs!$C$62,"",Inputs!$C$40 + H227*Inputs!$C$41)</f>
        <v/>
      </c>
      <c r="R227">
        <f>IF(A227&gt;Inputs!$C$62,"",AD227*Inputs!$C$16*(Inputs!$C$9 + Inputs!$C$10*Inputs!$C$11 + Inputs!$C$12)*(1 + VLOOKUP(Inputs!$C$15,Lookups!$A$2:$B$20,2,TRUE)*(Scale!$B$9/IF(Scale!$B$8=0,1,Scale!$B$8)) + Inputs!$C$52))</f>
        <v/>
      </c>
      <c r="Y227">
        <f>IF(A227&gt;Inputs!$C$62,"",C227*AE227)</f>
        <v/>
      </c>
      <c r="AC227">
        <f>IF(AD227=0,0,R227/(AD227*Inputs!$C$16))</f>
        <v/>
      </c>
      <c r="AD227" s="53">
        <f>IF(A227&gt;Inputs!$C$62,"",B227+C227)</f>
        <v/>
      </c>
      <c r="AE227" s="56">
        <f>IF(A227&gt;Inputs!$C$62,"", Inputs!$C$65*(1+Inputs!$C$89*POWER(MIN(1,IF(Inputs!$C$88=0,0,B227/Inputs!$C$88)),Inputs!$C$90)))</f>
        <v/>
      </c>
      <c r="AF227" s="52">
        <f>IF(A227&gt;Inputs!$C$62,"",IF(A227=1,Inputs!$C$86,MIN(Inputs!$C$86,Inputs!$C$87*M226)))</f>
        <v/>
      </c>
      <c r="AG227" s="51">
        <f>IF(A227&gt;Inputs!$C$62,"",MIN(0.5,MAX(0, Inputs!$C$67*L227 + Inputs!$C$68*(1-K227) + Inputs!$C$69*Inputs!$C$10)))</f>
        <v/>
      </c>
      <c r="AH227" s="51">
        <f>IF(A227&gt;Inputs!$C$62,"",INDEX(CapacityPlan!$G$7:$G$266,A227))</f>
        <v/>
      </c>
      <c r="AI227" s="54">
        <f>IF(A227&gt;Inputs!$C$62,"",INDEX(CapacityPlan!$J$7:$J$266,A227))</f>
        <v/>
      </c>
      <c r="AJ227" s="51">
        <f>IF(A227&gt;Inputs!$C$62,"",IF(I227=0,"",G227/I227))</f>
        <v/>
      </c>
    </row>
    <row r="228">
      <c r="A228" s="15" t="n">
        <v>206</v>
      </c>
      <c r="B228">
        <f>IF(A228&gt;Inputs!$C$62,"",IF(Inputs!$C$80=1,INDEX(Cohorts!$B$67:$B$326,A228),IF(A228=1,Inputs!$C$63,F227)))</f>
        <v/>
      </c>
      <c r="C228">
        <f>IF(A228&gt;Inputs!$C$62,"",IF(Inputs!$C$85=0,Inputs!$C$64,MIN(Inputs!$C$91,IF(AE228=0,0,AF228/AE228))))</f>
        <v/>
      </c>
      <c r="D228">
        <f>IF(A228&gt;Inputs!$C$62,"",IF(Inputs!$C$80=1,INDEX(Cohorts!$G$67:$G$326,A228),MAX(0, Inputs!$C$66 + Inputs!$C$67*L228 + Inputs!$C$68*(1-K228) + Inputs!$C$69*Inputs!$C$10)))</f>
        <v/>
      </c>
      <c r="E228">
        <f>IF(A228&gt;Inputs!$C$62,"",IF(Inputs!$C$80=1,INDEX(Cohorts!$H$67:$H$326,A228),D228*AD228))</f>
        <v/>
      </c>
      <c r="F228">
        <f>IF(A228&gt;Inputs!$C$62,"",IF(Inputs!$C$80=1,INDEX(Cohorts!$I$67:$I$326,A228),AD228-E228))</f>
        <v/>
      </c>
      <c r="G228">
        <f>IF(A228&gt;Inputs!$C$62,"",AD228)</f>
        <v/>
      </c>
      <c r="H228">
        <f>IF(A228&gt;Inputs!$C$62,"",INDEX(CapacityPlan!$E$7:$E$266,A228))</f>
        <v/>
      </c>
      <c r="I228">
        <f>IF(A228&gt;Inputs!$C$62,"",INDEX(CapacityPlan!$I$7:$I$266,A228))</f>
        <v/>
      </c>
      <c r="J228">
        <f>IF(A228&gt;Inputs!$C$62,"",IF(G228&gt;I228,I228,G228))</f>
        <v/>
      </c>
      <c r="K228">
        <f>IF(A228&gt;Inputs!$C$62,"",IF(G228=0,1,J228/G228))</f>
        <v/>
      </c>
      <c r="M228">
        <f>IF(A228&gt;Inputs!$C$62,"",J228*Inputs!$C$7*(1-Inputs!$C$8)*(1-L228))</f>
        <v/>
      </c>
      <c r="N228">
        <f>IF(A228&gt;Inputs!$C$62,"",J228*UnitEconomics!$B$32*AI228 + (G228-J228)*Inputs!$C$71)</f>
        <v/>
      </c>
      <c r="P228">
        <f>IF(A228&gt;Inputs!$C$62,"",Inputs!$C$40 + H228*Inputs!$C$41)</f>
        <v/>
      </c>
      <c r="R228">
        <f>IF(A228&gt;Inputs!$C$62,"",AD228*Inputs!$C$16*(Inputs!$C$9 + Inputs!$C$10*Inputs!$C$11 + Inputs!$C$12)*(1 + VLOOKUP(Inputs!$C$15,Lookups!$A$2:$B$20,2,TRUE)*(Scale!$B$9/IF(Scale!$B$8=0,1,Scale!$B$8)) + Inputs!$C$52))</f>
        <v/>
      </c>
      <c r="Y228">
        <f>IF(A228&gt;Inputs!$C$62,"",C228*AE228)</f>
        <v/>
      </c>
      <c r="AC228">
        <f>IF(AD228=0,0,R228/(AD228*Inputs!$C$16))</f>
        <v/>
      </c>
      <c r="AD228" s="53">
        <f>IF(A228&gt;Inputs!$C$62,"",B228+C228)</f>
        <v/>
      </c>
      <c r="AE228" s="56">
        <f>IF(A228&gt;Inputs!$C$62,"", Inputs!$C$65*(1+Inputs!$C$89*POWER(MIN(1,IF(Inputs!$C$88=0,0,B228/Inputs!$C$88)),Inputs!$C$90)))</f>
        <v/>
      </c>
      <c r="AF228" s="52">
        <f>IF(A228&gt;Inputs!$C$62,"",IF(A228=1,Inputs!$C$86,MIN(Inputs!$C$86,Inputs!$C$87*M227)))</f>
        <v/>
      </c>
      <c r="AG228" s="51">
        <f>IF(A228&gt;Inputs!$C$62,"",MIN(0.5,MAX(0, Inputs!$C$67*L228 + Inputs!$C$68*(1-K228) + Inputs!$C$69*Inputs!$C$10)))</f>
        <v/>
      </c>
      <c r="AH228" s="51">
        <f>IF(A228&gt;Inputs!$C$62,"",INDEX(CapacityPlan!$G$7:$G$266,A228))</f>
        <v/>
      </c>
      <c r="AI228" s="54">
        <f>IF(A228&gt;Inputs!$C$62,"",INDEX(CapacityPlan!$J$7:$J$266,A228))</f>
        <v/>
      </c>
      <c r="AJ228" s="51">
        <f>IF(A228&gt;Inputs!$C$62,"",IF(I228=0,"",G228/I228))</f>
        <v/>
      </c>
    </row>
    <row r="229">
      <c r="A229" s="15" t="n">
        <v>207</v>
      </c>
      <c r="B229">
        <f>IF(A229&gt;Inputs!$C$62,"",IF(Inputs!$C$80=1,INDEX(Cohorts!$B$67:$B$326,A229),IF(A229=1,Inputs!$C$63,F228)))</f>
        <v/>
      </c>
      <c r="C229">
        <f>IF(A229&gt;Inputs!$C$62,"",IF(Inputs!$C$85=0,Inputs!$C$64,MIN(Inputs!$C$91,IF(AE229=0,0,AF229/AE229))))</f>
        <v/>
      </c>
      <c r="D229">
        <f>IF(A229&gt;Inputs!$C$62,"",IF(Inputs!$C$80=1,INDEX(Cohorts!$G$67:$G$326,A229),MAX(0, Inputs!$C$66 + Inputs!$C$67*L229 + Inputs!$C$68*(1-K229) + Inputs!$C$69*Inputs!$C$10)))</f>
        <v/>
      </c>
      <c r="E229">
        <f>IF(A229&gt;Inputs!$C$62,"",IF(Inputs!$C$80=1,INDEX(Cohorts!$H$67:$H$326,A229),D229*AD229))</f>
        <v/>
      </c>
      <c r="F229">
        <f>IF(A229&gt;Inputs!$C$62,"",IF(Inputs!$C$80=1,INDEX(Cohorts!$I$67:$I$326,A229),AD229-E229))</f>
        <v/>
      </c>
      <c r="G229">
        <f>IF(A229&gt;Inputs!$C$62,"",AD229)</f>
        <v/>
      </c>
      <c r="H229">
        <f>IF(A229&gt;Inputs!$C$62,"",INDEX(CapacityPlan!$E$7:$E$266,A229))</f>
        <v/>
      </c>
      <c r="I229">
        <f>IF(A229&gt;Inputs!$C$62,"",INDEX(CapacityPlan!$I$7:$I$266,A229))</f>
        <v/>
      </c>
      <c r="J229">
        <f>IF(A229&gt;Inputs!$C$62,"",IF(G229&gt;I229,I229,G229))</f>
        <v/>
      </c>
      <c r="K229">
        <f>IF(A229&gt;Inputs!$C$62,"",IF(G229=0,1,J229/G229))</f>
        <v/>
      </c>
      <c r="M229">
        <f>IF(A229&gt;Inputs!$C$62,"",J229*Inputs!$C$7*(1-Inputs!$C$8)*(1-L229))</f>
        <v/>
      </c>
      <c r="N229">
        <f>IF(A229&gt;Inputs!$C$62,"",J229*UnitEconomics!$B$32*AI229 + (G229-J229)*Inputs!$C$71)</f>
        <v/>
      </c>
      <c r="P229">
        <f>IF(A229&gt;Inputs!$C$62,"",Inputs!$C$40 + H229*Inputs!$C$41)</f>
        <v/>
      </c>
      <c r="R229">
        <f>IF(A229&gt;Inputs!$C$62,"",AD229*Inputs!$C$16*(Inputs!$C$9 + Inputs!$C$10*Inputs!$C$11 + Inputs!$C$12)*(1 + VLOOKUP(Inputs!$C$15,Lookups!$A$2:$B$20,2,TRUE)*(Scale!$B$9/IF(Scale!$B$8=0,1,Scale!$B$8)) + Inputs!$C$52))</f>
        <v/>
      </c>
      <c r="Y229">
        <f>IF(A229&gt;Inputs!$C$62,"",C229*AE229)</f>
        <v/>
      </c>
      <c r="AC229">
        <f>IF(AD229=0,0,R229/(AD229*Inputs!$C$16))</f>
        <v/>
      </c>
      <c r="AD229" s="53">
        <f>IF(A229&gt;Inputs!$C$62,"",B229+C229)</f>
        <v/>
      </c>
      <c r="AE229" s="56">
        <f>IF(A229&gt;Inputs!$C$62,"", Inputs!$C$65*(1+Inputs!$C$89*POWER(MIN(1,IF(Inputs!$C$88=0,0,B229/Inputs!$C$88)),Inputs!$C$90)))</f>
        <v/>
      </c>
      <c r="AF229" s="52">
        <f>IF(A229&gt;Inputs!$C$62,"",IF(A229=1,Inputs!$C$86,MIN(Inputs!$C$86,Inputs!$C$87*M228)))</f>
        <v/>
      </c>
      <c r="AG229" s="51">
        <f>IF(A229&gt;Inputs!$C$62,"",MIN(0.5,MAX(0, Inputs!$C$67*L229 + Inputs!$C$68*(1-K229) + Inputs!$C$69*Inputs!$C$10)))</f>
        <v/>
      </c>
      <c r="AH229" s="51">
        <f>IF(A229&gt;Inputs!$C$62,"",INDEX(CapacityPlan!$G$7:$G$266,A229))</f>
        <v/>
      </c>
      <c r="AI229" s="54">
        <f>IF(A229&gt;Inputs!$C$62,"",INDEX(CapacityPlan!$J$7:$J$266,A229))</f>
        <v/>
      </c>
      <c r="AJ229" s="51">
        <f>IF(A229&gt;Inputs!$C$62,"",IF(I229=0,"",G229/I229))</f>
        <v/>
      </c>
    </row>
    <row r="230">
      <c r="A230" s="15" t="n">
        <v>208</v>
      </c>
      <c r="B230">
        <f>IF(A230&gt;Inputs!$C$62,"",IF(Inputs!$C$80=1,INDEX(Cohorts!$B$67:$B$326,A230),IF(A230=1,Inputs!$C$63,F229)))</f>
        <v/>
      </c>
      <c r="C230">
        <f>IF(A230&gt;Inputs!$C$62,"",IF(Inputs!$C$85=0,Inputs!$C$64,MIN(Inputs!$C$91,IF(AE230=0,0,AF230/AE230))))</f>
        <v/>
      </c>
      <c r="D230">
        <f>IF(A230&gt;Inputs!$C$62,"",IF(Inputs!$C$80=1,INDEX(Cohorts!$G$67:$G$326,A230),MAX(0, Inputs!$C$66 + Inputs!$C$67*L230 + Inputs!$C$68*(1-K230) + Inputs!$C$69*Inputs!$C$10)))</f>
        <v/>
      </c>
      <c r="E230">
        <f>IF(A230&gt;Inputs!$C$62,"",IF(Inputs!$C$80=1,INDEX(Cohorts!$H$67:$H$326,A230),D230*AD230))</f>
        <v/>
      </c>
      <c r="F230">
        <f>IF(A230&gt;Inputs!$C$62,"",IF(Inputs!$C$80=1,INDEX(Cohorts!$I$67:$I$326,A230),AD230-E230))</f>
        <v/>
      </c>
      <c r="G230">
        <f>IF(A230&gt;Inputs!$C$62,"",AD230)</f>
        <v/>
      </c>
      <c r="H230">
        <f>IF(A230&gt;Inputs!$C$62,"",INDEX(CapacityPlan!$E$7:$E$266,A230))</f>
        <v/>
      </c>
      <c r="I230">
        <f>IF(A230&gt;Inputs!$C$62,"",INDEX(CapacityPlan!$I$7:$I$266,A230))</f>
        <v/>
      </c>
      <c r="J230">
        <f>IF(A230&gt;Inputs!$C$62,"",IF(G230&gt;I230,I230,G230))</f>
        <v/>
      </c>
      <c r="K230">
        <f>IF(A230&gt;Inputs!$C$62,"",IF(G230=0,1,J230/G230))</f>
        <v/>
      </c>
      <c r="M230">
        <f>IF(A230&gt;Inputs!$C$62,"",J230*Inputs!$C$7*(1-Inputs!$C$8)*(1-L230))</f>
        <v/>
      </c>
      <c r="N230">
        <f>IF(A230&gt;Inputs!$C$62,"",J230*UnitEconomics!$B$32*AI230 + (G230-J230)*Inputs!$C$71)</f>
        <v/>
      </c>
      <c r="P230">
        <f>IF(A230&gt;Inputs!$C$62,"",Inputs!$C$40 + H230*Inputs!$C$41)</f>
        <v/>
      </c>
      <c r="R230">
        <f>IF(A230&gt;Inputs!$C$62,"",AD230*Inputs!$C$16*(Inputs!$C$9 + Inputs!$C$10*Inputs!$C$11 + Inputs!$C$12)*(1 + VLOOKUP(Inputs!$C$15,Lookups!$A$2:$B$20,2,TRUE)*(Scale!$B$9/IF(Scale!$B$8=0,1,Scale!$B$8)) + Inputs!$C$52))</f>
        <v/>
      </c>
      <c r="Y230">
        <f>IF(A230&gt;Inputs!$C$62,"",C230*AE230)</f>
        <v/>
      </c>
      <c r="AC230">
        <f>IF(AD230=0,0,R230/(AD230*Inputs!$C$16))</f>
        <v/>
      </c>
      <c r="AD230" s="53">
        <f>IF(A230&gt;Inputs!$C$62,"",B230+C230)</f>
        <v/>
      </c>
      <c r="AE230" s="56">
        <f>IF(A230&gt;Inputs!$C$62,"", Inputs!$C$65*(1+Inputs!$C$89*POWER(MIN(1,IF(Inputs!$C$88=0,0,B230/Inputs!$C$88)),Inputs!$C$90)))</f>
        <v/>
      </c>
      <c r="AF230" s="52">
        <f>IF(A230&gt;Inputs!$C$62,"",IF(A230=1,Inputs!$C$86,MIN(Inputs!$C$86,Inputs!$C$87*M229)))</f>
        <v/>
      </c>
      <c r="AG230" s="51">
        <f>IF(A230&gt;Inputs!$C$62,"",MIN(0.5,MAX(0, Inputs!$C$67*L230 + Inputs!$C$68*(1-K230) + Inputs!$C$69*Inputs!$C$10)))</f>
        <v/>
      </c>
      <c r="AH230" s="51">
        <f>IF(A230&gt;Inputs!$C$62,"",INDEX(CapacityPlan!$G$7:$G$266,A230))</f>
        <v/>
      </c>
      <c r="AI230" s="54">
        <f>IF(A230&gt;Inputs!$C$62,"",INDEX(CapacityPlan!$J$7:$J$266,A230))</f>
        <v/>
      </c>
      <c r="AJ230" s="51">
        <f>IF(A230&gt;Inputs!$C$62,"",IF(I230=0,"",G230/I230))</f>
        <v/>
      </c>
    </row>
    <row r="231">
      <c r="A231" s="15" t="n">
        <v>209</v>
      </c>
      <c r="B231">
        <f>IF(A231&gt;Inputs!$C$62,"",IF(Inputs!$C$80=1,INDEX(Cohorts!$B$67:$B$326,A231),IF(A231=1,Inputs!$C$63,F230)))</f>
        <v/>
      </c>
      <c r="C231">
        <f>IF(A231&gt;Inputs!$C$62,"",IF(Inputs!$C$85=0,Inputs!$C$64,MIN(Inputs!$C$91,IF(AE231=0,0,AF231/AE231))))</f>
        <v/>
      </c>
      <c r="D231">
        <f>IF(A231&gt;Inputs!$C$62,"",IF(Inputs!$C$80=1,INDEX(Cohorts!$G$67:$G$326,A231),MAX(0, Inputs!$C$66 + Inputs!$C$67*L231 + Inputs!$C$68*(1-K231) + Inputs!$C$69*Inputs!$C$10)))</f>
        <v/>
      </c>
      <c r="E231">
        <f>IF(A231&gt;Inputs!$C$62,"",IF(Inputs!$C$80=1,INDEX(Cohorts!$H$67:$H$326,A231),D231*AD231))</f>
        <v/>
      </c>
      <c r="F231">
        <f>IF(A231&gt;Inputs!$C$62,"",IF(Inputs!$C$80=1,INDEX(Cohorts!$I$67:$I$326,A231),AD231-E231))</f>
        <v/>
      </c>
      <c r="G231">
        <f>IF(A231&gt;Inputs!$C$62,"",AD231)</f>
        <v/>
      </c>
      <c r="H231">
        <f>IF(A231&gt;Inputs!$C$62,"",INDEX(CapacityPlan!$E$7:$E$266,A231))</f>
        <v/>
      </c>
      <c r="I231">
        <f>IF(A231&gt;Inputs!$C$62,"",INDEX(CapacityPlan!$I$7:$I$266,A231))</f>
        <v/>
      </c>
      <c r="J231">
        <f>IF(A231&gt;Inputs!$C$62,"",IF(G231&gt;I231,I231,G231))</f>
        <v/>
      </c>
      <c r="K231">
        <f>IF(A231&gt;Inputs!$C$62,"",IF(G231=0,1,J231/G231))</f>
        <v/>
      </c>
      <c r="M231">
        <f>IF(A231&gt;Inputs!$C$62,"",J231*Inputs!$C$7*(1-Inputs!$C$8)*(1-L231))</f>
        <v/>
      </c>
      <c r="N231">
        <f>IF(A231&gt;Inputs!$C$62,"",J231*UnitEconomics!$B$32*AI231 + (G231-J231)*Inputs!$C$71)</f>
        <v/>
      </c>
      <c r="P231">
        <f>IF(A231&gt;Inputs!$C$62,"",Inputs!$C$40 + H231*Inputs!$C$41)</f>
        <v/>
      </c>
      <c r="R231">
        <f>IF(A231&gt;Inputs!$C$62,"",AD231*Inputs!$C$16*(Inputs!$C$9 + Inputs!$C$10*Inputs!$C$11 + Inputs!$C$12)*(1 + VLOOKUP(Inputs!$C$15,Lookups!$A$2:$B$20,2,TRUE)*(Scale!$B$9/IF(Scale!$B$8=0,1,Scale!$B$8)) + Inputs!$C$52))</f>
        <v/>
      </c>
      <c r="Y231">
        <f>IF(A231&gt;Inputs!$C$62,"",C231*AE231)</f>
        <v/>
      </c>
      <c r="AC231">
        <f>IF(AD231=0,0,R231/(AD231*Inputs!$C$16))</f>
        <v/>
      </c>
      <c r="AD231" s="53">
        <f>IF(A231&gt;Inputs!$C$62,"",B231+C231)</f>
        <v/>
      </c>
      <c r="AE231" s="56">
        <f>IF(A231&gt;Inputs!$C$62,"", Inputs!$C$65*(1+Inputs!$C$89*POWER(MIN(1,IF(Inputs!$C$88=0,0,B231/Inputs!$C$88)),Inputs!$C$90)))</f>
        <v/>
      </c>
      <c r="AF231" s="52">
        <f>IF(A231&gt;Inputs!$C$62,"",IF(A231=1,Inputs!$C$86,MIN(Inputs!$C$86,Inputs!$C$87*M230)))</f>
        <v/>
      </c>
      <c r="AG231" s="51">
        <f>IF(A231&gt;Inputs!$C$62,"",MIN(0.5,MAX(0, Inputs!$C$67*L231 + Inputs!$C$68*(1-K231) + Inputs!$C$69*Inputs!$C$10)))</f>
        <v/>
      </c>
      <c r="AH231" s="51">
        <f>IF(A231&gt;Inputs!$C$62,"",INDEX(CapacityPlan!$G$7:$G$266,A231))</f>
        <v/>
      </c>
      <c r="AI231" s="54">
        <f>IF(A231&gt;Inputs!$C$62,"",INDEX(CapacityPlan!$J$7:$J$266,A231))</f>
        <v/>
      </c>
      <c r="AJ231" s="51">
        <f>IF(A231&gt;Inputs!$C$62,"",IF(I231=0,"",G231/I231))</f>
        <v/>
      </c>
    </row>
    <row r="232">
      <c r="A232" s="15" t="n">
        <v>210</v>
      </c>
      <c r="B232">
        <f>IF(A232&gt;Inputs!$C$62,"",IF(Inputs!$C$80=1,INDEX(Cohorts!$B$67:$B$326,A232),IF(A232=1,Inputs!$C$63,F231)))</f>
        <v/>
      </c>
      <c r="C232">
        <f>IF(A232&gt;Inputs!$C$62,"",IF(Inputs!$C$85=0,Inputs!$C$64,MIN(Inputs!$C$91,IF(AE232=0,0,AF232/AE232))))</f>
        <v/>
      </c>
      <c r="D232">
        <f>IF(A232&gt;Inputs!$C$62,"",IF(Inputs!$C$80=1,INDEX(Cohorts!$G$67:$G$326,A232),MAX(0, Inputs!$C$66 + Inputs!$C$67*L232 + Inputs!$C$68*(1-K232) + Inputs!$C$69*Inputs!$C$10)))</f>
        <v/>
      </c>
      <c r="E232">
        <f>IF(A232&gt;Inputs!$C$62,"",IF(Inputs!$C$80=1,INDEX(Cohorts!$H$67:$H$326,A232),D232*AD232))</f>
        <v/>
      </c>
      <c r="F232">
        <f>IF(A232&gt;Inputs!$C$62,"",IF(Inputs!$C$80=1,INDEX(Cohorts!$I$67:$I$326,A232),AD232-E232))</f>
        <v/>
      </c>
      <c r="G232">
        <f>IF(A232&gt;Inputs!$C$62,"",AD232)</f>
        <v/>
      </c>
      <c r="H232">
        <f>IF(A232&gt;Inputs!$C$62,"",INDEX(CapacityPlan!$E$7:$E$266,A232))</f>
        <v/>
      </c>
      <c r="I232">
        <f>IF(A232&gt;Inputs!$C$62,"",INDEX(CapacityPlan!$I$7:$I$266,A232))</f>
        <v/>
      </c>
      <c r="J232">
        <f>IF(A232&gt;Inputs!$C$62,"",IF(G232&gt;I232,I232,G232))</f>
        <v/>
      </c>
      <c r="K232">
        <f>IF(A232&gt;Inputs!$C$62,"",IF(G232=0,1,J232/G232))</f>
        <v/>
      </c>
      <c r="M232">
        <f>IF(A232&gt;Inputs!$C$62,"",J232*Inputs!$C$7*(1-Inputs!$C$8)*(1-L232))</f>
        <v/>
      </c>
      <c r="N232">
        <f>IF(A232&gt;Inputs!$C$62,"",J232*UnitEconomics!$B$32*AI232 + (G232-J232)*Inputs!$C$71)</f>
        <v/>
      </c>
      <c r="P232">
        <f>IF(A232&gt;Inputs!$C$62,"",Inputs!$C$40 + H232*Inputs!$C$41)</f>
        <v/>
      </c>
      <c r="R232">
        <f>IF(A232&gt;Inputs!$C$62,"",AD232*Inputs!$C$16*(Inputs!$C$9 + Inputs!$C$10*Inputs!$C$11 + Inputs!$C$12)*(1 + VLOOKUP(Inputs!$C$15,Lookups!$A$2:$B$20,2,TRUE)*(Scale!$B$9/IF(Scale!$B$8=0,1,Scale!$B$8)) + Inputs!$C$52))</f>
        <v/>
      </c>
      <c r="Y232">
        <f>IF(A232&gt;Inputs!$C$62,"",C232*AE232)</f>
        <v/>
      </c>
      <c r="AC232">
        <f>IF(AD232=0,0,R232/(AD232*Inputs!$C$16))</f>
        <v/>
      </c>
      <c r="AD232" s="53">
        <f>IF(A232&gt;Inputs!$C$62,"",B232+C232)</f>
        <v/>
      </c>
      <c r="AE232" s="56">
        <f>IF(A232&gt;Inputs!$C$62,"", Inputs!$C$65*(1+Inputs!$C$89*POWER(MIN(1,IF(Inputs!$C$88=0,0,B232/Inputs!$C$88)),Inputs!$C$90)))</f>
        <v/>
      </c>
      <c r="AF232" s="52">
        <f>IF(A232&gt;Inputs!$C$62,"",IF(A232=1,Inputs!$C$86,MIN(Inputs!$C$86,Inputs!$C$87*M231)))</f>
        <v/>
      </c>
      <c r="AG232" s="51">
        <f>IF(A232&gt;Inputs!$C$62,"",MIN(0.5,MAX(0, Inputs!$C$67*L232 + Inputs!$C$68*(1-K232) + Inputs!$C$69*Inputs!$C$10)))</f>
        <v/>
      </c>
      <c r="AH232" s="51">
        <f>IF(A232&gt;Inputs!$C$62,"",INDEX(CapacityPlan!$G$7:$G$266,A232))</f>
        <v/>
      </c>
      <c r="AI232" s="54">
        <f>IF(A232&gt;Inputs!$C$62,"",INDEX(CapacityPlan!$J$7:$J$266,A232))</f>
        <v/>
      </c>
      <c r="AJ232" s="51">
        <f>IF(A232&gt;Inputs!$C$62,"",IF(I232=0,"",G232/I232))</f>
        <v/>
      </c>
    </row>
    <row r="233">
      <c r="A233" s="15" t="n">
        <v>211</v>
      </c>
      <c r="B233">
        <f>IF(A233&gt;Inputs!$C$62,"",IF(Inputs!$C$80=1,INDEX(Cohorts!$B$67:$B$326,A233),IF(A233=1,Inputs!$C$63,F232)))</f>
        <v/>
      </c>
      <c r="C233">
        <f>IF(A233&gt;Inputs!$C$62,"",IF(Inputs!$C$85=0,Inputs!$C$64,MIN(Inputs!$C$91,IF(AE233=0,0,AF233/AE233))))</f>
        <v/>
      </c>
      <c r="D233">
        <f>IF(A233&gt;Inputs!$C$62,"",IF(Inputs!$C$80=1,INDEX(Cohorts!$G$67:$G$326,A233),MAX(0, Inputs!$C$66 + Inputs!$C$67*L233 + Inputs!$C$68*(1-K233) + Inputs!$C$69*Inputs!$C$10)))</f>
        <v/>
      </c>
      <c r="E233">
        <f>IF(A233&gt;Inputs!$C$62,"",IF(Inputs!$C$80=1,INDEX(Cohorts!$H$67:$H$326,A233),D233*AD233))</f>
        <v/>
      </c>
      <c r="F233">
        <f>IF(A233&gt;Inputs!$C$62,"",IF(Inputs!$C$80=1,INDEX(Cohorts!$I$67:$I$326,A233),AD233-E233))</f>
        <v/>
      </c>
      <c r="G233">
        <f>IF(A233&gt;Inputs!$C$62,"",AD233)</f>
        <v/>
      </c>
      <c r="H233">
        <f>IF(A233&gt;Inputs!$C$62,"",INDEX(CapacityPlan!$E$7:$E$266,A233))</f>
        <v/>
      </c>
      <c r="I233">
        <f>IF(A233&gt;Inputs!$C$62,"",INDEX(CapacityPlan!$I$7:$I$266,A233))</f>
        <v/>
      </c>
      <c r="J233">
        <f>IF(A233&gt;Inputs!$C$62,"",IF(G233&gt;I233,I233,G233))</f>
        <v/>
      </c>
      <c r="K233">
        <f>IF(A233&gt;Inputs!$C$62,"",IF(G233=0,1,J233/G233))</f>
        <v/>
      </c>
      <c r="M233">
        <f>IF(A233&gt;Inputs!$C$62,"",J233*Inputs!$C$7*(1-Inputs!$C$8)*(1-L233))</f>
        <v/>
      </c>
      <c r="N233">
        <f>IF(A233&gt;Inputs!$C$62,"",J233*UnitEconomics!$B$32*AI233 + (G233-J233)*Inputs!$C$71)</f>
        <v/>
      </c>
      <c r="P233">
        <f>IF(A233&gt;Inputs!$C$62,"",Inputs!$C$40 + H233*Inputs!$C$41)</f>
        <v/>
      </c>
      <c r="R233">
        <f>IF(A233&gt;Inputs!$C$62,"",AD233*Inputs!$C$16*(Inputs!$C$9 + Inputs!$C$10*Inputs!$C$11 + Inputs!$C$12)*(1 + VLOOKUP(Inputs!$C$15,Lookups!$A$2:$B$20,2,TRUE)*(Scale!$B$9/IF(Scale!$B$8=0,1,Scale!$B$8)) + Inputs!$C$52))</f>
        <v/>
      </c>
      <c r="Y233">
        <f>IF(A233&gt;Inputs!$C$62,"",C233*AE233)</f>
        <v/>
      </c>
      <c r="AC233">
        <f>IF(AD233=0,0,R233/(AD233*Inputs!$C$16))</f>
        <v/>
      </c>
      <c r="AD233" s="53">
        <f>IF(A233&gt;Inputs!$C$62,"",B233+C233)</f>
        <v/>
      </c>
      <c r="AE233" s="56">
        <f>IF(A233&gt;Inputs!$C$62,"", Inputs!$C$65*(1+Inputs!$C$89*POWER(MIN(1,IF(Inputs!$C$88=0,0,B233/Inputs!$C$88)),Inputs!$C$90)))</f>
        <v/>
      </c>
      <c r="AF233" s="52">
        <f>IF(A233&gt;Inputs!$C$62,"",IF(A233=1,Inputs!$C$86,MIN(Inputs!$C$86,Inputs!$C$87*M232)))</f>
        <v/>
      </c>
      <c r="AG233" s="51">
        <f>IF(A233&gt;Inputs!$C$62,"",MIN(0.5,MAX(0, Inputs!$C$67*L233 + Inputs!$C$68*(1-K233) + Inputs!$C$69*Inputs!$C$10)))</f>
        <v/>
      </c>
      <c r="AH233" s="51">
        <f>IF(A233&gt;Inputs!$C$62,"",INDEX(CapacityPlan!$G$7:$G$266,A233))</f>
        <v/>
      </c>
      <c r="AI233" s="54">
        <f>IF(A233&gt;Inputs!$C$62,"",INDEX(CapacityPlan!$J$7:$J$266,A233))</f>
        <v/>
      </c>
      <c r="AJ233" s="51">
        <f>IF(A233&gt;Inputs!$C$62,"",IF(I233=0,"",G233/I233))</f>
        <v/>
      </c>
    </row>
    <row r="234">
      <c r="A234" s="15" t="n">
        <v>212</v>
      </c>
      <c r="B234">
        <f>IF(A234&gt;Inputs!$C$62,"",IF(Inputs!$C$80=1,INDEX(Cohorts!$B$67:$B$326,A234),IF(A234=1,Inputs!$C$63,F233)))</f>
        <v/>
      </c>
      <c r="C234">
        <f>IF(A234&gt;Inputs!$C$62,"",IF(Inputs!$C$85=0,Inputs!$C$64,MIN(Inputs!$C$91,IF(AE234=0,0,AF234/AE234))))</f>
        <v/>
      </c>
      <c r="D234">
        <f>IF(A234&gt;Inputs!$C$62,"",IF(Inputs!$C$80=1,INDEX(Cohorts!$G$67:$G$326,A234),MAX(0, Inputs!$C$66 + Inputs!$C$67*L234 + Inputs!$C$68*(1-K234) + Inputs!$C$69*Inputs!$C$10)))</f>
        <v/>
      </c>
      <c r="E234">
        <f>IF(A234&gt;Inputs!$C$62,"",IF(Inputs!$C$80=1,INDEX(Cohorts!$H$67:$H$326,A234),D234*AD234))</f>
        <v/>
      </c>
      <c r="F234">
        <f>IF(A234&gt;Inputs!$C$62,"",IF(Inputs!$C$80=1,INDEX(Cohorts!$I$67:$I$326,A234),AD234-E234))</f>
        <v/>
      </c>
      <c r="G234">
        <f>IF(A234&gt;Inputs!$C$62,"",AD234)</f>
        <v/>
      </c>
      <c r="H234">
        <f>IF(A234&gt;Inputs!$C$62,"",INDEX(CapacityPlan!$E$7:$E$266,A234))</f>
        <v/>
      </c>
      <c r="I234">
        <f>IF(A234&gt;Inputs!$C$62,"",INDEX(CapacityPlan!$I$7:$I$266,A234))</f>
        <v/>
      </c>
      <c r="J234">
        <f>IF(A234&gt;Inputs!$C$62,"",IF(G234&gt;I234,I234,G234))</f>
        <v/>
      </c>
      <c r="K234">
        <f>IF(A234&gt;Inputs!$C$62,"",IF(G234=0,1,J234/G234))</f>
        <v/>
      </c>
      <c r="M234">
        <f>IF(A234&gt;Inputs!$C$62,"",J234*Inputs!$C$7*(1-Inputs!$C$8)*(1-L234))</f>
        <v/>
      </c>
      <c r="N234">
        <f>IF(A234&gt;Inputs!$C$62,"",J234*UnitEconomics!$B$32*AI234 + (G234-J234)*Inputs!$C$71)</f>
        <v/>
      </c>
      <c r="P234">
        <f>IF(A234&gt;Inputs!$C$62,"",Inputs!$C$40 + H234*Inputs!$C$41)</f>
        <v/>
      </c>
      <c r="R234">
        <f>IF(A234&gt;Inputs!$C$62,"",AD234*Inputs!$C$16*(Inputs!$C$9 + Inputs!$C$10*Inputs!$C$11 + Inputs!$C$12)*(1 + VLOOKUP(Inputs!$C$15,Lookups!$A$2:$B$20,2,TRUE)*(Scale!$B$9/IF(Scale!$B$8=0,1,Scale!$B$8)) + Inputs!$C$52))</f>
        <v/>
      </c>
      <c r="Y234">
        <f>IF(A234&gt;Inputs!$C$62,"",C234*AE234)</f>
        <v/>
      </c>
      <c r="AC234">
        <f>IF(AD234=0,0,R234/(AD234*Inputs!$C$16))</f>
        <v/>
      </c>
      <c r="AD234" s="53">
        <f>IF(A234&gt;Inputs!$C$62,"",B234+C234)</f>
        <v/>
      </c>
      <c r="AE234" s="56">
        <f>IF(A234&gt;Inputs!$C$62,"", Inputs!$C$65*(1+Inputs!$C$89*POWER(MIN(1,IF(Inputs!$C$88=0,0,B234/Inputs!$C$88)),Inputs!$C$90)))</f>
        <v/>
      </c>
      <c r="AF234" s="52">
        <f>IF(A234&gt;Inputs!$C$62,"",IF(A234=1,Inputs!$C$86,MIN(Inputs!$C$86,Inputs!$C$87*M233)))</f>
        <v/>
      </c>
      <c r="AG234" s="51">
        <f>IF(A234&gt;Inputs!$C$62,"",MIN(0.5,MAX(0, Inputs!$C$67*L234 + Inputs!$C$68*(1-K234) + Inputs!$C$69*Inputs!$C$10)))</f>
        <v/>
      </c>
      <c r="AH234" s="51">
        <f>IF(A234&gt;Inputs!$C$62,"",INDEX(CapacityPlan!$G$7:$G$266,A234))</f>
        <v/>
      </c>
      <c r="AI234" s="54">
        <f>IF(A234&gt;Inputs!$C$62,"",INDEX(CapacityPlan!$J$7:$J$266,A234))</f>
        <v/>
      </c>
      <c r="AJ234" s="51">
        <f>IF(A234&gt;Inputs!$C$62,"",IF(I234=0,"",G234/I234))</f>
        <v/>
      </c>
    </row>
    <row r="235">
      <c r="A235" s="15" t="n">
        <v>213</v>
      </c>
      <c r="B235">
        <f>IF(A235&gt;Inputs!$C$62,"",IF(Inputs!$C$80=1,INDEX(Cohorts!$B$67:$B$326,A235),IF(A235=1,Inputs!$C$63,F234)))</f>
        <v/>
      </c>
      <c r="C235">
        <f>IF(A235&gt;Inputs!$C$62,"",IF(Inputs!$C$85=0,Inputs!$C$64,MIN(Inputs!$C$91,IF(AE235=0,0,AF235/AE235))))</f>
        <v/>
      </c>
      <c r="D235">
        <f>IF(A235&gt;Inputs!$C$62,"",IF(Inputs!$C$80=1,INDEX(Cohorts!$G$67:$G$326,A235),MAX(0, Inputs!$C$66 + Inputs!$C$67*L235 + Inputs!$C$68*(1-K235) + Inputs!$C$69*Inputs!$C$10)))</f>
        <v/>
      </c>
      <c r="E235">
        <f>IF(A235&gt;Inputs!$C$62,"",IF(Inputs!$C$80=1,INDEX(Cohorts!$H$67:$H$326,A235),D235*AD235))</f>
        <v/>
      </c>
      <c r="F235">
        <f>IF(A235&gt;Inputs!$C$62,"",IF(Inputs!$C$80=1,INDEX(Cohorts!$I$67:$I$326,A235),AD235-E235))</f>
        <v/>
      </c>
      <c r="G235">
        <f>IF(A235&gt;Inputs!$C$62,"",AD235)</f>
        <v/>
      </c>
      <c r="H235">
        <f>IF(A235&gt;Inputs!$C$62,"",INDEX(CapacityPlan!$E$7:$E$266,A235))</f>
        <v/>
      </c>
      <c r="I235">
        <f>IF(A235&gt;Inputs!$C$62,"",INDEX(CapacityPlan!$I$7:$I$266,A235))</f>
        <v/>
      </c>
      <c r="J235">
        <f>IF(A235&gt;Inputs!$C$62,"",IF(G235&gt;I235,I235,G235))</f>
        <v/>
      </c>
      <c r="K235">
        <f>IF(A235&gt;Inputs!$C$62,"",IF(G235=0,1,J235/G235))</f>
        <v/>
      </c>
      <c r="M235">
        <f>IF(A235&gt;Inputs!$C$62,"",J235*Inputs!$C$7*(1-Inputs!$C$8)*(1-L235))</f>
        <v/>
      </c>
      <c r="N235">
        <f>IF(A235&gt;Inputs!$C$62,"",J235*UnitEconomics!$B$32*AI235 + (G235-J235)*Inputs!$C$71)</f>
        <v/>
      </c>
      <c r="P235">
        <f>IF(A235&gt;Inputs!$C$62,"",Inputs!$C$40 + H235*Inputs!$C$41)</f>
        <v/>
      </c>
      <c r="R235">
        <f>IF(A235&gt;Inputs!$C$62,"",AD235*Inputs!$C$16*(Inputs!$C$9 + Inputs!$C$10*Inputs!$C$11 + Inputs!$C$12)*(1 + VLOOKUP(Inputs!$C$15,Lookups!$A$2:$B$20,2,TRUE)*(Scale!$B$9/IF(Scale!$B$8=0,1,Scale!$B$8)) + Inputs!$C$52))</f>
        <v/>
      </c>
      <c r="Y235">
        <f>IF(A235&gt;Inputs!$C$62,"",C235*AE235)</f>
        <v/>
      </c>
      <c r="AC235">
        <f>IF(AD235=0,0,R235/(AD235*Inputs!$C$16))</f>
        <v/>
      </c>
      <c r="AD235" s="53">
        <f>IF(A235&gt;Inputs!$C$62,"",B235+C235)</f>
        <v/>
      </c>
      <c r="AE235" s="56">
        <f>IF(A235&gt;Inputs!$C$62,"", Inputs!$C$65*(1+Inputs!$C$89*POWER(MIN(1,IF(Inputs!$C$88=0,0,B235/Inputs!$C$88)),Inputs!$C$90)))</f>
        <v/>
      </c>
      <c r="AF235" s="52">
        <f>IF(A235&gt;Inputs!$C$62,"",IF(A235=1,Inputs!$C$86,MIN(Inputs!$C$86,Inputs!$C$87*M234)))</f>
        <v/>
      </c>
      <c r="AG235" s="51">
        <f>IF(A235&gt;Inputs!$C$62,"",MIN(0.5,MAX(0, Inputs!$C$67*L235 + Inputs!$C$68*(1-K235) + Inputs!$C$69*Inputs!$C$10)))</f>
        <v/>
      </c>
      <c r="AH235" s="51">
        <f>IF(A235&gt;Inputs!$C$62,"",INDEX(CapacityPlan!$G$7:$G$266,A235))</f>
        <v/>
      </c>
      <c r="AI235" s="54">
        <f>IF(A235&gt;Inputs!$C$62,"",INDEX(CapacityPlan!$J$7:$J$266,A235))</f>
        <v/>
      </c>
      <c r="AJ235" s="51">
        <f>IF(A235&gt;Inputs!$C$62,"",IF(I235=0,"",G235/I235))</f>
        <v/>
      </c>
    </row>
    <row r="236">
      <c r="A236" s="15" t="n">
        <v>214</v>
      </c>
      <c r="B236">
        <f>IF(A236&gt;Inputs!$C$62,"",IF(Inputs!$C$80=1,INDEX(Cohorts!$B$67:$B$326,A236),IF(A236=1,Inputs!$C$63,F235)))</f>
        <v/>
      </c>
      <c r="C236">
        <f>IF(A236&gt;Inputs!$C$62,"",IF(Inputs!$C$85=0,Inputs!$C$64,MIN(Inputs!$C$91,IF(AE236=0,0,AF236/AE236))))</f>
        <v/>
      </c>
      <c r="D236">
        <f>IF(A236&gt;Inputs!$C$62,"",IF(Inputs!$C$80=1,INDEX(Cohorts!$G$67:$G$326,A236),MAX(0, Inputs!$C$66 + Inputs!$C$67*L236 + Inputs!$C$68*(1-K236) + Inputs!$C$69*Inputs!$C$10)))</f>
        <v/>
      </c>
      <c r="E236">
        <f>IF(A236&gt;Inputs!$C$62,"",IF(Inputs!$C$80=1,INDEX(Cohorts!$H$67:$H$326,A236),D236*AD236))</f>
        <v/>
      </c>
      <c r="F236">
        <f>IF(A236&gt;Inputs!$C$62,"",IF(Inputs!$C$80=1,INDEX(Cohorts!$I$67:$I$326,A236),AD236-E236))</f>
        <v/>
      </c>
      <c r="G236">
        <f>IF(A236&gt;Inputs!$C$62,"",AD236)</f>
        <v/>
      </c>
      <c r="H236">
        <f>IF(A236&gt;Inputs!$C$62,"",INDEX(CapacityPlan!$E$7:$E$266,A236))</f>
        <v/>
      </c>
      <c r="I236">
        <f>IF(A236&gt;Inputs!$C$62,"",INDEX(CapacityPlan!$I$7:$I$266,A236))</f>
        <v/>
      </c>
      <c r="J236">
        <f>IF(A236&gt;Inputs!$C$62,"",IF(G236&gt;I236,I236,G236))</f>
        <v/>
      </c>
      <c r="K236">
        <f>IF(A236&gt;Inputs!$C$62,"",IF(G236=0,1,J236/G236))</f>
        <v/>
      </c>
      <c r="M236">
        <f>IF(A236&gt;Inputs!$C$62,"",J236*Inputs!$C$7*(1-Inputs!$C$8)*(1-L236))</f>
        <v/>
      </c>
      <c r="N236">
        <f>IF(A236&gt;Inputs!$C$62,"",J236*UnitEconomics!$B$32*AI236 + (G236-J236)*Inputs!$C$71)</f>
        <v/>
      </c>
      <c r="P236">
        <f>IF(A236&gt;Inputs!$C$62,"",Inputs!$C$40 + H236*Inputs!$C$41)</f>
        <v/>
      </c>
      <c r="R236">
        <f>IF(A236&gt;Inputs!$C$62,"",AD236*Inputs!$C$16*(Inputs!$C$9 + Inputs!$C$10*Inputs!$C$11 + Inputs!$C$12)*(1 + VLOOKUP(Inputs!$C$15,Lookups!$A$2:$B$20,2,TRUE)*(Scale!$B$9/IF(Scale!$B$8=0,1,Scale!$B$8)) + Inputs!$C$52))</f>
        <v/>
      </c>
      <c r="Y236">
        <f>IF(A236&gt;Inputs!$C$62,"",C236*AE236)</f>
        <v/>
      </c>
      <c r="AC236">
        <f>IF(AD236=0,0,R236/(AD236*Inputs!$C$16))</f>
        <v/>
      </c>
      <c r="AD236" s="53">
        <f>IF(A236&gt;Inputs!$C$62,"",B236+C236)</f>
        <v/>
      </c>
      <c r="AE236" s="56">
        <f>IF(A236&gt;Inputs!$C$62,"", Inputs!$C$65*(1+Inputs!$C$89*POWER(MIN(1,IF(Inputs!$C$88=0,0,B236/Inputs!$C$88)),Inputs!$C$90)))</f>
        <v/>
      </c>
      <c r="AF236" s="52">
        <f>IF(A236&gt;Inputs!$C$62,"",IF(A236=1,Inputs!$C$86,MIN(Inputs!$C$86,Inputs!$C$87*M235)))</f>
        <v/>
      </c>
      <c r="AG236" s="51">
        <f>IF(A236&gt;Inputs!$C$62,"",MIN(0.5,MAX(0, Inputs!$C$67*L236 + Inputs!$C$68*(1-K236) + Inputs!$C$69*Inputs!$C$10)))</f>
        <v/>
      </c>
      <c r="AH236" s="51">
        <f>IF(A236&gt;Inputs!$C$62,"",INDEX(CapacityPlan!$G$7:$G$266,A236))</f>
        <v/>
      </c>
      <c r="AI236" s="54">
        <f>IF(A236&gt;Inputs!$C$62,"",INDEX(CapacityPlan!$J$7:$J$266,A236))</f>
        <v/>
      </c>
      <c r="AJ236" s="51">
        <f>IF(A236&gt;Inputs!$C$62,"",IF(I236=0,"",G236/I236))</f>
        <v/>
      </c>
    </row>
    <row r="237">
      <c r="A237" s="15" t="n">
        <v>215</v>
      </c>
      <c r="B237">
        <f>IF(A237&gt;Inputs!$C$62,"",IF(Inputs!$C$80=1,INDEX(Cohorts!$B$67:$B$326,A237),IF(A237=1,Inputs!$C$63,F236)))</f>
        <v/>
      </c>
      <c r="C237">
        <f>IF(A237&gt;Inputs!$C$62,"",IF(Inputs!$C$85=0,Inputs!$C$64,MIN(Inputs!$C$91,IF(AE237=0,0,AF237/AE237))))</f>
        <v/>
      </c>
      <c r="D237">
        <f>IF(A237&gt;Inputs!$C$62,"",IF(Inputs!$C$80=1,INDEX(Cohorts!$G$67:$G$326,A237),MAX(0, Inputs!$C$66 + Inputs!$C$67*L237 + Inputs!$C$68*(1-K237) + Inputs!$C$69*Inputs!$C$10)))</f>
        <v/>
      </c>
      <c r="E237">
        <f>IF(A237&gt;Inputs!$C$62,"",IF(Inputs!$C$80=1,INDEX(Cohorts!$H$67:$H$326,A237),D237*AD237))</f>
        <v/>
      </c>
      <c r="F237">
        <f>IF(A237&gt;Inputs!$C$62,"",IF(Inputs!$C$80=1,INDEX(Cohorts!$I$67:$I$326,A237),AD237-E237))</f>
        <v/>
      </c>
      <c r="G237">
        <f>IF(A237&gt;Inputs!$C$62,"",AD237)</f>
        <v/>
      </c>
      <c r="H237">
        <f>IF(A237&gt;Inputs!$C$62,"",INDEX(CapacityPlan!$E$7:$E$266,A237))</f>
        <v/>
      </c>
      <c r="I237">
        <f>IF(A237&gt;Inputs!$C$62,"",INDEX(CapacityPlan!$I$7:$I$266,A237))</f>
        <v/>
      </c>
      <c r="J237">
        <f>IF(A237&gt;Inputs!$C$62,"",IF(G237&gt;I237,I237,G237))</f>
        <v/>
      </c>
      <c r="K237">
        <f>IF(A237&gt;Inputs!$C$62,"",IF(G237=0,1,J237/G237))</f>
        <v/>
      </c>
      <c r="M237">
        <f>IF(A237&gt;Inputs!$C$62,"",J237*Inputs!$C$7*(1-Inputs!$C$8)*(1-L237))</f>
        <v/>
      </c>
      <c r="N237">
        <f>IF(A237&gt;Inputs!$C$62,"",J237*UnitEconomics!$B$32*AI237 + (G237-J237)*Inputs!$C$71)</f>
        <v/>
      </c>
      <c r="P237">
        <f>IF(A237&gt;Inputs!$C$62,"",Inputs!$C$40 + H237*Inputs!$C$41)</f>
        <v/>
      </c>
      <c r="R237">
        <f>IF(A237&gt;Inputs!$C$62,"",AD237*Inputs!$C$16*(Inputs!$C$9 + Inputs!$C$10*Inputs!$C$11 + Inputs!$C$12)*(1 + VLOOKUP(Inputs!$C$15,Lookups!$A$2:$B$20,2,TRUE)*(Scale!$B$9/IF(Scale!$B$8=0,1,Scale!$B$8)) + Inputs!$C$52))</f>
        <v/>
      </c>
      <c r="Y237">
        <f>IF(A237&gt;Inputs!$C$62,"",C237*AE237)</f>
        <v/>
      </c>
      <c r="AC237">
        <f>IF(AD237=0,0,R237/(AD237*Inputs!$C$16))</f>
        <v/>
      </c>
      <c r="AD237" s="53">
        <f>IF(A237&gt;Inputs!$C$62,"",B237+C237)</f>
        <v/>
      </c>
      <c r="AE237" s="56">
        <f>IF(A237&gt;Inputs!$C$62,"", Inputs!$C$65*(1+Inputs!$C$89*POWER(MIN(1,IF(Inputs!$C$88=0,0,B237/Inputs!$C$88)),Inputs!$C$90)))</f>
        <v/>
      </c>
      <c r="AF237" s="52">
        <f>IF(A237&gt;Inputs!$C$62,"",IF(A237=1,Inputs!$C$86,MIN(Inputs!$C$86,Inputs!$C$87*M236)))</f>
        <v/>
      </c>
      <c r="AG237" s="51">
        <f>IF(A237&gt;Inputs!$C$62,"",MIN(0.5,MAX(0, Inputs!$C$67*L237 + Inputs!$C$68*(1-K237) + Inputs!$C$69*Inputs!$C$10)))</f>
        <v/>
      </c>
      <c r="AH237" s="51">
        <f>IF(A237&gt;Inputs!$C$62,"",INDEX(CapacityPlan!$G$7:$G$266,A237))</f>
        <v/>
      </c>
      <c r="AI237" s="54">
        <f>IF(A237&gt;Inputs!$C$62,"",INDEX(CapacityPlan!$J$7:$J$266,A237))</f>
        <v/>
      </c>
      <c r="AJ237" s="51">
        <f>IF(A237&gt;Inputs!$C$62,"",IF(I237=0,"",G237/I237))</f>
        <v/>
      </c>
    </row>
    <row r="238">
      <c r="A238" s="15" t="n">
        <v>216</v>
      </c>
      <c r="B238">
        <f>IF(A238&gt;Inputs!$C$62,"",IF(Inputs!$C$80=1,INDEX(Cohorts!$B$67:$B$326,A238),IF(A238=1,Inputs!$C$63,F237)))</f>
        <v/>
      </c>
      <c r="C238">
        <f>IF(A238&gt;Inputs!$C$62,"",IF(Inputs!$C$85=0,Inputs!$C$64,MIN(Inputs!$C$91,IF(AE238=0,0,AF238/AE238))))</f>
        <v/>
      </c>
      <c r="D238">
        <f>IF(A238&gt;Inputs!$C$62,"",IF(Inputs!$C$80=1,INDEX(Cohorts!$G$67:$G$326,A238),MAX(0, Inputs!$C$66 + Inputs!$C$67*L238 + Inputs!$C$68*(1-K238) + Inputs!$C$69*Inputs!$C$10)))</f>
        <v/>
      </c>
      <c r="E238">
        <f>IF(A238&gt;Inputs!$C$62,"",IF(Inputs!$C$80=1,INDEX(Cohorts!$H$67:$H$326,A238),D238*AD238))</f>
        <v/>
      </c>
      <c r="F238">
        <f>IF(A238&gt;Inputs!$C$62,"",IF(Inputs!$C$80=1,INDEX(Cohorts!$I$67:$I$326,A238),AD238-E238))</f>
        <v/>
      </c>
      <c r="G238">
        <f>IF(A238&gt;Inputs!$C$62,"",AD238)</f>
        <v/>
      </c>
      <c r="H238">
        <f>IF(A238&gt;Inputs!$C$62,"",INDEX(CapacityPlan!$E$7:$E$266,A238))</f>
        <v/>
      </c>
      <c r="I238">
        <f>IF(A238&gt;Inputs!$C$62,"",INDEX(CapacityPlan!$I$7:$I$266,A238))</f>
        <v/>
      </c>
      <c r="J238">
        <f>IF(A238&gt;Inputs!$C$62,"",IF(G238&gt;I238,I238,G238))</f>
        <v/>
      </c>
      <c r="K238">
        <f>IF(A238&gt;Inputs!$C$62,"",IF(G238=0,1,J238/G238))</f>
        <v/>
      </c>
      <c r="M238">
        <f>IF(A238&gt;Inputs!$C$62,"",J238*Inputs!$C$7*(1-Inputs!$C$8)*(1-L238))</f>
        <v/>
      </c>
      <c r="N238">
        <f>IF(A238&gt;Inputs!$C$62,"",J238*UnitEconomics!$B$32*AI238 + (G238-J238)*Inputs!$C$71)</f>
        <v/>
      </c>
      <c r="P238">
        <f>IF(A238&gt;Inputs!$C$62,"",Inputs!$C$40 + H238*Inputs!$C$41)</f>
        <v/>
      </c>
      <c r="R238">
        <f>IF(A238&gt;Inputs!$C$62,"",AD238*Inputs!$C$16*(Inputs!$C$9 + Inputs!$C$10*Inputs!$C$11 + Inputs!$C$12)*(1 + VLOOKUP(Inputs!$C$15,Lookups!$A$2:$B$20,2,TRUE)*(Scale!$B$9/IF(Scale!$B$8=0,1,Scale!$B$8)) + Inputs!$C$52))</f>
        <v/>
      </c>
      <c r="Y238">
        <f>IF(A238&gt;Inputs!$C$62,"",C238*AE238)</f>
        <v/>
      </c>
      <c r="AC238">
        <f>IF(AD238=0,0,R238/(AD238*Inputs!$C$16))</f>
        <v/>
      </c>
      <c r="AD238" s="53">
        <f>IF(A238&gt;Inputs!$C$62,"",B238+C238)</f>
        <v/>
      </c>
      <c r="AE238" s="56">
        <f>IF(A238&gt;Inputs!$C$62,"", Inputs!$C$65*(1+Inputs!$C$89*POWER(MIN(1,IF(Inputs!$C$88=0,0,B238/Inputs!$C$88)),Inputs!$C$90)))</f>
        <v/>
      </c>
      <c r="AF238" s="52">
        <f>IF(A238&gt;Inputs!$C$62,"",IF(A238=1,Inputs!$C$86,MIN(Inputs!$C$86,Inputs!$C$87*M237)))</f>
        <v/>
      </c>
      <c r="AG238" s="51">
        <f>IF(A238&gt;Inputs!$C$62,"",MIN(0.5,MAX(0, Inputs!$C$67*L238 + Inputs!$C$68*(1-K238) + Inputs!$C$69*Inputs!$C$10)))</f>
        <v/>
      </c>
      <c r="AH238" s="51">
        <f>IF(A238&gt;Inputs!$C$62,"",INDEX(CapacityPlan!$G$7:$G$266,A238))</f>
        <v/>
      </c>
      <c r="AI238" s="54">
        <f>IF(A238&gt;Inputs!$C$62,"",INDEX(CapacityPlan!$J$7:$J$266,A238))</f>
        <v/>
      </c>
      <c r="AJ238" s="51">
        <f>IF(A238&gt;Inputs!$C$62,"",IF(I238=0,"",G238/I238))</f>
        <v/>
      </c>
    </row>
    <row r="239">
      <c r="A239" s="15" t="n">
        <v>217</v>
      </c>
      <c r="B239">
        <f>IF(A239&gt;Inputs!$C$62,"",IF(Inputs!$C$80=1,INDEX(Cohorts!$B$67:$B$326,A239),IF(A239=1,Inputs!$C$63,F238)))</f>
        <v/>
      </c>
      <c r="C239">
        <f>IF(A239&gt;Inputs!$C$62,"",IF(Inputs!$C$85=0,Inputs!$C$64,MIN(Inputs!$C$91,IF(AE239=0,0,AF239/AE239))))</f>
        <v/>
      </c>
      <c r="D239">
        <f>IF(A239&gt;Inputs!$C$62,"",IF(Inputs!$C$80=1,INDEX(Cohorts!$G$67:$G$326,A239),MAX(0, Inputs!$C$66 + Inputs!$C$67*L239 + Inputs!$C$68*(1-K239) + Inputs!$C$69*Inputs!$C$10)))</f>
        <v/>
      </c>
      <c r="E239">
        <f>IF(A239&gt;Inputs!$C$62,"",IF(Inputs!$C$80=1,INDEX(Cohorts!$H$67:$H$326,A239),D239*AD239))</f>
        <v/>
      </c>
      <c r="F239">
        <f>IF(A239&gt;Inputs!$C$62,"",IF(Inputs!$C$80=1,INDEX(Cohorts!$I$67:$I$326,A239),AD239-E239))</f>
        <v/>
      </c>
      <c r="G239">
        <f>IF(A239&gt;Inputs!$C$62,"",AD239)</f>
        <v/>
      </c>
      <c r="H239">
        <f>IF(A239&gt;Inputs!$C$62,"",INDEX(CapacityPlan!$E$7:$E$266,A239))</f>
        <v/>
      </c>
      <c r="I239">
        <f>IF(A239&gt;Inputs!$C$62,"",INDEX(CapacityPlan!$I$7:$I$266,A239))</f>
        <v/>
      </c>
      <c r="J239">
        <f>IF(A239&gt;Inputs!$C$62,"",IF(G239&gt;I239,I239,G239))</f>
        <v/>
      </c>
      <c r="K239">
        <f>IF(A239&gt;Inputs!$C$62,"",IF(G239=0,1,J239/G239))</f>
        <v/>
      </c>
      <c r="M239">
        <f>IF(A239&gt;Inputs!$C$62,"",J239*Inputs!$C$7*(1-Inputs!$C$8)*(1-L239))</f>
        <v/>
      </c>
      <c r="N239">
        <f>IF(A239&gt;Inputs!$C$62,"",J239*UnitEconomics!$B$32*AI239 + (G239-J239)*Inputs!$C$71)</f>
        <v/>
      </c>
      <c r="P239">
        <f>IF(A239&gt;Inputs!$C$62,"",Inputs!$C$40 + H239*Inputs!$C$41)</f>
        <v/>
      </c>
      <c r="R239">
        <f>IF(A239&gt;Inputs!$C$62,"",AD239*Inputs!$C$16*(Inputs!$C$9 + Inputs!$C$10*Inputs!$C$11 + Inputs!$C$12)*(1 + VLOOKUP(Inputs!$C$15,Lookups!$A$2:$B$20,2,TRUE)*(Scale!$B$9/IF(Scale!$B$8=0,1,Scale!$B$8)) + Inputs!$C$52))</f>
        <v/>
      </c>
      <c r="Y239">
        <f>IF(A239&gt;Inputs!$C$62,"",C239*AE239)</f>
        <v/>
      </c>
      <c r="AC239">
        <f>IF(AD239=0,0,R239/(AD239*Inputs!$C$16))</f>
        <v/>
      </c>
      <c r="AD239" s="53">
        <f>IF(A239&gt;Inputs!$C$62,"",B239+C239)</f>
        <v/>
      </c>
      <c r="AE239" s="56">
        <f>IF(A239&gt;Inputs!$C$62,"", Inputs!$C$65*(1+Inputs!$C$89*POWER(MIN(1,IF(Inputs!$C$88=0,0,B239/Inputs!$C$88)),Inputs!$C$90)))</f>
        <v/>
      </c>
      <c r="AF239" s="52">
        <f>IF(A239&gt;Inputs!$C$62,"",IF(A239=1,Inputs!$C$86,MIN(Inputs!$C$86,Inputs!$C$87*M238)))</f>
        <v/>
      </c>
      <c r="AG239" s="51">
        <f>IF(A239&gt;Inputs!$C$62,"",MIN(0.5,MAX(0, Inputs!$C$67*L239 + Inputs!$C$68*(1-K239) + Inputs!$C$69*Inputs!$C$10)))</f>
        <v/>
      </c>
      <c r="AH239" s="51">
        <f>IF(A239&gt;Inputs!$C$62,"",INDEX(CapacityPlan!$G$7:$G$266,A239))</f>
        <v/>
      </c>
      <c r="AI239" s="54">
        <f>IF(A239&gt;Inputs!$C$62,"",INDEX(CapacityPlan!$J$7:$J$266,A239))</f>
        <v/>
      </c>
      <c r="AJ239" s="51">
        <f>IF(A239&gt;Inputs!$C$62,"",IF(I239=0,"",G239/I239))</f>
        <v/>
      </c>
    </row>
    <row r="240">
      <c r="A240" s="15" t="n">
        <v>218</v>
      </c>
      <c r="B240">
        <f>IF(A240&gt;Inputs!$C$62,"",IF(Inputs!$C$80=1,INDEX(Cohorts!$B$67:$B$326,A240),IF(A240=1,Inputs!$C$63,F239)))</f>
        <v/>
      </c>
      <c r="C240">
        <f>IF(A240&gt;Inputs!$C$62,"",IF(Inputs!$C$85=0,Inputs!$C$64,MIN(Inputs!$C$91,IF(AE240=0,0,AF240/AE240))))</f>
        <v/>
      </c>
      <c r="D240">
        <f>IF(A240&gt;Inputs!$C$62,"",IF(Inputs!$C$80=1,INDEX(Cohorts!$G$67:$G$326,A240),MAX(0, Inputs!$C$66 + Inputs!$C$67*L240 + Inputs!$C$68*(1-K240) + Inputs!$C$69*Inputs!$C$10)))</f>
        <v/>
      </c>
      <c r="E240">
        <f>IF(A240&gt;Inputs!$C$62,"",IF(Inputs!$C$80=1,INDEX(Cohorts!$H$67:$H$326,A240),D240*AD240))</f>
        <v/>
      </c>
      <c r="F240">
        <f>IF(A240&gt;Inputs!$C$62,"",IF(Inputs!$C$80=1,INDEX(Cohorts!$I$67:$I$326,A240),AD240-E240))</f>
        <v/>
      </c>
      <c r="G240">
        <f>IF(A240&gt;Inputs!$C$62,"",AD240)</f>
        <v/>
      </c>
      <c r="H240">
        <f>IF(A240&gt;Inputs!$C$62,"",INDEX(CapacityPlan!$E$7:$E$266,A240))</f>
        <v/>
      </c>
      <c r="I240">
        <f>IF(A240&gt;Inputs!$C$62,"",INDEX(CapacityPlan!$I$7:$I$266,A240))</f>
        <v/>
      </c>
      <c r="J240">
        <f>IF(A240&gt;Inputs!$C$62,"",IF(G240&gt;I240,I240,G240))</f>
        <v/>
      </c>
      <c r="K240">
        <f>IF(A240&gt;Inputs!$C$62,"",IF(G240=0,1,J240/G240))</f>
        <v/>
      </c>
      <c r="M240">
        <f>IF(A240&gt;Inputs!$C$62,"",J240*Inputs!$C$7*(1-Inputs!$C$8)*(1-L240))</f>
        <v/>
      </c>
      <c r="N240">
        <f>IF(A240&gt;Inputs!$C$62,"",J240*UnitEconomics!$B$32*AI240 + (G240-J240)*Inputs!$C$71)</f>
        <v/>
      </c>
      <c r="P240">
        <f>IF(A240&gt;Inputs!$C$62,"",Inputs!$C$40 + H240*Inputs!$C$41)</f>
        <v/>
      </c>
      <c r="R240">
        <f>IF(A240&gt;Inputs!$C$62,"",AD240*Inputs!$C$16*(Inputs!$C$9 + Inputs!$C$10*Inputs!$C$11 + Inputs!$C$12)*(1 + VLOOKUP(Inputs!$C$15,Lookups!$A$2:$B$20,2,TRUE)*(Scale!$B$9/IF(Scale!$B$8=0,1,Scale!$B$8)) + Inputs!$C$52))</f>
        <v/>
      </c>
      <c r="Y240">
        <f>IF(A240&gt;Inputs!$C$62,"",C240*AE240)</f>
        <v/>
      </c>
      <c r="AC240">
        <f>IF(AD240=0,0,R240/(AD240*Inputs!$C$16))</f>
        <v/>
      </c>
      <c r="AD240" s="53">
        <f>IF(A240&gt;Inputs!$C$62,"",B240+C240)</f>
        <v/>
      </c>
      <c r="AE240" s="56">
        <f>IF(A240&gt;Inputs!$C$62,"", Inputs!$C$65*(1+Inputs!$C$89*POWER(MIN(1,IF(Inputs!$C$88=0,0,B240/Inputs!$C$88)),Inputs!$C$90)))</f>
        <v/>
      </c>
      <c r="AF240" s="52">
        <f>IF(A240&gt;Inputs!$C$62,"",IF(A240=1,Inputs!$C$86,MIN(Inputs!$C$86,Inputs!$C$87*M239)))</f>
        <v/>
      </c>
      <c r="AG240" s="51">
        <f>IF(A240&gt;Inputs!$C$62,"",MIN(0.5,MAX(0, Inputs!$C$67*L240 + Inputs!$C$68*(1-K240) + Inputs!$C$69*Inputs!$C$10)))</f>
        <v/>
      </c>
      <c r="AH240" s="51">
        <f>IF(A240&gt;Inputs!$C$62,"",INDEX(CapacityPlan!$G$7:$G$266,A240))</f>
        <v/>
      </c>
      <c r="AI240" s="54">
        <f>IF(A240&gt;Inputs!$C$62,"",INDEX(CapacityPlan!$J$7:$J$266,A240))</f>
        <v/>
      </c>
      <c r="AJ240" s="51">
        <f>IF(A240&gt;Inputs!$C$62,"",IF(I240=0,"",G240/I240))</f>
        <v/>
      </c>
    </row>
    <row r="241">
      <c r="A241" s="15" t="n">
        <v>219</v>
      </c>
      <c r="B241">
        <f>IF(A241&gt;Inputs!$C$62,"",IF(Inputs!$C$80=1,INDEX(Cohorts!$B$67:$B$326,A241),IF(A241=1,Inputs!$C$63,F240)))</f>
        <v/>
      </c>
      <c r="C241">
        <f>IF(A241&gt;Inputs!$C$62,"",IF(Inputs!$C$85=0,Inputs!$C$64,MIN(Inputs!$C$91,IF(AE241=0,0,AF241/AE241))))</f>
        <v/>
      </c>
      <c r="D241">
        <f>IF(A241&gt;Inputs!$C$62,"",IF(Inputs!$C$80=1,INDEX(Cohorts!$G$67:$G$326,A241),MAX(0, Inputs!$C$66 + Inputs!$C$67*L241 + Inputs!$C$68*(1-K241) + Inputs!$C$69*Inputs!$C$10)))</f>
        <v/>
      </c>
      <c r="E241">
        <f>IF(A241&gt;Inputs!$C$62,"",IF(Inputs!$C$80=1,INDEX(Cohorts!$H$67:$H$326,A241),D241*AD241))</f>
        <v/>
      </c>
      <c r="F241">
        <f>IF(A241&gt;Inputs!$C$62,"",IF(Inputs!$C$80=1,INDEX(Cohorts!$I$67:$I$326,A241),AD241-E241))</f>
        <v/>
      </c>
      <c r="G241">
        <f>IF(A241&gt;Inputs!$C$62,"",AD241)</f>
        <v/>
      </c>
      <c r="H241">
        <f>IF(A241&gt;Inputs!$C$62,"",INDEX(CapacityPlan!$E$7:$E$266,A241))</f>
        <v/>
      </c>
      <c r="I241">
        <f>IF(A241&gt;Inputs!$C$62,"",INDEX(CapacityPlan!$I$7:$I$266,A241))</f>
        <v/>
      </c>
      <c r="J241">
        <f>IF(A241&gt;Inputs!$C$62,"",IF(G241&gt;I241,I241,G241))</f>
        <v/>
      </c>
      <c r="K241">
        <f>IF(A241&gt;Inputs!$C$62,"",IF(G241=0,1,J241/G241))</f>
        <v/>
      </c>
      <c r="M241">
        <f>IF(A241&gt;Inputs!$C$62,"",J241*Inputs!$C$7*(1-Inputs!$C$8)*(1-L241))</f>
        <v/>
      </c>
      <c r="N241">
        <f>IF(A241&gt;Inputs!$C$62,"",J241*UnitEconomics!$B$32*AI241 + (G241-J241)*Inputs!$C$71)</f>
        <v/>
      </c>
      <c r="P241">
        <f>IF(A241&gt;Inputs!$C$62,"",Inputs!$C$40 + H241*Inputs!$C$41)</f>
        <v/>
      </c>
      <c r="R241">
        <f>IF(A241&gt;Inputs!$C$62,"",AD241*Inputs!$C$16*(Inputs!$C$9 + Inputs!$C$10*Inputs!$C$11 + Inputs!$C$12)*(1 + VLOOKUP(Inputs!$C$15,Lookups!$A$2:$B$20,2,TRUE)*(Scale!$B$9/IF(Scale!$B$8=0,1,Scale!$B$8)) + Inputs!$C$52))</f>
        <v/>
      </c>
      <c r="Y241">
        <f>IF(A241&gt;Inputs!$C$62,"",C241*AE241)</f>
        <v/>
      </c>
      <c r="AC241">
        <f>IF(AD241=0,0,R241/(AD241*Inputs!$C$16))</f>
        <v/>
      </c>
      <c r="AD241" s="53">
        <f>IF(A241&gt;Inputs!$C$62,"",B241+C241)</f>
        <v/>
      </c>
      <c r="AE241" s="56">
        <f>IF(A241&gt;Inputs!$C$62,"", Inputs!$C$65*(1+Inputs!$C$89*POWER(MIN(1,IF(Inputs!$C$88=0,0,B241/Inputs!$C$88)),Inputs!$C$90)))</f>
        <v/>
      </c>
      <c r="AF241" s="52">
        <f>IF(A241&gt;Inputs!$C$62,"",IF(A241=1,Inputs!$C$86,MIN(Inputs!$C$86,Inputs!$C$87*M240)))</f>
        <v/>
      </c>
      <c r="AG241" s="51">
        <f>IF(A241&gt;Inputs!$C$62,"",MIN(0.5,MAX(0, Inputs!$C$67*L241 + Inputs!$C$68*(1-K241) + Inputs!$C$69*Inputs!$C$10)))</f>
        <v/>
      </c>
      <c r="AH241" s="51">
        <f>IF(A241&gt;Inputs!$C$62,"",INDEX(CapacityPlan!$G$7:$G$266,A241))</f>
        <v/>
      </c>
      <c r="AI241" s="54">
        <f>IF(A241&gt;Inputs!$C$62,"",INDEX(CapacityPlan!$J$7:$J$266,A241))</f>
        <v/>
      </c>
      <c r="AJ241" s="51">
        <f>IF(A241&gt;Inputs!$C$62,"",IF(I241=0,"",G241/I241))</f>
        <v/>
      </c>
    </row>
    <row r="242">
      <c r="A242" s="15" t="n">
        <v>220</v>
      </c>
      <c r="B242">
        <f>IF(A242&gt;Inputs!$C$62,"",IF(Inputs!$C$80=1,INDEX(Cohorts!$B$67:$B$326,A242),IF(A242=1,Inputs!$C$63,F241)))</f>
        <v/>
      </c>
      <c r="C242">
        <f>IF(A242&gt;Inputs!$C$62,"",IF(Inputs!$C$85=0,Inputs!$C$64,MIN(Inputs!$C$91,IF(AE242=0,0,AF242/AE242))))</f>
        <v/>
      </c>
      <c r="D242">
        <f>IF(A242&gt;Inputs!$C$62,"",IF(Inputs!$C$80=1,INDEX(Cohorts!$G$67:$G$326,A242),MAX(0, Inputs!$C$66 + Inputs!$C$67*L242 + Inputs!$C$68*(1-K242) + Inputs!$C$69*Inputs!$C$10)))</f>
        <v/>
      </c>
      <c r="E242">
        <f>IF(A242&gt;Inputs!$C$62,"",IF(Inputs!$C$80=1,INDEX(Cohorts!$H$67:$H$326,A242),D242*AD242))</f>
        <v/>
      </c>
      <c r="F242">
        <f>IF(A242&gt;Inputs!$C$62,"",IF(Inputs!$C$80=1,INDEX(Cohorts!$I$67:$I$326,A242),AD242-E242))</f>
        <v/>
      </c>
      <c r="G242">
        <f>IF(A242&gt;Inputs!$C$62,"",AD242)</f>
        <v/>
      </c>
      <c r="H242">
        <f>IF(A242&gt;Inputs!$C$62,"",INDEX(CapacityPlan!$E$7:$E$266,A242))</f>
        <v/>
      </c>
      <c r="I242">
        <f>IF(A242&gt;Inputs!$C$62,"",INDEX(CapacityPlan!$I$7:$I$266,A242))</f>
        <v/>
      </c>
      <c r="J242">
        <f>IF(A242&gt;Inputs!$C$62,"",IF(G242&gt;I242,I242,G242))</f>
        <v/>
      </c>
      <c r="K242">
        <f>IF(A242&gt;Inputs!$C$62,"",IF(G242=0,1,J242/G242))</f>
        <v/>
      </c>
      <c r="M242">
        <f>IF(A242&gt;Inputs!$C$62,"",J242*Inputs!$C$7*(1-Inputs!$C$8)*(1-L242))</f>
        <v/>
      </c>
      <c r="N242">
        <f>IF(A242&gt;Inputs!$C$62,"",J242*UnitEconomics!$B$32*AI242 + (G242-J242)*Inputs!$C$71)</f>
        <v/>
      </c>
      <c r="P242">
        <f>IF(A242&gt;Inputs!$C$62,"",Inputs!$C$40 + H242*Inputs!$C$41)</f>
        <v/>
      </c>
      <c r="R242">
        <f>IF(A242&gt;Inputs!$C$62,"",AD242*Inputs!$C$16*(Inputs!$C$9 + Inputs!$C$10*Inputs!$C$11 + Inputs!$C$12)*(1 + VLOOKUP(Inputs!$C$15,Lookups!$A$2:$B$20,2,TRUE)*(Scale!$B$9/IF(Scale!$B$8=0,1,Scale!$B$8)) + Inputs!$C$52))</f>
        <v/>
      </c>
      <c r="Y242">
        <f>IF(A242&gt;Inputs!$C$62,"",C242*AE242)</f>
        <v/>
      </c>
      <c r="AC242">
        <f>IF(AD242=0,0,R242/(AD242*Inputs!$C$16))</f>
        <v/>
      </c>
      <c r="AD242" s="53">
        <f>IF(A242&gt;Inputs!$C$62,"",B242+C242)</f>
        <v/>
      </c>
      <c r="AE242" s="56">
        <f>IF(A242&gt;Inputs!$C$62,"", Inputs!$C$65*(1+Inputs!$C$89*POWER(MIN(1,IF(Inputs!$C$88=0,0,B242/Inputs!$C$88)),Inputs!$C$90)))</f>
        <v/>
      </c>
      <c r="AF242" s="52">
        <f>IF(A242&gt;Inputs!$C$62,"",IF(A242=1,Inputs!$C$86,MIN(Inputs!$C$86,Inputs!$C$87*M241)))</f>
        <v/>
      </c>
      <c r="AG242" s="51">
        <f>IF(A242&gt;Inputs!$C$62,"",MIN(0.5,MAX(0, Inputs!$C$67*L242 + Inputs!$C$68*(1-K242) + Inputs!$C$69*Inputs!$C$10)))</f>
        <v/>
      </c>
      <c r="AH242" s="51">
        <f>IF(A242&gt;Inputs!$C$62,"",INDEX(CapacityPlan!$G$7:$G$266,A242))</f>
        <v/>
      </c>
      <c r="AI242" s="54">
        <f>IF(A242&gt;Inputs!$C$62,"",INDEX(CapacityPlan!$J$7:$J$266,A242))</f>
        <v/>
      </c>
      <c r="AJ242" s="51">
        <f>IF(A242&gt;Inputs!$C$62,"",IF(I242=0,"",G242/I242))</f>
        <v/>
      </c>
    </row>
    <row r="243">
      <c r="A243" s="15" t="n">
        <v>221</v>
      </c>
      <c r="B243">
        <f>IF(A243&gt;Inputs!$C$62,"",IF(Inputs!$C$80=1,INDEX(Cohorts!$B$67:$B$326,A243),IF(A243=1,Inputs!$C$63,F242)))</f>
        <v/>
      </c>
      <c r="C243">
        <f>IF(A243&gt;Inputs!$C$62,"",IF(Inputs!$C$85=0,Inputs!$C$64,MIN(Inputs!$C$91,IF(AE243=0,0,AF243/AE243))))</f>
        <v/>
      </c>
      <c r="D243">
        <f>IF(A243&gt;Inputs!$C$62,"",IF(Inputs!$C$80=1,INDEX(Cohorts!$G$67:$G$326,A243),MAX(0, Inputs!$C$66 + Inputs!$C$67*L243 + Inputs!$C$68*(1-K243) + Inputs!$C$69*Inputs!$C$10)))</f>
        <v/>
      </c>
      <c r="E243">
        <f>IF(A243&gt;Inputs!$C$62,"",IF(Inputs!$C$80=1,INDEX(Cohorts!$H$67:$H$326,A243),D243*AD243))</f>
        <v/>
      </c>
      <c r="F243">
        <f>IF(A243&gt;Inputs!$C$62,"",IF(Inputs!$C$80=1,INDEX(Cohorts!$I$67:$I$326,A243),AD243-E243))</f>
        <v/>
      </c>
      <c r="G243">
        <f>IF(A243&gt;Inputs!$C$62,"",AD243)</f>
        <v/>
      </c>
      <c r="H243">
        <f>IF(A243&gt;Inputs!$C$62,"",INDEX(CapacityPlan!$E$7:$E$266,A243))</f>
        <v/>
      </c>
      <c r="I243">
        <f>IF(A243&gt;Inputs!$C$62,"",INDEX(CapacityPlan!$I$7:$I$266,A243))</f>
        <v/>
      </c>
      <c r="J243">
        <f>IF(A243&gt;Inputs!$C$62,"",IF(G243&gt;I243,I243,G243))</f>
        <v/>
      </c>
      <c r="K243">
        <f>IF(A243&gt;Inputs!$C$62,"",IF(G243=0,1,J243/G243))</f>
        <v/>
      </c>
      <c r="M243">
        <f>IF(A243&gt;Inputs!$C$62,"",J243*Inputs!$C$7*(1-Inputs!$C$8)*(1-L243))</f>
        <v/>
      </c>
      <c r="N243">
        <f>IF(A243&gt;Inputs!$C$62,"",J243*UnitEconomics!$B$32*AI243 + (G243-J243)*Inputs!$C$71)</f>
        <v/>
      </c>
      <c r="P243">
        <f>IF(A243&gt;Inputs!$C$62,"",Inputs!$C$40 + H243*Inputs!$C$41)</f>
        <v/>
      </c>
      <c r="R243">
        <f>IF(A243&gt;Inputs!$C$62,"",AD243*Inputs!$C$16*(Inputs!$C$9 + Inputs!$C$10*Inputs!$C$11 + Inputs!$C$12)*(1 + VLOOKUP(Inputs!$C$15,Lookups!$A$2:$B$20,2,TRUE)*(Scale!$B$9/IF(Scale!$B$8=0,1,Scale!$B$8)) + Inputs!$C$52))</f>
        <v/>
      </c>
      <c r="Y243">
        <f>IF(A243&gt;Inputs!$C$62,"",C243*AE243)</f>
        <v/>
      </c>
      <c r="AC243">
        <f>IF(AD243=0,0,R243/(AD243*Inputs!$C$16))</f>
        <v/>
      </c>
      <c r="AD243" s="53">
        <f>IF(A243&gt;Inputs!$C$62,"",B243+C243)</f>
        <v/>
      </c>
      <c r="AE243" s="56">
        <f>IF(A243&gt;Inputs!$C$62,"", Inputs!$C$65*(1+Inputs!$C$89*POWER(MIN(1,IF(Inputs!$C$88=0,0,B243/Inputs!$C$88)),Inputs!$C$90)))</f>
        <v/>
      </c>
      <c r="AF243" s="52">
        <f>IF(A243&gt;Inputs!$C$62,"",IF(A243=1,Inputs!$C$86,MIN(Inputs!$C$86,Inputs!$C$87*M242)))</f>
        <v/>
      </c>
      <c r="AG243" s="51">
        <f>IF(A243&gt;Inputs!$C$62,"",MIN(0.5,MAX(0, Inputs!$C$67*L243 + Inputs!$C$68*(1-K243) + Inputs!$C$69*Inputs!$C$10)))</f>
        <v/>
      </c>
      <c r="AH243" s="51">
        <f>IF(A243&gt;Inputs!$C$62,"",INDEX(CapacityPlan!$G$7:$G$266,A243))</f>
        <v/>
      </c>
      <c r="AI243" s="54">
        <f>IF(A243&gt;Inputs!$C$62,"",INDEX(CapacityPlan!$J$7:$J$266,A243))</f>
        <v/>
      </c>
      <c r="AJ243" s="51">
        <f>IF(A243&gt;Inputs!$C$62,"",IF(I243=0,"",G243/I243))</f>
        <v/>
      </c>
    </row>
    <row r="244">
      <c r="A244" s="15" t="n">
        <v>222</v>
      </c>
      <c r="B244">
        <f>IF(A244&gt;Inputs!$C$62,"",IF(Inputs!$C$80=1,INDEX(Cohorts!$B$67:$B$326,A244),IF(A244=1,Inputs!$C$63,F243)))</f>
        <v/>
      </c>
      <c r="C244">
        <f>IF(A244&gt;Inputs!$C$62,"",IF(Inputs!$C$85=0,Inputs!$C$64,MIN(Inputs!$C$91,IF(AE244=0,0,AF244/AE244))))</f>
        <v/>
      </c>
      <c r="D244">
        <f>IF(A244&gt;Inputs!$C$62,"",IF(Inputs!$C$80=1,INDEX(Cohorts!$G$67:$G$326,A244),MAX(0, Inputs!$C$66 + Inputs!$C$67*L244 + Inputs!$C$68*(1-K244) + Inputs!$C$69*Inputs!$C$10)))</f>
        <v/>
      </c>
      <c r="E244">
        <f>IF(A244&gt;Inputs!$C$62,"",IF(Inputs!$C$80=1,INDEX(Cohorts!$H$67:$H$326,A244),D244*AD244))</f>
        <v/>
      </c>
      <c r="F244">
        <f>IF(A244&gt;Inputs!$C$62,"",IF(Inputs!$C$80=1,INDEX(Cohorts!$I$67:$I$326,A244),AD244-E244))</f>
        <v/>
      </c>
      <c r="G244">
        <f>IF(A244&gt;Inputs!$C$62,"",AD244)</f>
        <v/>
      </c>
      <c r="H244">
        <f>IF(A244&gt;Inputs!$C$62,"",INDEX(CapacityPlan!$E$7:$E$266,A244))</f>
        <v/>
      </c>
      <c r="I244">
        <f>IF(A244&gt;Inputs!$C$62,"",INDEX(CapacityPlan!$I$7:$I$266,A244))</f>
        <v/>
      </c>
      <c r="J244">
        <f>IF(A244&gt;Inputs!$C$62,"",IF(G244&gt;I244,I244,G244))</f>
        <v/>
      </c>
      <c r="K244">
        <f>IF(A244&gt;Inputs!$C$62,"",IF(G244=0,1,J244/G244))</f>
        <v/>
      </c>
      <c r="M244">
        <f>IF(A244&gt;Inputs!$C$62,"",J244*Inputs!$C$7*(1-Inputs!$C$8)*(1-L244))</f>
        <v/>
      </c>
      <c r="N244">
        <f>IF(A244&gt;Inputs!$C$62,"",J244*UnitEconomics!$B$32*AI244 + (G244-J244)*Inputs!$C$71)</f>
        <v/>
      </c>
      <c r="P244">
        <f>IF(A244&gt;Inputs!$C$62,"",Inputs!$C$40 + H244*Inputs!$C$41)</f>
        <v/>
      </c>
      <c r="R244">
        <f>IF(A244&gt;Inputs!$C$62,"",AD244*Inputs!$C$16*(Inputs!$C$9 + Inputs!$C$10*Inputs!$C$11 + Inputs!$C$12)*(1 + VLOOKUP(Inputs!$C$15,Lookups!$A$2:$B$20,2,TRUE)*(Scale!$B$9/IF(Scale!$B$8=0,1,Scale!$B$8)) + Inputs!$C$52))</f>
        <v/>
      </c>
      <c r="Y244">
        <f>IF(A244&gt;Inputs!$C$62,"",C244*AE244)</f>
        <v/>
      </c>
      <c r="AC244">
        <f>IF(AD244=0,0,R244/(AD244*Inputs!$C$16))</f>
        <v/>
      </c>
      <c r="AD244" s="53">
        <f>IF(A244&gt;Inputs!$C$62,"",B244+C244)</f>
        <v/>
      </c>
      <c r="AE244" s="56">
        <f>IF(A244&gt;Inputs!$C$62,"", Inputs!$C$65*(1+Inputs!$C$89*POWER(MIN(1,IF(Inputs!$C$88=0,0,B244/Inputs!$C$88)),Inputs!$C$90)))</f>
        <v/>
      </c>
      <c r="AF244" s="52">
        <f>IF(A244&gt;Inputs!$C$62,"",IF(A244=1,Inputs!$C$86,MIN(Inputs!$C$86,Inputs!$C$87*M243)))</f>
        <v/>
      </c>
      <c r="AG244" s="51">
        <f>IF(A244&gt;Inputs!$C$62,"",MIN(0.5,MAX(0, Inputs!$C$67*L244 + Inputs!$C$68*(1-K244) + Inputs!$C$69*Inputs!$C$10)))</f>
        <v/>
      </c>
      <c r="AH244" s="51">
        <f>IF(A244&gt;Inputs!$C$62,"",INDEX(CapacityPlan!$G$7:$G$266,A244))</f>
        <v/>
      </c>
      <c r="AI244" s="54">
        <f>IF(A244&gt;Inputs!$C$62,"",INDEX(CapacityPlan!$J$7:$J$266,A244))</f>
        <v/>
      </c>
      <c r="AJ244" s="51">
        <f>IF(A244&gt;Inputs!$C$62,"",IF(I244=0,"",G244/I244))</f>
        <v/>
      </c>
    </row>
    <row r="245">
      <c r="A245" s="15" t="n">
        <v>223</v>
      </c>
      <c r="B245">
        <f>IF(A245&gt;Inputs!$C$62,"",IF(Inputs!$C$80=1,INDEX(Cohorts!$B$67:$B$326,A245),IF(A245=1,Inputs!$C$63,F244)))</f>
        <v/>
      </c>
      <c r="C245">
        <f>IF(A245&gt;Inputs!$C$62,"",IF(Inputs!$C$85=0,Inputs!$C$64,MIN(Inputs!$C$91,IF(AE245=0,0,AF245/AE245))))</f>
        <v/>
      </c>
      <c r="D245">
        <f>IF(A245&gt;Inputs!$C$62,"",IF(Inputs!$C$80=1,INDEX(Cohorts!$G$67:$G$326,A245),MAX(0, Inputs!$C$66 + Inputs!$C$67*L245 + Inputs!$C$68*(1-K245) + Inputs!$C$69*Inputs!$C$10)))</f>
        <v/>
      </c>
      <c r="E245">
        <f>IF(A245&gt;Inputs!$C$62,"",IF(Inputs!$C$80=1,INDEX(Cohorts!$H$67:$H$326,A245),D245*AD245))</f>
        <v/>
      </c>
      <c r="F245">
        <f>IF(A245&gt;Inputs!$C$62,"",IF(Inputs!$C$80=1,INDEX(Cohorts!$I$67:$I$326,A245),AD245-E245))</f>
        <v/>
      </c>
      <c r="G245">
        <f>IF(A245&gt;Inputs!$C$62,"",AD245)</f>
        <v/>
      </c>
      <c r="H245">
        <f>IF(A245&gt;Inputs!$C$62,"",INDEX(CapacityPlan!$E$7:$E$266,A245))</f>
        <v/>
      </c>
      <c r="I245">
        <f>IF(A245&gt;Inputs!$C$62,"",INDEX(CapacityPlan!$I$7:$I$266,A245))</f>
        <v/>
      </c>
      <c r="J245">
        <f>IF(A245&gt;Inputs!$C$62,"",IF(G245&gt;I245,I245,G245))</f>
        <v/>
      </c>
      <c r="K245">
        <f>IF(A245&gt;Inputs!$C$62,"",IF(G245=0,1,J245/G245))</f>
        <v/>
      </c>
      <c r="M245">
        <f>IF(A245&gt;Inputs!$C$62,"",J245*Inputs!$C$7*(1-Inputs!$C$8)*(1-L245))</f>
        <v/>
      </c>
      <c r="N245">
        <f>IF(A245&gt;Inputs!$C$62,"",J245*UnitEconomics!$B$32*AI245 + (G245-J245)*Inputs!$C$71)</f>
        <v/>
      </c>
      <c r="P245">
        <f>IF(A245&gt;Inputs!$C$62,"",Inputs!$C$40 + H245*Inputs!$C$41)</f>
        <v/>
      </c>
      <c r="R245">
        <f>IF(A245&gt;Inputs!$C$62,"",AD245*Inputs!$C$16*(Inputs!$C$9 + Inputs!$C$10*Inputs!$C$11 + Inputs!$C$12)*(1 + VLOOKUP(Inputs!$C$15,Lookups!$A$2:$B$20,2,TRUE)*(Scale!$B$9/IF(Scale!$B$8=0,1,Scale!$B$8)) + Inputs!$C$52))</f>
        <v/>
      </c>
      <c r="Y245">
        <f>IF(A245&gt;Inputs!$C$62,"",C245*AE245)</f>
        <v/>
      </c>
      <c r="AC245">
        <f>IF(AD245=0,0,R245/(AD245*Inputs!$C$16))</f>
        <v/>
      </c>
      <c r="AD245" s="53">
        <f>IF(A245&gt;Inputs!$C$62,"",B245+C245)</f>
        <v/>
      </c>
      <c r="AE245" s="56">
        <f>IF(A245&gt;Inputs!$C$62,"", Inputs!$C$65*(1+Inputs!$C$89*POWER(MIN(1,IF(Inputs!$C$88=0,0,B245/Inputs!$C$88)),Inputs!$C$90)))</f>
        <v/>
      </c>
      <c r="AF245" s="52">
        <f>IF(A245&gt;Inputs!$C$62,"",IF(A245=1,Inputs!$C$86,MIN(Inputs!$C$86,Inputs!$C$87*M244)))</f>
        <v/>
      </c>
      <c r="AG245" s="51">
        <f>IF(A245&gt;Inputs!$C$62,"",MIN(0.5,MAX(0, Inputs!$C$67*L245 + Inputs!$C$68*(1-K245) + Inputs!$C$69*Inputs!$C$10)))</f>
        <v/>
      </c>
      <c r="AH245" s="51">
        <f>IF(A245&gt;Inputs!$C$62,"",INDEX(CapacityPlan!$G$7:$G$266,A245))</f>
        <v/>
      </c>
      <c r="AI245" s="54">
        <f>IF(A245&gt;Inputs!$C$62,"",INDEX(CapacityPlan!$J$7:$J$266,A245))</f>
        <v/>
      </c>
      <c r="AJ245" s="51">
        <f>IF(A245&gt;Inputs!$C$62,"",IF(I245=0,"",G245/I245))</f>
        <v/>
      </c>
    </row>
    <row r="246">
      <c r="A246" s="15" t="n">
        <v>224</v>
      </c>
      <c r="B246">
        <f>IF(A246&gt;Inputs!$C$62,"",IF(Inputs!$C$80=1,INDEX(Cohorts!$B$67:$B$326,A246),IF(A246=1,Inputs!$C$63,F245)))</f>
        <v/>
      </c>
      <c r="C246">
        <f>IF(A246&gt;Inputs!$C$62,"",IF(Inputs!$C$85=0,Inputs!$C$64,MIN(Inputs!$C$91,IF(AE246=0,0,AF246/AE246))))</f>
        <v/>
      </c>
      <c r="D246">
        <f>IF(A246&gt;Inputs!$C$62,"",IF(Inputs!$C$80=1,INDEX(Cohorts!$G$67:$G$326,A246),MAX(0, Inputs!$C$66 + Inputs!$C$67*L246 + Inputs!$C$68*(1-K246) + Inputs!$C$69*Inputs!$C$10)))</f>
        <v/>
      </c>
      <c r="E246">
        <f>IF(A246&gt;Inputs!$C$62,"",IF(Inputs!$C$80=1,INDEX(Cohorts!$H$67:$H$326,A246),D246*AD246))</f>
        <v/>
      </c>
      <c r="F246">
        <f>IF(A246&gt;Inputs!$C$62,"",IF(Inputs!$C$80=1,INDEX(Cohorts!$I$67:$I$326,A246),AD246-E246))</f>
        <v/>
      </c>
      <c r="G246">
        <f>IF(A246&gt;Inputs!$C$62,"",AD246)</f>
        <v/>
      </c>
      <c r="H246">
        <f>IF(A246&gt;Inputs!$C$62,"",INDEX(CapacityPlan!$E$7:$E$266,A246))</f>
        <v/>
      </c>
      <c r="I246">
        <f>IF(A246&gt;Inputs!$C$62,"",INDEX(CapacityPlan!$I$7:$I$266,A246))</f>
        <v/>
      </c>
      <c r="J246">
        <f>IF(A246&gt;Inputs!$C$62,"",IF(G246&gt;I246,I246,G246))</f>
        <v/>
      </c>
      <c r="K246">
        <f>IF(A246&gt;Inputs!$C$62,"",IF(G246=0,1,J246/G246))</f>
        <v/>
      </c>
      <c r="M246">
        <f>IF(A246&gt;Inputs!$C$62,"",J246*Inputs!$C$7*(1-Inputs!$C$8)*(1-L246))</f>
        <v/>
      </c>
      <c r="N246">
        <f>IF(A246&gt;Inputs!$C$62,"",J246*UnitEconomics!$B$32*AI246 + (G246-J246)*Inputs!$C$71)</f>
        <v/>
      </c>
      <c r="P246">
        <f>IF(A246&gt;Inputs!$C$62,"",Inputs!$C$40 + H246*Inputs!$C$41)</f>
        <v/>
      </c>
      <c r="R246">
        <f>IF(A246&gt;Inputs!$C$62,"",AD246*Inputs!$C$16*(Inputs!$C$9 + Inputs!$C$10*Inputs!$C$11 + Inputs!$C$12)*(1 + VLOOKUP(Inputs!$C$15,Lookups!$A$2:$B$20,2,TRUE)*(Scale!$B$9/IF(Scale!$B$8=0,1,Scale!$B$8)) + Inputs!$C$52))</f>
        <v/>
      </c>
      <c r="Y246">
        <f>IF(A246&gt;Inputs!$C$62,"",C246*AE246)</f>
        <v/>
      </c>
      <c r="AC246">
        <f>IF(AD246=0,0,R246/(AD246*Inputs!$C$16))</f>
        <v/>
      </c>
      <c r="AD246" s="53">
        <f>IF(A246&gt;Inputs!$C$62,"",B246+C246)</f>
        <v/>
      </c>
      <c r="AE246" s="56">
        <f>IF(A246&gt;Inputs!$C$62,"", Inputs!$C$65*(1+Inputs!$C$89*POWER(MIN(1,IF(Inputs!$C$88=0,0,B246/Inputs!$C$88)),Inputs!$C$90)))</f>
        <v/>
      </c>
      <c r="AF246" s="52">
        <f>IF(A246&gt;Inputs!$C$62,"",IF(A246=1,Inputs!$C$86,MIN(Inputs!$C$86,Inputs!$C$87*M245)))</f>
        <v/>
      </c>
      <c r="AG246" s="51">
        <f>IF(A246&gt;Inputs!$C$62,"",MIN(0.5,MAX(0, Inputs!$C$67*L246 + Inputs!$C$68*(1-K246) + Inputs!$C$69*Inputs!$C$10)))</f>
        <v/>
      </c>
      <c r="AH246" s="51">
        <f>IF(A246&gt;Inputs!$C$62,"",INDEX(CapacityPlan!$G$7:$G$266,A246))</f>
        <v/>
      </c>
      <c r="AI246" s="54">
        <f>IF(A246&gt;Inputs!$C$62,"",INDEX(CapacityPlan!$J$7:$J$266,A246))</f>
        <v/>
      </c>
      <c r="AJ246" s="51">
        <f>IF(A246&gt;Inputs!$C$62,"",IF(I246=0,"",G246/I246))</f>
        <v/>
      </c>
    </row>
    <row r="247">
      <c r="A247" s="15" t="n">
        <v>225</v>
      </c>
      <c r="B247">
        <f>IF(A247&gt;Inputs!$C$62,"",IF(Inputs!$C$80=1,INDEX(Cohorts!$B$67:$B$326,A247),IF(A247=1,Inputs!$C$63,F246)))</f>
        <v/>
      </c>
      <c r="C247">
        <f>IF(A247&gt;Inputs!$C$62,"",IF(Inputs!$C$85=0,Inputs!$C$64,MIN(Inputs!$C$91,IF(AE247=0,0,AF247/AE247))))</f>
        <v/>
      </c>
      <c r="D247">
        <f>IF(A247&gt;Inputs!$C$62,"",IF(Inputs!$C$80=1,INDEX(Cohorts!$G$67:$G$326,A247),MAX(0, Inputs!$C$66 + Inputs!$C$67*L247 + Inputs!$C$68*(1-K247) + Inputs!$C$69*Inputs!$C$10)))</f>
        <v/>
      </c>
      <c r="E247">
        <f>IF(A247&gt;Inputs!$C$62,"",IF(Inputs!$C$80=1,INDEX(Cohorts!$H$67:$H$326,A247),D247*AD247))</f>
        <v/>
      </c>
      <c r="F247">
        <f>IF(A247&gt;Inputs!$C$62,"",IF(Inputs!$C$80=1,INDEX(Cohorts!$I$67:$I$326,A247),AD247-E247))</f>
        <v/>
      </c>
      <c r="G247">
        <f>IF(A247&gt;Inputs!$C$62,"",AD247)</f>
        <v/>
      </c>
      <c r="H247">
        <f>IF(A247&gt;Inputs!$C$62,"",INDEX(CapacityPlan!$E$7:$E$266,A247))</f>
        <v/>
      </c>
      <c r="I247">
        <f>IF(A247&gt;Inputs!$C$62,"",INDEX(CapacityPlan!$I$7:$I$266,A247))</f>
        <v/>
      </c>
      <c r="J247">
        <f>IF(A247&gt;Inputs!$C$62,"",IF(G247&gt;I247,I247,G247))</f>
        <v/>
      </c>
      <c r="K247">
        <f>IF(A247&gt;Inputs!$C$62,"",IF(G247=0,1,J247/G247))</f>
        <v/>
      </c>
      <c r="M247">
        <f>IF(A247&gt;Inputs!$C$62,"",J247*Inputs!$C$7*(1-Inputs!$C$8)*(1-L247))</f>
        <v/>
      </c>
      <c r="N247">
        <f>IF(A247&gt;Inputs!$C$62,"",J247*UnitEconomics!$B$32*AI247 + (G247-J247)*Inputs!$C$71)</f>
        <v/>
      </c>
      <c r="P247">
        <f>IF(A247&gt;Inputs!$C$62,"",Inputs!$C$40 + H247*Inputs!$C$41)</f>
        <v/>
      </c>
      <c r="R247">
        <f>IF(A247&gt;Inputs!$C$62,"",AD247*Inputs!$C$16*(Inputs!$C$9 + Inputs!$C$10*Inputs!$C$11 + Inputs!$C$12)*(1 + VLOOKUP(Inputs!$C$15,Lookups!$A$2:$B$20,2,TRUE)*(Scale!$B$9/IF(Scale!$B$8=0,1,Scale!$B$8)) + Inputs!$C$52))</f>
        <v/>
      </c>
      <c r="Y247">
        <f>IF(A247&gt;Inputs!$C$62,"",C247*AE247)</f>
        <v/>
      </c>
      <c r="AC247">
        <f>IF(AD247=0,0,R247/(AD247*Inputs!$C$16))</f>
        <v/>
      </c>
      <c r="AD247" s="53">
        <f>IF(A247&gt;Inputs!$C$62,"",B247+C247)</f>
        <v/>
      </c>
      <c r="AE247" s="56">
        <f>IF(A247&gt;Inputs!$C$62,"", Inputs!$C$65*(1+Inputs!$C$89*POWER(MIN(1,IF(Inputs!$C$88=0,0,B247/Inputs!$C$88)),Inputs!$C$90)))</f>
        <v/>
      </c>
      <c r="AF247" s="52">
        <f>IF(A247&gt;Inputs!$C$62,"",IF(A247=1,Inputs!$C$86,MIN(Inputs!$C$86,Inputs!$C$87*M246)))</f>
        <v/>
      </c>
      <c r="AG247" s="51">
        <f>IF(A247&gt;Inputs!$C$62,"",MIN(0.5,MAX(0, Inputs!$C$67*L247 + Inputs!$C$68*(1-K247) + Inputs!$C$69*Inputs!$C$10)))</f>
        <v/>
      </c>
      <c r="AH247" s="51">
        <f>IF(A247&gt;Inputs!$C$62,"",INDEX(CapacityPlan!$G$7:$G$266,A247))</f>
        <v/>
      </c>
      <c r="AI247" s="54">
        <f>IF(A247&gt;Inputs!$C$62,"",INDEX(CapacityPlan!$J$7:$J$266,A247))</f>
        <v/>
      </c>
      <c r="AJ247" s="51">
        <f>IF(A247&gt;Inputs!$C$62,"",IF(I247=0,"",G247/I247))</f>
        <v/>
      </c>
    </row>
    <row r="248">
      <c r="A248" s="15" t="n">
        <v>226</v>
      </c>
      <c r="B248">
        <f>IF(A248&gt;Inputs!$C$62,"",IF(Inputs!$C$80=1,INDEX(Cohorts!$B$67:$B$326,A248),IF(A248=1,Inputs!$C$63,F247)))</f>
        <v/>
      </c>
      <c r="C248">
        <f>IF(A248&gt;Inputs!$C$62,"",IF(Inputs!$C$85=0,Inputs!$C$64,MIN(Inputs!$C$91,IF(AE248=0,0,AF248/AE248))))</f>
        <v/>
      </c>
      <c r="D248">
        <f>IF(A248&gt;Inputs!$C$62,"",IF(Inputs!$C$80=1,INDEX(Cohorts!$G$67:$G$326,A248),MAX(0, Inputs!$C$66 + Inputs!$C$67*L248 + Inputs!$C$68*(1-K248) + Inputs!$C$69*Inputs!$C$10)))</f>
        <v/>
      </c>
      <c r="E248">
        <f>IF(A248&gt;Inputs!$C$62,"",IF(Inputs!$C$80=1,INDEX(Cohorts!$H$67:$H$326,A248),D248*AD248))</f>
        <v/>
      </c>
      <c r="F248">
        <f>IF(A248&gt;Inputs!$C$62,"",IF(Inputs!$C$80=1,INDEX(Cohorts!$I$67:$I$326,A248),AD248-E248))</f>
        <v/>
      </c>
      <c r="G248">
        <f>IF(A248&gt;Inputs!$C$62,"",AD248)</f>
        <v/>
      </c>
      <c r="H248">
        <f>IF(A248&gt;Inputs!$C$62,"",INDEX(CapacityPlan!$E$7:$E$266,A248))</f>
        <v/>
      </c>
      <c r="I248">
        <f>IF(A248&gt;Inputs!$C$62,"",INDEX(CapacityPlan!$I$7:$I$266,A248))</f>
        <v/>
      </c>
      <c r="J248">
        <f>IF(A248&gt;Inputs!$C$62,"",IF(G248&gt;I248,I248,G248))</f>
        <v/>
      </c>
      <c r="K248">
        <f>IF(A248&gt;Inputs!$C$62,"",IF(G248=0,1,J248/G248))</f>
        <v/>
      </c>
      <c r="M248">
        <f>IF(A248&gt;Inputs!$C$62,"",J248*Inputs!$C$7*(1-Inputs!$C$8)*(1-L248))</f>
        <v/>
      </c>
      <c r="N248">
        <f>IF(A248&gt;Inputs!$C$62,"",J248*UnitEconomics!$B$32*AI248 + (G248-J248)*Inputs!$C$71)</f>
        <v/>
      </c>
      <c r="P248">
        <f>IF(A248&gt;Inputs!$C$62,"",Inputs!$C$40 + H248*Inputs!$C$41)</f>
        <v/>
      </c>
      <c r="R248">
        <f>IF(A248&gt;Inputs!$C$62,"",AD248*Inputs!$C$16*(Inputs!$C$9 + Inputs!$C$10*Inputs!$C$11 + Inputs!$C$12)*(1 + VLOOKUP(Inputs!$C$15,Lookups!$A$2:$B$20,2,TRUE)*(Scale!$B$9/IF(Scale!$B$8=0,1,Scale!$B$8)) + Inputs!$C$52))</f>
        <v/>
      </c>
      <c r="Y248">
        <f>IF(A248&gt;Inputs!$C$62,"",C248*AE248)</f>
        <v/>
      </c>
      <c r="AC248">
        <f>IF(AD248=0,0,R248/(AD248*Inputs!$C$16))</f>
        <v/>
      </c>
      <c r="AD248" s="53">
        <f>IF(A248&gt;Inputs!$C$62,"",B248+C248)</f>
        <v/>
      </c>
      <c r="AE248" s="56">
        <f>IF(A248&gt;Inputs!$C$62,"", Inputs!$C$65*(1+Inputs!$C$89*POWER(MIN(1,IF(Inputs!$C$88=0,0,B248/Inputs!$C$88)),Inputs!$C$90)))</f>
        <v/>
      </c>
      <c r="AF248" s="52">
        <f>IF(A248&gt;Inputs!$C$62,"",IF(A248=1,Inputs!$C$86,MIN(Inputs!$C$86,Inputs!$C$87*M247)))</f>
        <v/>
      </c>
      <c r="AG248" s="51">
        <f>IF(A248&gt;Inputs!$C$62,"",MIN(0.5,MAX(0, Inputs!$C$67*L248 + Inputs!$C$68*(1-K248) + Inputs!$C$69*Inputs!$C$10)))</f>
        <v/>
      </c>
      <c r="AH248" s="51">
        <f>IF(A248&gt;Inputs!$C$62,"",INDEX(CapacityPlan!$G$7:$G$266,A248))</f>
        <v/>
      </c>
      <c r="AI248" s="54">
        <f>IF(A248&gt;Inputs!$C$62,"",INDEX(CapacityPlan!$J$7:$J$266,A248))</f>
        <v/>
      </c>
      <c r="AJ248" s="51">
        <f>IF(A248&gt;Inputs!$C$62,"",IF(I248=0,"",G248/I248))</f>
        <v/>
      </c>
    </row>
    <row r="249">
      <c r="A249" s="15" t="n">
        <v>227</v>
      </c>
      <c r="B249">
        <f>IF(A249&gt;Inputs!$C$62,"",IF(Inputs!$C$80=1,INDEX(Cohorts!$B$67:$B$326,A249),IF(A249=1,Inputs!$C$63,F248)))</f>
        <v/>
      </c>
      <c r="C249">
        <f>IF(A249&gt;Inputs!$C$62,"",IF(Inputs!$C$85=0,Inputs!$C$64,MIN(Inputs!$C$91,IF(AE249=0,0,AF249/AE249))))</f>
        <v/>
      </c>
      <c r="D249">
        <f>IF(A249&gt;Inputs!$C$62,"",IF(Inputs!$C$80=1,INDEX(Cohorts!$G$67:$G$326,A249),MAX(0, Inputs!$C$66 + Inputs!$C$67*L249 + Inputs!$C$68*(1-K249) + Inputs!$C$69*Inputs!$C$10)))</f>
        <v/>
      </c>
      <c r="E249">
        <f>IF(A249&gt;Inputs!$C$62,"",IF(Inputs!$C$80=1,INDEX(Cohorts!$H$67:$H$326,A249),D249*AD249))</f>
        <v/>
      </c>
      <c r="F249">
        <f>IF(A249&gt;Inputs!$C$62,"",IF(Inputs!$C$80=1,INDEX(Cohorts!$I$67:$I$326,A249),AD249-E249))</f>
        <v/>
      </c>
      <c r="G249">
        <f>IF(A249&gt;Inputs!$C$62,"",AD249)</f>
        <v/>
      </c>
      <c r="H249">
        <f>IF(A249&gt;Inputs!$C$62,"",INDEX(CapacityPlan!$E$7:$E$266,A249))</f>
        <v/>
      </c>
      <c r="I249">
        <f>IF(A249&gt;Inputs!$C$62,"",INDEX(CapacityPlan!$I$7:$I$266,A249))</f>
        <v/>
      </c>
      <c r="J249">
        <f>IF(A249&gt;Inputs!$C$62,"",IF(G249&gt;I249,I249,G249))</f>
        <v/>
      </c>
      <c r="K249">
        <f>IF(A249&gt;Inputs!$C$62,"",IF(G249=0,1,J249/G249))</f>
        <v/>
      </c>
      <c r="M249">
        <f>IF(A249&gt;Inputs!$C$62,"",J249*Inputs!$C$7*(1-Inputs!$C$8)*(1-L249))</f>
        <v/>
      </c>
      <c r="N249">
        <f>IF(A249&gt;Inputs!$C$62,"",J249*UnitEconomics!$B$32*AI249 + (G249-J249)*Inputs!$C$71)</f>
        <v/>
      </c>
      <c r="P249">
        <f>IF(A249&gt;Inputs!$C$62,"",Inputs!$C$40 + H249*Inputs!$C$41)</f>
        <v/>
      </c>
      <c r="R249">
        <f>IF(A249&gt;Inputs!$C$62,"",AD249*Inputs!$C$16*(Inputs!$C$9 + Inputs!$C$10*Inputs!$C$11 + Inputs!$C$12)*(1 + VLOOKUP(Inputs!$C$15,Lookups!$A$2:$B$20,2,TRUE)*(Scale!$B$9/IF(Scale!$B$8=0,1,Scale!$B$8)) + Inputs!$C$52))</f>
        <v/>
      </c>
      <c r="Y249">
        <f>IF(A249&gt;Inputs!$C$62,"",C249*AE249)</f>
        <v/>
      </c>
      <c r="AC249">
        <f>IF(AD249=0,0,R249/(AD249*Inputs!$C$16))</f>
        <v/>
      </c>
      <c r="AD249" s="53">
        <f>IF(A249&gt;Inputs!$C$62,"",B249+C249)</f>
        <v/>
      </c>
      <c r="AE249" s="56">
        <f>IF(A249&gt;Inputs!$C$62,"", Inputs!$C$65*(1+Inputs!$C$89*POWER(MIN(1,IF(Inputs!$C$88=0,0,B249/Inputs!$C$88)),Inputs!$C$90)))</f>
        <v/>
      </c>
      <c r="AF249" s="52">
        <f>IF(A249&gt;Inputs!$C$62,"",IF(A249=1,Inputs!$C$86,MIN(Inputs!$C$86,Inputs!$C$87*M248)))</f>
        <v/>
      </c>
      <c r="AG249" s="51">
        <f>IF(A249&gt;Inputs!$C$62,"",MIN(0.5,MAX(0, Inputs!$C$67*L249 + Inputs!$C$68*(1-K249) + Inputs!$C$69*Inputs!$C$10)))</f>
        <v/>
      </c>
      <c r="AH249" s="51">
        <f>IF(A249&gt;Inputs!$C$62,"",INDEX(CapacityPlan!$G$7:$G$266,A249))</f>
        <v/>
      </c>
      <c r="AI249" s="54">
        <f>IF(A249&gt;Inputs!$C$62,"",INDEX(CapacityPlan!$J$7:$J$266,A249))</f>
        <v/>
      </c>
      <c r="AJ249" s="51">
        <f>IF(A249&gt;Inputs!$C$62,"",IF(I249=0,"",G249/I249))</f>
        <v/>
      </c>
    </row>
    <row r="250">
      <c r="A250" s="15" t="n">
        <v>228</v>
      </c>
      <c r="B250">
        <f>IF(A250&gt;Inputs!$C$62,"",IF(Inputs!$C$80=1,INDEX(Cohorts!$B$67:$B$326,A250),IF(A250=1,Inputs!$C$63,F249)))</f>
        <v/>
      </c>
      <c r="C250">
        <f>IF(A250&gt;Inputs!$C$62,"",IF(Inputs!$C$85=0,Inputs!$C$64,MIN(Inputs!$C$91,IF(AE250=0,0,AF250/AE250))))</f>
        <v/>
      </c>
      <c r="D250">
        <f>IF(A250&gt;Inputs!$C$62,"",IF(Inputs!$C$80=1,INDEX(Cohorts!$G$67:$G$326,A250),MAX(0, Inputs!$C$66 + Inputs!$C$67*L250 + Inputs!$C$68*(1-K250) + Inputs!$C$69*Inputs!$C$10)))</f>
        <v/>
      </c>
      <c r="E250">
        <f>IF(A250&gt;Inputs!$C$62,"",IF(Inputs!$C$80=1,INDEX(Cohorts!$H$67:$H$326,A250),D250*AD250))</f>
        <v/>
      </c>
      <c r="F250">
        <f>IF(A250&gt;Inputs!$C$62,"",IF(Inputs!$C$80=1,INDEX(Cohorts!$I$67:$I$326,A250),AD250-E250))</f>
        <v/>
      </c>
      <c r="G250">
        <f>IF(A250&gt;Inputs!$C$62,"",AD250)</f>
        <v/>
      </c>
      <c r="H250">
        <f>IF(A250&gt;Inputs!$C$62,"",INDEX(CapacityPlan!$E$7:$E$266,A250))</f>
        <v/>
      </c>
      <c r="I250">
        <f>IF(A250&gt;Inputs!$C$62,"",INDEX(CapacityPlan!$I$7:$I$266,A250))</f>
        <v/>
      </c>
      <c r="J250">
        <f>IF(A250&gt;Inputs!$C$62,"",IF(G250&gt;I250,I250,G250))</f>
        <v/>
      </c>
      <c r="K250">
        <f>IF(A250&gt;Inputs!$C$62,"",IF(G250=0,1,J250/G250))</f>
        <v/>
      </c>
      <c r="M250">
        <f>IF(A250&gt;Inputs!$C$62,"",J250*Inputs!$C$7*(1-Inputs!$C$8)*(1-L250))</f>
        <v/>
      </c>
      <c r="N250">
        <f>IF(A250&gt;Inputs!$C$62,"",J250*UnitEconomics!$B$32*AI250 + (G250-J250)*Inputs!$C$71)</f>
        <v/>
      </c>
      <c r="P250">
        <f>IF(A250&gt;Inputs!$C$62,"",Inputs!$C$40 + H250*Inputs!$C$41)</f>
        <v/>
      </c>
      <c r="R250">
        <f>IF(A250&gt;Inputs!$C$62,"",AD250*Inputs!$C$16*(Inputs!$C$9 + Inputs!$C$10*Inputs!$C$11 + Inputs!$C$12)*(1 + VLOOKUP(Inputs!$C$15,Lookups!$A$2:$B$20,2,TRUE)*(Scale!$B$9/IF(Scale!$B$8=0,1,Scale!$B$8)) + Inputs!$C$52))</f>
        <v/>
      </c>
      <c r="Y250">
        <f>IF(A250&gt;Inputs!$C$62,"",C250*AE250)</f>
        <v/>
      </c>
      <c r="AC250">
        <f>IF(AD250=0,0,R250/(AD250*Inputs!$C$16))</f>
        <v/>
      </c>
      <c r="AD250" s="53">
        <f>IF(A250&gt;Inputs!$C$62,"",B250+C250)</f>
        <v/>
      </c>
      <c r="AE250" s="56">
        <f>IF(A250&gt;Inputs!$C$62,"", Inputs!$C$65*(1+Inputs!$C$89*POWER(MIN(1,IF(Inputs!$C$88=0,0,B250/Inputs!$C$88)),Inputs!$C$90)))</f>
        <v/>
      </c>
      <c r="AF250" s="52">
        <f>IF(A250&gt;Inputs!$C$62,"",IF(A250=1,Inputs!$C$86,MIN(Inputs!$C$86,Inputs!$C$87*M249)))</f>
        <v/>
      </c>
      <c r="AG250" s="51">
        <f>IF(A250&gt;Inputs!$C$62,"",MIN(0.5,MAX(0, Inputs!$C$67*L250 + Inputs!$C$68*(1-K250) + Inputs!$C$69*Inputs!$C$10)))</f>
        <v/>
      </c>
      <c r="AH250" s="51">
        <f>IF(A250&gt;Inputs!$C$62,"",INDEX(CapacityPlan!$G$7:$G$266,A250))</f>
        <v/>
      </c>
      <c r="AI250" s="54">
        <f>IF(A250&gt;Inputs!$C$62,"",INDEX(CapacityPlan!$J$7:$J$266,A250))</f>
        <v/>
      </c>
      <c r="AJ250" s="51">
        <f>IF(A250&gt;Inputs!$C$62,"",IF(I250=0,"",G250/I250))</f>
        <v/>
      </c>
    </row>
    <row r="251">
      <c r="A251" s="15" t="n">
        <v>229</v>
      </c>
      <c r="B251">
        <f>IF(A251&gt;Inputs!$C$62,"",IF(Inputs!$C$80=1,INDEX(Cohorts!$B$67:$B$326,A251),IF(A251=1,Inputs!$C$63,F250)))</f>
        <v/>
      </c>
      <c r="C251">
        <f>IF(A251&gt;Inputs!$C$62,"",IF(Inputs!$C$85=0,Inputs!$C$64,MIN(Inputs!$C$91,IF(AE251=0,0,AF251/AE251))))</f>
        <v/>
      </c>
      <c r="D251">
        <f>IF(A251&gt;Inputs!$C$62,"",IF(Inputs!$C$80=1,INDEX(Cohorts!$G$67:$G$326,A251),MAX(0, Inputs!$C$66 + Inputs!$C$67*L251 + Inputs!$C$68*(1-K251) + Inputs!$C$69*Inputs!$C$10)))</f>
        <v/>
      </c>
      <c r="E251">
        <f>IF(A251&gt;Inputs!$C$62,"",IF(Inputs!$C$80=1,INDEX(Cohorts!$H$67:$H$326,A251),D251*AD251))</f>
        <v/>
      </c>
      <c r="F251">
        <f>IF(A251&gt;Inputs!$C$62,"",IF(Inputs!$C$80=1,INDEX(Cohorts!$I$67:$I$326,A251),AD251-E251))</f>
        <v/>
      </c>
      <c r="G251">
        <f>IF(A251&gt;Inputs!$C$62,"",AD251)</f>
        <v/>
      </c>
      <c r="H251">
        <f>IF(A251&gt;Inputs!$C$62,"",INDEX(CapacityPlan!$E$7:$E$266,A251))</f>
        <v/>
      </c>
      <c r="I251">
        <f>IF(A251&gt;Inputs!$C$62,"",INDEX(CapacityPlan!$I$7:$I$266,A251))</f>
        <v/>
      </c>
      <c r="J251">
        <f>IF(A251&gt;Inputs!$C$62,"",IF(G251&gt;I251,I251,G251))</f>
        <v/>
      </c>
      <c r="K251">
        <f>IF(A251&gt;Inputs!$C$62,"",IF(G251=0,1,J251/G251))</f>
        <v/>
      </c>
      <c r="M251">
        <f>IF(A251&gt;Inputs!$C$62,"",J251*Inputs!$C$7*(1-Inputs!$C$8)*(1-L251))</f>
        <v/>
      </c>
      <c r="N251">
        <f>IF(A251&gt;Inputs!$C$62,"",J251*UnitEconomics!$B$32*AI251 + (G251-J251)*Inputs!$C$71)</f>
        <v/>
      </c>
      <c r="P251">
        <f>IF(A251&gt;Inputs!$C$62,"",Inputs!$C$40 + H251*Inputs!$C$41)</f>
        <v/>
      </c>
      <c r="R251">
        <f>IF(A251&gt;Inputs!$C$62,"",AD251*Inputs!$C$16*(Inputs!$C$9 + Inputs!$C$10*Inputs!$C$11 + Inputs!$C$12)*(1 + VLOOKUP(Inputs!$C$15,Lookups!$A$2:$B$20,2,TRUE)*(Scale!$B$9/IF(Scale!$B$8=0,1,Scale!$B$8)) + Inputs!$C$52))</f>
        <v/>
      </c>
      <c r="Y251">
        <f>IF(A251&gt;Inputs!$C$62,"",C251*AE251)</f>
        <v/>
      </c>
      <c r="AC251">
        <f>IF(AD251=0,0,R251/(AD251*Inputs!$C$16))</f>
        <v/>
      </c>
      <c r="AD251" s="53">
        <f>IF(A251&gt;Inputs!$C$62,"",B251+C251)</f>
        <v/>
      </c>
      <c r="AE251" s="56">
        <f>IF(A251&gt;Inputs!$C$62,"", Inputs!$C$65*(1+Inputs!$C$89*POWER(MIN(1,IF(Inputs!$C$88=0,0,B251/Inputs!$C$88)),Inputs!$C$90)))</f>
        <v/>
      </c>
      <c r="AF251" s="52">
        <f>IF(A251&gt;Inputs!$C$62,"",IF(A251=1,Inputs!$C$86,MIN(Inputs!$C$86,Inputs!$C$87*M250)))</f>
        <v/>
      </c>
      <c r="AG251" s="51">
        <f>IF(A251&gt;Inputs!$C$62,"",MIN(0.5,MAX(0, Inputs!$C$67*L251 + Inputs!$C$68*(1-K251) + Inputs!$C$69*Inputs!$C$10)))</f>
        <v/>
      </c>
      <c r="AH251" s="51">
        <f>IF(A251&gt;Inputs!$C$62,"",INDEX(CapacityPlan!$G$7:$G$266,A251))</f>
        <v/>
      </c>
      <c r="AI251" s="54">
        <f>IF(A251&gt;Inputs!$C$62,"",INDEX(CapacityPlan!$J$7:$J$266,A251))</f>
        <v/>
      </c>
      <c r="AJ251" s="51">
        <f>IF(A251&gt;Inputs!$C$62,"",IF(I251=0,"",G251/I251))</f>
        <v/>
      </c>
    </row>
    <row r="252">
      <c r="A252" s="15" t="n">
        <v>230</v>
      </c>
      <c r="B252">
        <f>IF(A252&gt;Inputs!$C$62,"",IF(Inputs!$C$80=1,INDEX(Cohorts!$B$67:$B$326,A252),IF(A252=1,Inputs!$C$63,F251)))</f>
        <v/>
      </c>
      <c r="C252">
        <f>IF(A252&gt;Inputs!$C$62,"",IF(Inputs!$C$85=0,Inputs!$C$64,MIN(Inputs!$C$91,IF(AE252=0,0,AF252/AE252))))</f>
        <v/>
      </c>
      <c r="D252">
        <f>IF(A252&gt;Inputs!$C$62,"",IF(Inputs!$C$80=1,INDEX(Cohorts!$G$67:$G$326,A252),MAX(0, Inputs!$C$66 + Inputs!$C$67*L252 + Inputs!$C$68*(1-K252) + Inputs!$C$69*Inputs!$C$10)))</f>
        <v/>
      </c>
      <c r="E252">
        <f>IF(A252&gt;Inputs!$C$62,"",IF(Inputs!$C$80=1,INDEX(Cohorts!$H$67:$H$326,A252),D252*AD252))</f>
        <v/>
      </c>
      <c r="F252">
        <f>IF(A252&gt;Inputs!$C$62,"",IF(Inputs!$C$80=1,INDEX(Cohorts!$I$67:$I$326,A252),AD252-E252))</f>
        <v/>
      </c>
      <c r="G252">
        <f>IF(A252&gt;Inputs!$C$62,"",AD252)</f>
        <v/>
      </c>
      <c r="H252">
        <f>IF(A252&gt;Inputs!$C$62,"",INDEX(CapacityPlan!$E$7:$E$266,A252))</f>
        <v/>
      </c>
      <c r="I252">
        <f>IF(A252&gt;Inputs!$C$62,"",INDEX(CapacityPlan!$I$7:$I$266,A252))</f>
        <v/>
      </c>
      <c r="J252">
        <f>IF(A252&gt;Inputs!$C$62,"",IF(G252&gt;I252,I252,G252))</f>
        <v/>
      </c>
      <c r="K252">
        <f>IF(A252&gt;Inputs!$C$62,"",IF(G252=0,1,J252/G252))</f>
        <v/>
      </c>
      <c r="M252">
        <f>IF(A252&gt;Inputs!$C$62,"",J252*Inputs!$C$7*(1-Inputs!$C$8)*(1-L252))</f>
        <v/>
      </c>
      <c r="N252">
        <f>IF(A252&gt;Inputs!$C$62,"",J252*UnitEconomics!$B$32*AI252 + (G252-J252)*Inputs!$C$71)</f>
        <v/>
      </c>
      <c r="P252">
        <f>IF(A252&gt;Inputs!$C$62,"",Inputs!$C$40 + H252*Inputs!$C$41)</f>
        <v/>
      </c>
      <c r="R252">
        <f>IF(A252&gt;Inputs!$C$62,"",AD252*Inputs!$C$16*(Inputs!$C$9 + Inputs!$C$10*Inputs!$C$11 + Inputs!$C$12)*(1 + VLOOKUP(Inputs!$C$15,Lookups!$A$2:$B$20,2,TRUE)*(Scale!$B$9/IF(Scale!$B$8=0,1,Scale!$B$8)) + Inputs!$C$52))</f>
        <v/>
      </c>
      <c r="Y252">
        <f>IF(A252&gt;Inputs!$C$62,"",C252*AE252)</f>
        <v/>
      </c>
      <c r="AC252">
        <f>IF(AD252=0,0,R252/(AD252*Inputs!$C$16))</f>
        <v/>
      </c>
      <c r="AD252" s="53">
        <f>IF(A252&gt;Inputs!$C$62,"",B252+C252)</f>
        <v/>
      </c>
      <c r="AE252" s="56">
        <f>IF(A252&gt;Inputs!$C$62,"", Inputs!$C$65*(1+Inputs!$C$89*POWER(MIN(1,IF(Inputs!$C$88=0,0,B252/Inputs!$C$88)),Inputs!$C$90)))</f>
        <v/>
      </c>
      <c r="AF252" s="52">
        <f>IF(A252&gt;Inputs!$C$62,"",IF(A252=1,Inputs!$C$86,MIN(Inputs!$C$86,Inputs!$C$87*M251)))</f>
        <v/>
      </c>
      <c r="AG252" s="51">
        <f>IF(A252&gt;Inputs!$C$62,"",MIN(0.5,MAX(0, Inputs!$C$67*L252 + Inputs!$C$68*(1-K252) + Inputs!$C$69*Inputs!$C$10)))</f>
        <v/>
      </c>
      <c r="AH252" s="51">
        <f>IF(A252&gt;Inputs!$C$62,"",INDEX(CapacityPlan!$G$7:$G$266,A252))</f>
        <v/>
      </c>
      <c r="AI252" s="54">
        <f>IF(A252&gt;Inputs!$C$62,"",INDEX(CapacityPlan!$J$7:$J$266,A252))</f>
        <v/>
      </c>
      <c r="AJ252" s="51">
        <f>IF(A252&gt;Inputs!$C$62,"",IF(I252=0,"",G252/I252))</f>
        <v/>
      </c>
    </row>
    <row r="253">
      <c r="A253" s="15" t="n">
        <v>231</v>
      </c>
      <c r="B253">
        <f>IF(A253&gt;Inputs!$C$62,"",IF(Inputs!$C$80=1,INDEX(Cohorts!$B$67:$B$326,A253),IF(A253=1,Inputs!$C$63,F252)))</f>
        <v/>
      </c>
      <c r="C253">
        <f>IF(A253&gt;Inputs!$C$62,"",IF(Inputs!$C$85=0,Inputs!$C$64,MIN(Inputs!$C$91,IF(AE253=0,0,AF253/AE253))))</f>
        <v/>
      </c>
      <c r="D253">
        <f>IF(A253&gt;Inputs!$C$62,"",IF(Inputs!$C$80=1,INDEX(Cohorts!$G$67:$G$326,A253),MAX(0, Inputs!$C$66 + Inputs!$C$67*L253 + Inputs!$C$68*(1-K253) + Inputs!$C$69*Inputs!$C$10)))</f>
        <v/>
      </c>
      <c r="E253">
        <f>IF(A253&gt;Inputs!$C$62,"",IF(Inputs!$C$80=1,INDEX(Cohorts!$H$67:$H$326,A253),D253*AD253))</f>
        <v/>
      </c>
      <c r="F253">
        <f>IF(A253&gt;Inputs!$C$62,"",IF(Inputs!$C$80=1,INDEX(Cohorts!$I$67:$I$326,A253),AD253-E253))</f>
        <v/>
      </c>
      <c r="G253">
        <f>IF(A253&gt;Inputs!$C$62,"",AD253)</f>
        <v/>
      </c>
      <c r="H253">
        <f>IF(A253&gt;Inputs!$C$62,"",INDEX(CapacityPlan!$E$7:$E$266,A253))</f>
        <v/>
      </c>
      <c r="I253">
        <f>IF(A253&gt;Inputs!$C$62,"",INDEX(CapacityPlan!$I$7:$I$266,A253))</f>
        <v/>
      </c>
      <c r="J253">
        <f>IF(A253&gt;Inputs!$C$62,"",IF(G253&gt;I253,I253,G253))</f>
        <v/>
      </c>
      <c r="K253">
        <f>IF(A253&gt;Inputs!$C$62,"",IF(G253=0,1,J253/G253))</f>
        <v/>
      </c>
      <c r="M253">
        <f>IF(A253&gt;Inputs!$C$62,"",J253*Inputs!$C$7*(1-Inputs!$C$8)*(1-L253))</f>
        <v/>
      </c>
      <c r="N253">
        <f>IF(A253&gt;Inputs!$C$62,"",J253*UnitEconomics!$B$32*AI253 + (G253-J253)*Inputs!$C$71)</f>
        <v/>
      </c>
      <c r="P253">
        <f>IF(A253&gt;Inputs!$C$62,"",Inputs!$C$40 + H253*Inputs!$C$41)</f>
        <v/>
      </c>
      <c r="R253">
        <f>IF(A253&gt;Inputs!$C$62,"",AD253*Inputs!$C$16*(Inputs!$C$9 + Inputs!$C$10*Inputs!$C$11 + Inputs!$C$12)*(1 + VLOOKUP(Inputs!$C$15,Lookups!$A$2:$B$20,2,TRUE)*(Scale!$B$9/IF(Scale!$B$8=0,1,Scale!$B$8)) + Inputs!$C$52))</f>
        <v/>
      </c>
      <c r="Y253">
        <f>IF(A253&gt;Inputs!$C$62,"",C253*AE253)</f>
        <v/>
      </c>
      <c r="AC253">
        <f>IF(AD253=0,0,R253/(AD253*Inputs!$C$16))</f>
        <v/>
      </c>
      <c r="AD253" s="53">
        <f>IF(A253&gt;Inputs!$C$62,"",B253+C253)</f>
        <v/>
      </c>
      <c r="AE253" s="56">
        <f>IF(A253&gt;Inputs!$C$62,"", Inputs!$C$65*(1+Inputs!$C$89*POWER(MIN(1,IF(Inputs!$C$88=0,0,B253/Inputs!$C$88)),Inputs!$C$90)))</f>
        <v/>
      </c>
      <c r="AF253" s="52">
        <f>IF(A253&gt;Inputs!$C$62,"",IF(A253=1,Inputs!$C$86,MIN(Inputs!$C$86,Inputs!$C$87*M252)))</f>
        <v/>
      </c>
      <c r="AG253" s="51">
        <f>IF(A253&gt;Inputs!$C$62,"",MIN(0.5,MAX(0, Inputs!$C$67*L253 + Inputs!$C$68*(1-K253) + Inputs!$C$69*Inputs!$C$10)))</f>
        <v/>
      </c>
      <c r="AH253" s="51">
        <f>IF(A253&gt;Inputs!$C$62,"",INDEX(CapacityPlan!$G$7:$G$266,A253))</f>
        <v/>
      </c>
      <c r="AI253" s="54">
        <f>IF(A253&gt;Inputs!$C$62,"",INDEX(CapacityPlan!$J$7:$J$266,A253))</f>
        <v/>
      </c>
      <c r="AJ253" s="51">
        <f>IF(A253&gt;Inputs!$C$62,"",IF(I253=0,"",G253/I253))</f>
        <v/>
      </c>
    </row>
    <row r="254">
      <c r="A254" s="15" t="n">
        <v>232</v>
      </c>
      <c r="B254">
        <f>IF(A254&gt;Inputs!$C$62,"",IF(Inputs!$C$80=1,INDEX(Cohorts!$B$67:$B$326,A254),IF(A254=1,Inputs!$C$63,F253)))</f>
        <v/>
      </c>
      <c r="C254">
        <f>IF(A254&gt;Inputs!$C$62,"",IF(Inputs!$C$85=0,Inputs!$C$64,MIN(Inputs!$C$91,IF(AE254=0,0,AF254/AE254))))</f>
        <v/>
      </c>
      <c r="D254">
        <f>IF(A254&gt;Inputs!$C$62,"",IF(Inputs!$C$80=1,INDEX(Cohorts!$G$67:$G$326,A254),MAX(0, Inputs!$C$66 + Inputs!$C$67*L254 + Inputs!$C$68*(1-K254) + Inputs!$C$69*Inputs!$C$10)))</f>
        <v/>
      </c>
      <c r="E254">
        <f>IF(A254&gt;Inputs!$C$62,"",IF(Inputs!$C$80=1,INDEX(Cohorts!$H$67:$H$326,A254),D254*AD254))</f>
        <v/>
      </c>
      <c r="F254">
        <f>IF(A254&gt;Inputs!$C$62,"",IF(Inputs!$C$80=1,INDEX(Cohorts!$I$67:$I$326,A254),AD254-E254))</f>
        <v/>
      </c>
      <c r="G254">
        <f>IF(A254&gt;Inputs!$C$62,"",AD254)</f>
        <v/>
      </c>
      <c r="H254">
        <f>IF(A254&gt;Inputs!$C$62,"",INDEX(CapacityPlan!$E$7:$E$266,A254))</f>
        <v/>
      </c>
      <c r="I254">
        <f>IF(A254&gt;Inputs!$C$62,"",INDEX(CapacityPlan!$I$7:$I$266,A254))</f>
        <v/>
      </c>
      <c r="J254">
        <f>IF(A254&gt;Inputs!$C$62,"",IF(G254&gt;I254,I254,G254))</f>
        <v/>
      </c>
      <c r="K254">
        <f>IF(A254&gt;Inputs!$C$62,"",IF(G254=0,1,J254/G254))</f>
        <v/>
      </c>
      <c r="M254">
        <f>IF(A254&gt;Inputs!$C$62,"",J254*Inputs!$C$7*(1-Inputs!$C$8)*(1-L254))</f>
        <v/>
      </c>
      <c r="N254">
        <f>IF(A254&gt;Inputs!$C$62,"",J254*UnitEconomics!$B$32*AI254 + (G254-J254)*Inputs!$C$71)</f>
        <v/>
      </c>
      <c r="P254">
        <f>IF(A254&gt;Inputs!$C$62,"",Inputs!$C$40 + H254*Inputs!$C$41)</f>
        <v/>
      </c>
      <c r="R254">
        <f>IF(A254&gt;Inputs!$C$62,"",AD254*Inputs!$C$16*(Inputs!$C$9 + Inputs!$C$10*Inputs!$C$11 + Inputs!$C$12)*(1 + VLOOKUP(Inputs!$C$15,Lookups!$A$2:$B$20,2,TRUE)*(Scale!$B$9/IF(Scale!$B$8=0,1,Scale!$B$8)) + Inputs!$C$52))</f>
        <v/>
      </c>
      <c r="Y254">
        <f>IF(A254&gt;Inputs!$C$62,"",C254*AE254)</f>
        <v/>
      </c>
      <c r="AC254">
        <f>IF(AD254=0,0,R254/(AD254*Inputs!$C$16))</f>
        <v/>
      </c>
      <c r="AD254" s="53">
        <f>IF(A254&gt;Inputs!$C$62,"",B254+C254)</f>
        <v/>
      </c>
      <c r="AE254" s="56">
        <f>IF(A254&gt;Inputs!$C$62,"", Inputs!$C$65*(1+Inputs!$C$89*POWER(MIN(1,IF(Inputs!$C$88=0,0,B254/Inputs!$C$88)),Inputs!$C$90)))</f>
        <v/>
      </c>
      <c r="AF254" s="52">
        <f>IF(A254&gt;Inputs!$C$62,"",IF(A254=1,Inputs!$C$86,MIN(Inputs!$C$86,Inputs!$C$87*M253)))</f>
        <v/>
      </c>
      <c r="AG254" s="51">
        <f>IF(A254&gt;Inputs!$C$62,"",MIN(0.5,MAX(0, Inputs!$C$67*L254 + Inputs!$C$68*(1-K254) + Inputs!$C$69*Inputs!$C$10)))</f>
        <v/>
      </c>
      <c r="AH254" s="51">
        <f>IF(A254&gt;Inputs!$C$62,"",INDEX(CapacityPlan!$G$7:$G$266,A254))</f>
        <v/>
      </c>
      <c r="AI254" s="54">
        <f>IF(A254&gt;Inputs!$C$62,"",INDEX(CapacityPlan!$J$7:$J$266,A254))</f>
        <v/>
      </c>
      <c r="AJ254" s="51">
        <f>IF(A254&gt;Inputs!$C$62,"",IF(I254=0,"",G254/I254))</f>
        <v/>
      </c>
    </row>
    <row r="255">
      <c r="A255" s="15" t="n">
        <v>233</v>
      </c>
      <c r="B255">
        <f>IF(A255&gt;Inputs!$C$62,"",IF(Inputs!$C$80=1,INDEX(Cohorts!$B$67:$B$326,A255),IF(A255=1,Inputs!$C$63,F254)))</f>
        <v/>
      </c>
      <c r="C255">
        <f>IF(A255&gt;Inputs!$C$62,"",IF(Inputs!$C$85=0,Inputs!$C$64,MIN(Inputs!$C$91,IF(AE255=0,0,AF255/AE255))))</f>
        <v/>
      </c>
      <c r="D255">
        <f>IF(A255&gt;Inputs!$C$62,"",IF(Inputs!$C$80=1,INDEX(Cohorts!$G$67:$G$326,A255),MAX(0, Inputs!$C$66 + Inputs!$C$67*L255 + Inputs!$C$68*(1-K255) + Inputs!$C$69*Inputs!$C$10)))</f>
        <v/>
      </c>
      <c r="E255">
        <f>IF(A255&gt;Inputs!$C$62,"",IF(Inputs!$C$80=1,INDEX(Cohorts!$H$67:$H$326,A255),D255*AD255))</f>
        <v/>
      </c>
      <c r="F255">
        <f>IF(A255&gt;Inputs!$C$62,"",IF(Inputs!$C$80=1,INDEX(Cohorts!$I$67:$I$326,A255),AD255-E255))</f>
        <v/>
      </c>
      <c r="G255">
        <f>IF(A255&gt;Inputs!$C$62,"",AD255)</f>
        <v/>
      </c>
      <c r="H255">
        <f>IF(A255&gt;Inputs!$C$62,"",INDEX(CapacityPlan!$E$7:$E$266,A255))</f>
        <v/>
      </c>
      <c r="I255">
        <f>IF(A255&gt;Inputs!$C$62,"",INDEX(CapacityPlan!$I$7:$I$266,A255))</f>
        <v/>
      </c>
      <c r="J255">
        <f>IF(A255&gt;Inputs!$C$62,"",IF(G255&gt;I255,I255,G255))</f>
        <v/>
      </c>
      <c r="K255">
        <f>IF(A255&gt;Inputs!$C$62,"",IF(G255=0,1,J255/G255))</f>
        <v/>
      </c>
      <c r="M255">
        <f>IF(A255&gt;Inputs!$C$62,"",J255*Inputs!$C$7*(1-Inputs!$C$8)*(1-L255))</f>
        <v/>
      </c>
      <c r="N255">
        <f>IF(A255&gt;Inputs!$C$62,"",J255*UnitEconomics!$B$32*AI255 + (G255-J255)*Inputs!$C$71)</f>
        <v/>
      </c>
      <c r="P255">
        <f>IF(A255&gt;Inputs!$C$62,"",Inputs!$C$40 + H255*Inputs!$C$41)</f>
        <v/>
      </c>
      <c r="R255">
        <f>IF(A255&gt;Inputs!$C$62,"",AD255*Inputs!$C$16*(Inputs!$C$9 + Inputs!$C$10*Inputs!$C$11 + Inputs!$C$12)*(1 + VLOOKUP(Inputs!$C$15,Lookups!$A$2:$B$20,2,TRUE)*(Scale!$B$9/IF(Scale!$B$8=0,1,Scale!$B$8)) + Inputs!$C$52))</f>
        <v/>
      </c>
      <c r="Y255">
        <f>IF(A255&gt;Inputs!$C$62,"",C255*AE255)</f>
        <v/>
      </c>
      <c r="AC255">
        <f>IF(AD255=0,0,R255/(AD255*Inputs!$C$16))</f>
        <v/>
      </c>
      <c r="AD255" s="53">
        <f>IF(A255&gt;Inputs!$C$62,"",B255+C255)</f>
        <v/>
      </c>
      <c r="AE255" s="56">
        <f>IF(A255&gt;Inputs!$C$62,"", Inputs!$C$65*(1+Inputs!$C$89*POWER(MIN(1,IF(Inputs!$C$88=0,0,B255/Inputs!$C$88)),Inputs!$C$90)))</f>
        <v/>
      </c>
      <c r="AF255" s="52">
        <f>IF(A255&gt;Inputs!$C$62,"",IF(A255=1,Inputs!$C$86,MIN(Inputs!$C$86,Inputs!$C$87*M254)))</f>
        <v/>
      </c>
      <c r="AG255" s="51">
        <f>IF(A255&gt;Inputs!$C$62,"",MIN(0.5,MAX(0, Inputs!$C$67*L255 + Inputs!$C$68*(1-K255) + Inputs!$C$69*Inputs!$C$10)))</f>
        <v/>
      </c>
      <c r="AH255" s="51">
        <f>IF(A255&gt;Inputs!$C$62,"",INDEX(CapacityPlan!$G$7:$G$266,A255))</f>
        <v/>
      </c>
      <c r="AI255" s="54">
        <f>IF(A255&gt;Inputs!$C$62,"",INDEX(CapacityPlan!$J$7:$J$266,A255))</f>
        <v/>
      </c>
      <c r="AJ255" s="51">
        <f>IF(A255&gt;Inputs!$C$62,"",IF(I255=0,"",G255/I255))</f>
        <v/>
      </c>
    </row>
    <row r="256">
      <c r="A256" s="15" t="n">
        <v>234</v>
      </c>
      <c r="B256">
        <f>IF(A256&gt;Inputs!$C$62,"",IF(Inputs!$C$80=1,INDEX(Cohorts!$B$67:$B$326,A256),IF(A256=1,Inputs!$C$63,F255)))</f>
        <v/>
      </c>
      <c r="C256">
        <f>IF(A256&gt;Inputs!$C$62,"",IF(Inputs!$C$85=0,Inputs!$C$64,MIN(Inputs!$C$91,IF(AE256=0,0,AF256/AE256))))</f>
        <v/>
      </c>
      <c r="D256">
        <f>IF(A256&gt;Inputs!$C$62,"",IF(Inputs!$C$80=1,INDEX(Cohorts!$G$67:$G$326,A256),MAX(0, Inputs!$C$66 + Inputs!$C$67*L256 + Inputs!$C$68*(1-K256) + Inputs!$C$69*Inputs!$C$10)))</f>
        <v/>
      </c>
      <c r="E256">
        <f>IF(A256&gt;Inputs!$C$62,"",IF(Inputs!$C$80=1,INDEX(Cohorts!$H$67:$H$326,A256),D256*AD256))</f>
        <v/>
      </c>
      <c r="F256">
        <f>IF(A256&gt;Inputs!$C$62,"",IF(Inputs!$C$80=1,INDEX(Cohorts!$I$67:$I$326,A256),AD256-E256))</f>
        <v/>
      </c>
      <c r="G256">
        <f>IF(A256&gt;Inputs!$C$62,"",AD256)</f>
        <v/>
      </c>
      <c r="H256">
        <f>IF(A256&gt;Inputs!$C$62,"",INDEX(CapacityPlan!$E$7:$E$266,A256))</f>
        <v/>
      </c>
      <c r="I256">
        <f>IF(A256&gt;Inputs!$C$62,"",INDEX(CapacityPlan!$I$7:$I$266,A256))</f>
        <v/>
      </c>
      <c r="J256">
        <f>IF(A256&gt;Inputs!$C$62,"",IF(G256&gt;I256,I256,G256))</f>
        <v/>
      </c>
      <c r="K256">
        <f>IF(A256&gt;Inputs!$C$62,"",IF(G256=0,1,J256/G256))</f>
        <v/>
      </c>
      <c r="M256">
        <f>IF(A256&gt;Inputs!$C$62,"",J256*Inputs!$C$7*(1-Inputs!$C$8)*(1-L256))</f>
        <v/>
      </c>
      <c r="N256">
        <f>IF(A256&gt;Inputs!$C$62,"",J256*UnitEconomics!$B$32*AI256 + (G256-J256)*Inputs!$C$71)</f>
        <v/>
      </c>
      <c r="P256">
        <f>IF(A256&gt;Inputs!$C$62,"",Inputs!$C$40 + H256*Inputs!$C$41)</f>
        <v/>
      </c>
      <c r="R256">
        <f>IF(A256&gt;Inputs!$C$62,"",AD256*Inputs!$C$16*(Inputs!$C$9 + Inputs!$C$10*Inputs!$C$11 + Inputs!$C$12)*(1 + VLOOKUP(Inputs!$C$15,Lookups!$A$2:$B$20,2,TRUE)*(Scale!$B$9/IF(Scale!$B$8=0,1,Scale!$B$8)) + Inputs!$C$52))</f>
        <v/>
      </c>
      <c r="Y256">
        <f>IF(A256&gt;Inputs!$C$62,"",C256*AE256)</f>
        <v/>
      </c>
      <c r="AC256">
        <f>IF(AD256=0,0,R256/(AD256*Inputs!$C$16))</f>
        <v/>
      </c>
      <c r="AD256" s="53">
        <f>IF(A256&gt;Inputs!$C$62,"",B256+C256)</f>
        <v/>
      </c>
      <c r="AE256" s="56">
        <f>IF(A256&gt;Inputs!$C$62,"", Inputs!$C$65*(1+Inputs!$C$89*POWER(MIN(1,IF(Inputs!$C$88=0,0,B256/Inputs!$C$88)),Inputs!$C$90)))</f>
        <v/>
      </c>
      <c r="AF256" s="52">
        <f>IF(A256&gt;Inputs!$C$62,"",IF(A256=1,Inputs!$C$86,MIN(Inputs!$C$86,Inputs!$C$87*M255)))</f>
        <v/>
      </c>
      <c r="AG256" s="51">
        <f>IF(A256&gt;Inputs!$C$62,"",MIN(0.5,MAX(0, Inputs!$C$67*L256 + Inputs!$C$68*(1-K256) + Inputs!$C$69*Inputs!$C$10)))</f>
        <v/>
      </c>
      <c r="AH256" s="51">
        <f>IF(A256&gt;Inputs!$C$62,"",INDEX(CapacityPlan!$G$7:$G$266,A256))</f>
        <v/>
      </c>
      <c r="AI256" s="54">
        <f>IF(A256&gt;Inputs!$C$62,"",INDEX(CapacityPlan!$J$7:$J$266,A256))</f>
        <v/>
      </c>
      <c r="AJ256" s="51">
        <f>IF(A256&gt;Inputs!$C$62,"",IF(I256=0,"",G256/I256))</f>
        <v/>
      </c>
    </row>
    <row r="257">
      <c r="A257" s="15" t="n">
        <v>235</v>
      </c>
      <c r="B257">
        <f>IF(A257&gt;Inputs!$C$62,"",IF(Inputs!$C$80=1,INDEX(Cohorts!$B$67:$B$326,A257),IF(A257=1,Inputs!$C$63,F256)))</f>
        <v/>
      </c>
      <c r="C257">
        <f>IF(A257&gt;Inputs!$C$62,"",IF(Inputs!$C$85=0,Inputs!$C$64,MIN(Inputs!$C$91,IF(AE257=0,0,AF257/AE257))))</f>
        <v/>
      </c>
      <c r="D257">
        <f>IF(A257&gt;Inputs!$C$62,"",IF(Inputs!$C$80=1,INDEX(Cohorts!$G$67:$G$326,A257),MAX(0, Inputs!$C$66 + Inputs!$C$67*L257 + Inputs!$C$68*(1-K257) + Inputs!$C$69*Inputs!$C$10)))</f>
        <v/>
      </c>
      <c r="E257">
        <f>IF(A257&gt;Inputs!$C$62,"",IF(Inputs!$C$80=1,INDEX(Cohorts!$H$67:$H$326,A257),D257*AD257))</f>
        <v/>
      </c>
      <c r="F257">
        <f>IF(A257&gt;Inputs!$C$62,"",IF(Inputs!$C$80=1,INDEX(Cohorts!$I$67:$I$326,A257),AD257-E257))</f>
        <v/>
      </c>
      <c r="G257">
        <f>IF(A257&gt;Inputs!$C$62,"",AD257)</f>
        <v/>
      </c>
      <c r="H257">
        <f>IF(A257&gt;Inputs!$C$62,"",INDEX(CapacityPlan!$E$7:$E$266,A257))</f>
        <v/>
      </c>
      <c r="I257">
        <f>IF(A257&gt;Inputs!$C$62,"",INDEX(CapacityPlan!$I$7:$I$266,A257))</f>
        <v/>
      </c>
      <c r="J257">
        <f>IF(A257&gt;Inputs!$C$62,"",IF(G257&gt;I257,I257,G257))</f>
        <v/>
      </c>
      <c r="K257">
        <f>IF(A257&gt;Inputs!$C$62,"",IF(G257=0,1,J257/G257))</f>
        <v/>
      </c>
      <c r="M257">
        <f>IF(A257&gt;Inputs!$C$62,"",J257*Inputs!$C$7*(1-Inputs!$C$8)*(1-L257))</f>
        <v/>
      </c>
      <c r="N257">
        <f>IF(A257&gt;Inputs!$C$62,"",J257*UnitEconomics!$B$32*AI257 + (G257-J257)*Inputs!$C$71)</f>
        <v/>
      </c>
      <c r="P257">
        <f>IF(A257&gt;Inputs!$C$62,"",Inputs!$C$40 + H257*Inputs!$C$41)</f>
        <v/>
      </c>
      <c r="R257">
        <f>IF(A257&gt;Inputs!$C$62,"",AD257*Inputs!$C$16*(Inputs!$C$9 + Inputs!$C$10*Inputs!$C$11 + Inputs!$C$12)*(1 + VLOOKUP(Inputs!$C$15,Lookups!$A$2:$B$20,2,TRUE)*(Scale!$B$9/IF(Scale!$B$8=0,1,Scale!$B$8)) + Inputs!$C$52))</f>
        <v/>
      </c>
      <c r="Y257">
        <f>IF(A257&gt;Inputs!$C$62,"",C257*AE257)</f>
        <v/>
      </c>
      <c r="AC257">
        <f>IF(AD257=0,0,R257/(AD257*Inputs!$C$16))</f>
        <v/>
      </c>
      <c r="AD257" s="53">
        <f>IF(A257&gt;Inputs!$C$62,"",B257+C257)</f>
        <v/>
      </c>
      <c r="AE257" s="56">
        <f>IF(A257&gt;Inputs!$C$62,"", Inputs!$C$65*(1+Inputs!$C$89*POWER(MIN(1,IF(Inputs!$C$88=0,0,B257/Inputs!$C$88)),Inputs!$C$90)))</f>
        <v/>
      </c>
      <c r="AF257" s="52">
        <f>IF(A257&gt;Inputs!$C$62,"",IF(A257=1,Inputs!$C$86,MIN(Inputs!$C$86,Inputs!$C$87*M256)))</f>
        <v/>
      </c>
      <c r="AG257" s="51">
        <f>IF(A257&gt;Inputs!$C$62,"",MIN(0.5,MAX(0, Inputs!$C$67*L257 + Inputs!$C$68*(1-K257) + Inputs!$C$69*Inputs!$C$10)))</f>
        <v/>
      </c>
      <c r="AH257" s="51">
        <f>IF(A257&gt;Inputs!$C$62,"",INDEX(CapacityPlan!$G$7:$G$266,A257))</f>
        <v/>
      </c>
      <c r="AI257" s="54">
        <f>IF(A257&gt;Inputs!$C$62,"",INDEX(CapacityPlan!$J$7:$J$266,A257))</f>
        <v/>
      </c>
      <c r="AJ257" s="51">
        <f>IF(A257&gt;Inputs!$C$62,"",IF(I257=0,"",G257/I257))</f>
        <v/>
      </c>
    </row>
    <row r="258">
      <c r="A258" s="15" t="n">
        <v>236</v>
      </c>
      <c r="B258">
        <f>IF(A258&gt;Inputs!$C$62,"",IF(Inputs!$C$80=1,INDEX(Cohorts!$B$67:$B$326,A258),IF(A258=1,Inputs!$C$63,F257)))</f>
        <v/>
      </c>
      <c r="C258">
        <f>IF(A258&gt;Inputs!$C$62,"",IF(Inputs!$C$85=0,Inputs!$C$64,MIN(Inputs!$C$91,IF(AE258=0,0,AF258/AE258))))</f>
        <v/>
      </c>
      <c r="D258">
        <f>IF(A258&gt;Inputs!$C$62,"",IF(Inputs!$C$80=1,INDEX(Cohorts!$G$67:$G$326,A258),MAX(0, Inputs!$C$66 + Inputs!$C$67*L258 + Inputs!$C$68*(1-K258) + Inputs!$C$69*Inputs!$C$10)))</f>
        <v/>
      </c>
      <c r="E258">
        <f>IF(A258&gt;Inputs!$C$62,"",IF(Inputs!$C$80=1,INDEX(Cohorts!$H$67:$H$326,A258),D258*AD258))</f>
        <v/>
      </c>
      <c r="F258">
        <f>IF(A258&gt;Inputs!$C$62,"",IF(Inputs!$C$80=1,INDEX(Cohorts!$I$67:$I$326,A258),AD258-E258))</f>
        <v/>
      </c>
      <c r="G258">
        <f>IF(A258&gt;Inputs!$C$62,"",AD258)</f>
        <v/>
      </c>
      <c r="H258">
        <f>IF(A258&gt;Inputs!$C$62,"",INDEX(CapacityPlan!$E$7:$E$266,A258))</f>
        <v/>
      </c>
      <c r="I258">
        <f>IF(A258&gt;Inputs!$C$62,"",INDEX(CapacityPlan!$I$7:$I$266,A258))</f>
        <v/>
      </c>
      <c r="J258">
        <f>IF(A258&gt;Inputs!$C$62,"",IF(G258&gt;I258,I258,G258))</f>
        <v/>
      </c>
      <c r="K258">
        <f>IF(A258&gt;Inputs!$C$62,"",IF(G258=0,1,J258/G258))</f>
        <v/>
      </c>
      <c r="M258">
        <f>IF(A258&gt;Inputs!$C$62,"",J258*Inputs!$C$7*(1-Inputs!$C$8)*(1-L258))</f>
        <v/>
      </c>
      <c r="N258">
        <f>IF(A258&gt;Inputs!$C$62,"",J258*UnitEconomics!$B$32*AI258 + (G258-J258)*Inputs!$C$71)</f>
        <v/>
      </c>
      <c r="P258">
        <f>IF(A258&gt;Inputs!$C$62,"",Inputs!$C$40 + H258*Inputs!$C$41)</f>
        <v/>
      </c>
      <c r="R258">
        <f>IF(A258&gt;Inputs!$C$62,"",AD258*Inputs!$C$16*(Inputs!$C$9 + Inputs!$C$10*Inputs!$C$11 + Inputs!$C$12)*(1 + VLOOKUP(Inputs!$C$15,Lookups!$A$2:$B$20,2,TRUE)*(Scale!$B$9/IF(Scale!$B$8=0,1,Scale!$B$8)) + Inputs!$C$52))</f>
        <v/>
      </c>
      <c r="Y258">
        <f>IF(A258&gt;Inputs!$C$62,"",C258*AE258)</f>
        <v/>
      </c>
      <c r="AC258">
        <f>IF(AD258=0,0,R258/(AD258*Inputs!$C$16))</f>
        <v/>
      </c>
      <c r="AD258" s="53">
        <f>IF(A258&gt;Inputs!$C$62,"",B258+C258)</f>
        <v/>
      </c>
      <c r="AE258" s="56">
        <f>IF(A258&gt;Inputs!$C$62,"", Inputs!$C$65*(1+Inputs!$C$89*POWER(MIN(1,IF(Inputs!$C$88=0,0,B258/Inputs!$C$88)),Inputs!$C$90)))</f>
        <v/>
      </c>
      <c r="AF258" s="52">
        <f>IF(A258&gt;Inputs!$C$62,"",IF(A258=1,Inputs!$C$86,MIN(Inputs!$C$86,Inputs!$C$87*M257)))</f>
        <v/>
      </c>
      <c r="AG258" s="51">
        <f>IF(A258&gt;Inputs!$C$62,"",MIN(0.5,MAX(0, Inputs!$C$67*L258 + Inputs!$C$68*(1-K258) + Inputs!$C$69*Inputs!$C$10)))</f>
        <v/>
      </c>
      <c r="AH258" s="51">
        <f>IF(A258&gt;Inputs!$C$62,"",INDEX(CapacityPlan!$G$7:$G$266,A258))</f>
        <v/>
      </c>
      <c r="AI258" s="54">
        <f>IF(A258&gt;Inputs!$C$62,"",INDEX(CapacityPlan!$J$7:$J$266,A258))</f>
        <v/>
      </c>
      <c r="AJ258" s="51">
        <f>IF(A258&gt;Inputs!$C$62,"",IF(I258=0,"",G258/I258))</f>
        <v/>
      </c>
    </row>
    <row r="259">
      <c r="A259" s="15" t="n">
        <v>237</v>
      </c>
      <c r="B259">
        <f>IF(A259&gt;Inputs!$C$62,"",IF(Inputs!$C$80=1,INDEX(Cohorts!$B$67:$B$326,A259),IF(A259=1,Inputs!$C$63,F258)))</f>
        <v/>
      </c>
      <c r="C259">
        <f>IF(A259&gt;Inputs!$C$62,"",IF(Inputs!$C$85=0,Inputs!$C$64,MIN(Inputs!$C$91,IF(AE259=0,0,AF259/AE259))))</f>
        <v/>
      </c>
      <c r="D259">
        <f>IF(A259&gt;Inputs!$C$62,"",IF(Inputs!$C$80=1,INDEX(Cohorts!$G$67:$G$326,A259),MAX(0, Inputs!$C$66 + Inputs!$C$67*L259 + Inputs!$C$68*(1-K259) + Inputs!$C$69*Inputs!$C$10)))</f>
        <v/>
      </c>
      <c r="E259">
        <f>IF(A259&gt;Inputs!$C$62,"",IF(Inputs!$C$80=1,INDEX(Cohorts!$H$67:$H$326,A259),D259*AD259))</f>
        <v/>
      </c>
      <c r="F259">
        <f>IF(A259&gt;Inputs!$C$62,"",IF(Inputs!$C$80=1,INDEX(Cohorts!$I$67:$I$326,A259),AD259-E259))</f>
        <v/>
      </c>
      <c r="G259">
        <f>IF(A259&gt;Inputs!$C$62,"",AD259)</f>
        <v/>
      </c>
      <c r="H259">
        <f>IF(A259&gt;Inputs!$C$62,"",INDEX(CapacityPlan!$E$7:$E$266,A259))</f>
        <v/>
      </c>
      <c r="I259">
        <f>IF(A259&gt;Inputs!$C$62,"",INDEX(CapacityPlan!$I$7:$I$266,A259))</f>
        <v/>
      </c>
      <c r="J259">
        <f>IF(A259&gt;Inputs!$C$62,"",IF(G259&gt;I259,I259,G259))</f>
        <v/>
      </c>
      <c r="K259">
        <f>IF(A259&gt;Inputs!$C$62,"",IF(G259=0,1,J259/G259))</f>
        <v/>
      </c>
      <c r="M259">
        <f>IF(A259&gt;Inputs!$C$62,"",J259*Inputs!$C$7*(1-Inputs!$C$8)*(1-L259))</f>
        <v/>
      </c>
      <c r="N259">
        <f>IF(A259&gt;Inputs!$C$62,"",J259*UnitEconomics!$B$32*AI259 + (G259-J259)*Inputs!$C$71)</f>
        <v/>
      </c>
      <c r="P259">
        <f>IF(A259&gt;Inputs!$C$62,"",Inputs!$C$40 + H259*Inputs!$C$41)</f>
        <v/>
      </c>
      <c r="R259">
        <f>IF(A259&gt;Inputs!$C$62,"",AD259*Inputs!$C$16*(Inputs!$C$9 + Inputs!$C$10*Inputs!$C$11 + Inputs!$C$12)*(1 + VLOOKUP(Inputs!$C$15,Lookups!$A$2:$B$20,2,TRUE)*(Scale!$B$9/IF(Scale!$B$8=0,1,Scale!$B$8)) + Inputs!$C$52))</f>
        <v/>
      </c>
      <c r="Y259">
        <f>IF(A259&gt;Inputs!$C$62,"",C259*AE259)</f>
        <v/>
      </c>
      <c r="AC259">
        <f>IF(AD259=0,0,R259/(AD259*Inputs!$C$16))</f>
        <v/>
      </c>
      <c r="AD259" s="53">
        <f>IF(A259&gt;Inputs!$C$62,"",B259+C259)</f>
        <v/>
      </c>
      <c r="AE259" s="56">
        <f>IF(A259&gt;Inputs!$C$62,"", Inputs!$C$65*(1+Inputs!$C$89*POWER(MIN(1,IF(Inputs!$C$88=0,0,B259/Inputs!$C$88)),Inputs!$C$90)))</f>
        <v/>
      </c>
      <c r="AF259" s="52">
        <f>IF(A259&gt;Inputs!$C$62,"",IF(A259=1,Inputs!$C$86,MIN(Inputs!$C$86,Inputs!$C$87*M258)))</f>
        <v/>
      </c>
      <c r="AG259" s="51">
        <f>IF(A259&gt;Inputs!$C$62,"",MIN(0.5,MAX(0, Inputs!$C$67*L259 + Inputs!$C$68*(1-K259) + Inputs!$C$69*Inputs!$C$10)))</f>
        <v/>
      </c>
      <c r="AH259" s="51">
        <f>IF(A259&gt;Inputs!$C$62,"",INDEX(CapacityPlan!$G$7:$G$266,A259))</f>
        <v/>
      </c>
      <c r="AI259" s="54">
        <f>IF(A259&gt;Inputs!$C$62,"",INDEX(CapacityPlan!$J$7:$J$266,A259))</f>
        <v/>
      </c>
      <c r="AJ259" s="51">
        <f>IF(A259&gt;Inputs!$C$62,"",IF(I259=0,"",G259/I259))</f>
        <v/>
      </c>
    </row>
    <row r="260">
      <c r="A260" s="15" t="n">
        <v>238</v>
      </c>
      <c r="B260">
        <f>IF(A260&gt;Inputs!$C$62,"",IF(Inputs!$C$80=1,INDEX(Cohorts!$B$67:$B$326,A260),IF(A260=1,Inputs!$C$63,F259)))</f>
        <v/>
      </c>
      <c r="C260">
        <f>IF(A260&gt;Inputs!$C$62,"",IF(Inputs!$C$85=0,Inputs!$C$64,MIN(Inputs!$C$91,IF(AE260=0,0,AF260/AE260))))</f>
        <v/>
      </c>
      <c r="D260">
        <f>IF(A260&gt;Inputs!$C$62,"",IF(Inputs!$C$80=1,INDEX(Cohorts!$G$67:$G$326,A260),MAX(0, Inputs!$C$66 + Inputs!$C$67*L260 + Inputs!$C$68*(1-K260) + Inputs!$C$69*Inputs!$C$10)))</f>
        <v/>
      </c>
      <c r="E260">
        <f>IF(A260&gt;Inputs!$C$62,"",IF(Inputs!$C$80=1,INDEX(Cohorts!$H$67:$H$326,A260),D260*AD260))</f>
        <v/>
      </c>
      <c r="F260">
        <f>IF(A260&gt;Inputs!$C$62,"",IF(Inputs!$C$80=1,INDEX(Cohorts!$I$67:$I$326,A260),AD260-E260))</f>
        <v/>
      </c>
      <c r="G260">
        <f>IF(A260&gt;Inputs!$C$62,"",AD260)</f>
        <v/>
      </c>
      <c r="H260">
        <f>IF(A260&gt;Inputs!$C$62,"",INDEX(CapacityPlan!$E$7:$E$266,A260))</f>
        <v/>
      </c>
      <c r="I260">
        <f>IF(A260&gt;Inputs!$C$62,"",INDEX(CapacityPlan!$I$7:$I$266,A260))</f>
        <v/>
      </c>
      <c r="J260">
        <f>IF(A260&gt;Inputs!$C$62,"",IF(G260&gt;I260,I260,G260))</f>
        <v/>
      </c>
      <c r="K260">
        <f>IF(A260&gt;Inputs!$C$62,"",IF(G260=0,1,J260/G260))</f>
        <v/>
      </c>
      <c r="M260">
        <f>IF(A260&gt;Inputs!$C$62,"",J260*Inputs!$C$7*(1-Inputs!$C$8)*(1-L260))</f>
        <v/>
      </c>
      <c r="N260">
        <f>IF(A260&gt;Inputs!$C$62,"",J260*UnitEconomics!$B$32*AI260 + (G260-J260)*Inputs!$C$71)</f>
        <v/>
      </c>
      <c r="P260">
        <f>IF(A260&gt;Inputs!$C$62,"",Inputs!$C$40 + H260*Inputs!$C$41)</f>
        <v/>
      </c>
      <c r="R260">
        <f>IF(A260&gt;Inputs!$C$62,"",AD260*Inputs!$C$16*(Inputs!$C$9 + Inputs!$C$10*Inputs!$C$11 + Inputs!$C$12)*(1 + VLOOKUP(Inputs!$C$15,Lookups!$A$2:$B$20,2,TRUE)*(Scale!$B$9/IF(Scale!$B$8=0,1,Scale!$B$8)) + Inputs!$C$52))</f>
        <v/>
      </c>
      <c r="Y260">
        <f>IF(A260&gt;Inputs!$C$62,"",C260*AE260)</f>
        <v/>
      </c>
      <c r="AC260">
        <f>IF(AD260=0,0,R260/(AD260*Inputs!$C$16))</f>
        <v/>
      </c>
      <c r="AD260" s="53">
        <f>IF(A260&gt;Inputs!$C$62,"",B260+C260)</f>
        <v/>
      </c>
      <c r="AE260" s="56">
        <f>IF(A260&gt;Inputs!$C$62,"", Inputs!$C$65*(1+Inputs!$C$89*POWER(MIN(1,IF(Inputs!$C$88=0,0,B260/Inputs!$C$88)),Inputs!$C$90)))</f>
        <v/>
      </c>
      <c r="AF260" s="52">
        <f>IF(A260&gt;Inputs!$C$62,"",IF(A260=1,Inputs!$C$86,MIN(Inputs!$C$86,Inputs!$C$87*M259)))</f>
        <v/>
      </c>
      <c r="AG260" s="51">
        <f>IF(A260&gt;Inputs!$C$62,"",MIN(0.5,MAX(0, Inputs!$C$67*L260 + Inputs!$C$68*(1-K260) + Inputs!$C$69*Inputs!$C$10)))</f>
        <v/>
      </c>
      <c r="AH260" s="51">
        <f>IF(A260&gt;Inputs!$C$62,"",INDEX(CapacityPlan!$G$7:$G$266,A260))</f>
        <v/>
      </c>
      <c r="AI260" s="54">
        <f>IF(A260&gt;Inputs!$C$62,"",INDEX(CapacityPlan!$J$7:$J$266,A260))</f>
        <v/>
      </c>
      <c r="AJ260" s="51">
        <f>IF(A260&gt;Inputs!$C$62,"",IF(I260=0,"",G260/I260))</f>
        <v/>
      </c>
    </row>
    <row r="261">
      <c r="A261" s="15" t="n">
        <v>239</v>
      </c>
      <c r="B261">
        <f>IF(A261&gt;Inputs!$C$62,"",IF(Inputs!$C$80=1,INDEX(Cohorts!$B$67:$B$326,A261),IF(A261=1,Inputs!$C$63,F260)))</f>
        <v/>
      </c>
      <c r="C261">
        <f>IF(A261&gt;Inputs!$C$62,"",IF(Inputs!$C$85=0,Inputs!$C$64,MIN(Inputs!$C$91,IF(AE261=0,0,AF261/AE261))))</f>
        <v/>
      </c>
      <c r="D261">
        <f>IF(A261&gt;Inputs!$C$62,"",IF(Inputs!$C$80=1,INDEX(Cohorts!$G$67:$G$326,A261),MAX(0, Inputs!$C$66 + Inputs!$C$67*L261 + Inputs!$C$68*(1-K261) + Inputs!$C$69*Inputs!$C$10)))</f>
        <v/>
      </c>
      <c r="E261">
        <f>IF(A261&gt;Inputs!$C$62,"",IF(Inputs!$C$80=1,INDEX(Cohorts!$H$67:$H$326,A261),D261*AD261))</f>
        <v/>
      </c>
      <c r="F261">
        <f>IF(A261&gt;Inputs!$C$62,"",IF(Inputs!$C$80=1,INDEX(Cohorts!$I$67:$I$326,A261),AD261-E261))</f>
        <v/>
      </c>
      <c r="G261">
        <f>IF(A261&gt;Inputs!$C$62,"",AD261)</f>
        <v/>
      </c>
      <c r="H261">
        <f>IF(A261&gt;Inputs!$C$62,"",INDEX(CapacityPlan!$E$7:$E$266,A261))</f>
        <v/>
      </c>
      <c r="I261">
        <f>IF(A261&gt;Inputs!$C$62,"",INDEX(CapacityPlan!$I$7:$I$266,A261))</f>
        <v/>
      </c>
      <c r="J261">
        <f>IF(A261&gt;Inputs!$C$62,"",IF(G261&gt;I261,I261,G261))</f>
        <v/>
      </c>
      <c r="K261">
        <f>IF(A261&gt;Inputs!$C$62,"",IF(G261=0,1,J261/G261))</f>
        <v/>
      </c>
      <c r="M261">
        <f>IF(A261&gt;Inputs!$C$62,"",J261*Inputs!$C$7*(1-Inputs!$C$8)*(1-L261))</f>
        <v/>
      </c>
      <c r="N261">
        <f>IF(A261&gt;Inputs!$C$62,"",J261*UnitEconomics!$B$32*AI261 + (G261-J261)*Inputs!$C$71)</f>
        <v/>
      </c>
      <c r="P261">
        <f>IF(A261&gt;Inputs!$C$62,"",Inputs!$C$40 + H261*Inputs!$C$41)</f>
        <v/>
      </c>
      <c r="R261">
        <f>IF(A261&gt;Inputs!$C$62,"",AD261*Inputs!$C$16*(Inputs!$C$9 + Inputs!$C$10*Inputs!$C$11 + Inputs!$C$12)*(1 + VLOOKUP(Inputs!$C$15,Lookups!$A$2:$B$20,2,TRUE)*(Scale!$B$9/IF(Scale!$B$8=0,1,Scale!$B$8)) + Inputs!$C$52))</f>
        <v/>
      </c>
      <c r="Y261">
        <f>IF(A261&gt;Inputs!$C$62,"",C261*AE261)</f>
        <v/>
      </c>
      <c r="AC261">
        <f>IF(AD261=0,0,R261/(AD261*Inputs!$C$16))</f>
        <v/>
      </c>
      <c r="AD261" s="53">
        <f>IF(A261&gt;Inputs!$C$62,"",B261+C261)</f>
        <v/>
      </c>
      <c r="AE261" s="56">
        <f>IF(A261&gt;Inputs!$C$62,"", Inputs!$C$65*(1+Inputs!$C$89*POWER(MIN(1,IF(Inputs!$C$88=0,0,B261/Inputs!$C$88)),Inputs!$C$90)))</f>
        <v/>
      </c>
      <c r="AF261" s="52">
        <f>IF(A261&gt;Inputs!$C$62,"",IF(A261=1,Inputs!$C$86,MIN(Inputs!$C$86,Inputs!$C$87*M260)))</f>
        <v/>
      </c>
      <c r="AG261" s="51">
        <f>IF(A261&gt;Inputs!$C$62,"",MIN(0.5,MAX(0, Inputs!$C$67*L261 + Inputs!$C$68*(1-K261) + Inputs!$C$69*Inputs!$C$10)))</f>
        <v/>
      </c>
      <c r="AH261" s="51">
        <f>IF(A261&gt;Inputs!$C$62,"",INDEX(CapacityPlan!$G$7:$G$266,A261))</f>
        <v/>
      </c>
      <c r="AI261" s="54">
        <f>IF(A261&gt;Inputs!$C$62,"",INDEX(CapacityPlan!$J$7:$J$266,A261))</f>
        <v/>
      </c>
      <c r="AJ261" s="51">
        <f>IF(A261&gt;Inputs!$C$62,"",IF(I261=0,"",G261/I261))</f>
        <v/>
      </c>
    </row>
    <row r="262">
      <c r="A262" s="15" t="n">
        <v>240</v>
      </c>
      <c r="B262">
        <f>IF(A262&gt;Inputs!$C$62,"",IF(Inputs!$C$80=1,INDEX(Cohorts!$B$67:$B$326,A262),IF(A262=1,Inputs!$C$63,F261)))</f>
        <v/>
      </c>
      <c r="C262">
        <f>IF(A262&gt;Inputs!$C$62,"",IF(Inputs!$C$85=0,Inputs!$C$64,MIN(Inputs!$C$91,IF(AE262=0,0,AF262/AE262))))</f>
        <v/>
      </c>
      <c r="D262">
        <f>IF(A262&gt;Inputs!$C$62,"",IF(Inputs!$C$80=1,INDEX(Cohorts!$G$67:$G$326,A262),MAX(0, Inputs!$C$66 + Inputs!$C$67*L262 + Inputs!$C$68*(1-K262) + Inputs!$C$69*Inputs!$C$10)))</f>
        <v/>
      </c>
      <c r="E262">
        <f>IF(A262&gt;Inputs!$C$62,"",IF(Inputs!$C$80=1,INDEX(Cohorts!$H$67:$H$326,A262),D262*AD262))</f>
        <v/>
      </c>
      <c r="F262">
        <f>IF(A262&gt;Inputs!$C$62,"",IF(Inputs!$C$80=1,INDEX(Cohorts!$I$67:$I$326,A262),AD262-E262))</f>
        <v/>
      </c>
      <c r="G262">
        <f>IF(A262&gt;Inputs!$C$62,"",AD262)</f>
        <v/>
      </c>
      <c r="H262">
        <f>IF(A262&gt;Inputs!$C$62,"",INDEX(CapacityPlan!$E$7:$E$266,A262))</f>
        <v/>
      </c>
      <c r="I262">
        <f>IF(A262&gt;Inputs!$C$62,"",INDEX(CapacityPlan!$I$7:$I$266,A262))</f>
        <v/>
      </c>
      <c r="J262">
        <f>IF(A262&gt;Inputs!$C$62,"",IF(G262&gt;I262,I262,G262))</f>
        <v/>
      </c>
      <c r="K262">
        <f>IF(A262&gt;Inputs!$C$62,"",IF(G262=0,1,J262/G262))</f>
        <v/>
      </c>
      <c r="M262">
        <f>IF(A262&gt;Inputs!$C$62,"",J262*Inputs!$C$7*(1-Inputs!$C$8)*(1-L262))</f>
        <v/>
      </c>
      <c r="N262">
        <f>IF(A262&gt;Inputs!$C$62,"",J262*UnitEconomics!$B$32*AI262 + (G262-J262)*Inputs!$C$71)</f>
        <v/>
      </c>
      <c r="P262">
        <f>IF(A262&gt;Inputs!$C$62,"",Inputs!$C$40 + H262*Inputs!$C$41)</f>
        <v/>
      </c>
      <c r="R262">
        <f>IF(A262&gt;Inputs!$C$62,"",AD262*Inputs!$C$16*(Inputs!$C$9 + Inputs!$C$10*Inputs!$C$11 + Inputs!$C$12)*(1 + VLOOKUP(Inputs!$C$15,Lookups!$A$2:$B$20,2,TRUE)*(Scale!$B$9/IF(Scale!$B$8=0,1,Scale!$B$8)) + Inputs!$C$52))</f>
        <v/>
      </c>
      <c r="Y262">
        <f>IF(A262&gt;Inputs!$C$62,"",C262*AE262)</f>
        <v/>
      </c>
      <c r="AC262">
        <f>IF(AD262=0,0,R262/(AD262*Inputs!$C$16))</f>
        <v/>
      </c>
      <c r="AD262" s="53">
        <f>IF(A262&gt;Inputs!$C$62,"",B262+C262)</f>
        <v/>
      </c>
      <c r="AE262" s="56">
        <f>IF(A262&gt;Inputs!$C$62,"", Inputs!$C$65*(1+Inputs!$C$89*POWER(MIN(1,IF(Inputs!$C$88=0,0,B262/Inputs!$C$88)),Inputs!$C$90)))</f>
        <v/>
      </c>
      <c r="AF262" s="52">
        <f>IF(A262&gt;Inputs!$C$62,"",IF(A262=1,Inputs!$C$86,MIN(Inputs!$C$86,Inputs!$C$87*M261)))</f>
        <v/>
      </c>
      <c r="AG262" s="51">
        <f>IF(A262&gt;Inputs!$C$62,"",MIN(0.5,MAX(0, Inputs!$C$67*L262 + Inputs!$C$68*(1-K262) + Inputs!$C$69*Inputs!$C$10)))</f>
        <v/>
      </c>
      <c r="AH262" s="51">
        <f>IF(A262&gt;Inputs!$C$62,"",INDEX(CapacityPlan!$G$7:$G$266,A262))</f>
        <v/>
      </c>
      <c r="AI262" s="54">
        <f>IF(A262&gt;Inputs!$C$62,"",INDEX(CapacityPlan!$J$7:$J$266,A262))</f>
        <v/>
      </c>
      <c r="AJ262" s="51">
        <f>IF(A262&gt;Inputs!$C$62,"",IF(I262=0,"",G262/I262))</f>
        <v/>
      </c>
    </row>
    <row r="263">
      <c r="A263" s="15" t="n">
        <v>241</v>
      </c>
      <c r="B263">
        <f>IF(A263&gt;Inputs!$C$62,"",IF(Inputs!$C$80=1,INDEX(Cohorts!$B$67:$B$326,A263),IF(A263=1,Inputs!$C$63,F262)))</f>
        <v/>
      </c>
      <c r="C263">
        <f>IF(A263&gt;Inputs!$C$62,"",IF(Inputs!$C$85=0,Inputs!$C$64,MIN(Inputs!$C$91,IF(AE263=0,0,AF263/AE263))))</f>
        <v/>
      </c>
      <c r="D263">
        <f>IF(A263&gt;Inputs!$C$62,"",IF(Inputs!$C$80=1,INDEX(Cohorts!$G$67:$G$326,A263),MAX(0, Inputs!$C$66 + Inputs!$C$67*L263 + Inputs!$C$68*(1-K263) + Inputs!$C$69*Inputs!$C$10)))</f>
        <v/>
      </c>
      <c r="E263">
        <f>IF(A263&gt;Inputs!$C$62,"",IF(Inputs!$C$80=1,INDEX(Cohorts!$H$67:$H$326,A263),D263*AD263))</f>
        <v/>
      </c>
      <c r="F263">
        <f>IF(A263&gt;Inputs!$C$62,"",IF(Inputs!$C$80=1,INDEX(Cohorts!$I$67:$I$326,A263),AD263-E263))</f>
        <v/>
      </c>
      <c r="G263">
        <f>IF(A263&gt;Inputs!$C$62,"",AD263)</f>
        <v/>
      </c>
      <c r="H263">
        <f>IF(A263&gt;Inputs!$C$62,"",INDEX(CapacityPlan!$E$7:$E$266,A263))</f>
        <v/>
      </c>
      <c r="I263">
        <f>IF(A263&gt;Inputs!$C$62,"",INDEX(CapacityPlan!$I$7:$I$266,A263))</f>
        <v/>
      </c>
      <c r="J263">
        <f>IF(A263&gt;Inputs!$C$62,"",IF(G263&gt;I263,I263,G263))</f>
        <v/>
      </c>
      <c r="K263">
        <f>IF(A263&gt;Inputs!$C$62,"",IF(G263=0,1,J263/G263))</f>
        <v/>
      </c>
      <c r="M263">
        <f>IF(A263&gt;Inputs!$C$62,"",J263*Inputs!$C$7*(1-Inputs!$C$8)*(1-L263))</f>
        <v/>
      </c>
      <c r="N263">
        <f>IF(A263&gt;Inputs!$C$62,"",J263*UnitEconomics!$B$32*AI263 + (G263-J263)*Inputs!$C$71)</f>
        <v/>
      </c>
      <c r="P263">
        <f>IF(A263&gt;Inputs!$C$62,"",Inputs!$C$40 + H263*Inputs!$C$41)</f>
        <v/>
      </c>
      <c r="R263">
        <f>IF(A263&gt;Inputs!$C$62,"",AD263*Inputs!$C$16*(Inputs!$C$9 + Inputs!$C$10*Inputs!$C$11 + Inputs!$C$12)*(1 + VLOOKUP(Inputs!$C$15,Lookups!$A$2:$B$20,2,TRUE)*(Scale!$B$9/IF(Scale!$B$8=0,1,Scale!$B$8)) + Inputs!$C$52))</f>
        <v/>
      </c>
      <c r="Y263">
        <f>IF(A263&gt;Inputs!$C$62,"",C263*AE263)</f>
        <v/>
      </c>
      <c r="AC263">
        <f>IF(AD263=0,0,R263/(AD263*Inputs!$C$16))</f>
        <v/>
      </c>
      <c r="AD263" s="53">
        <f>IF(A263&gt;Inputs!$C$62,"",B263+C263)</f>
        <v/>
      </c>
      <c r="AE263" s="56">
        <f>IF(A263&gt;Inputs!$C$62,"", Inputs!$C$65*(1+Inputs!$C$89*POWER(MIN(1,IF(Inputs!$C$88=0,0,B263/Inputs!$C$88)),Inputs!$C$90)))</f>
        <v/>
      </c>
      <c r="AF263" s="52">
        <f>IF(A263&gt;Inputs!$C$62,"",IF(A263=1,Inputs!$C$86,MIN(Inputs!$C$86,Inputs!$C$87*M262)))</f>
        <v/>
      </c>
      <c r="AG263" s="51">
        <f>IF(A263&gt;Inputs!$C$62,"",MIN(0.5,MAX(0, Inputs!$C$67*L263 + Inputs!$C$68*(1-K263) + Inputs!$C$69*Inputs!$C$10)))</f>
        <v/>
      </c>
      <c r="AH263" s="51">
        <f>IF(A263&gt;Inputs!$C$62,"",INDEX(CapacityPlan!$G$7:$G$266,A263))</f>
        <v/>
      </c>
      <c r="AI263" s="54">
        <f>IF(A263&gt;Inputs!$C$62,"",INDEX(CapacityPlan!$J$7:$J$266,A263))</f>
        <v/>
      </c>
      <c r="AJ263" s="51">
        <f>IF(A263&gt;Inputs!$C$62,"",IF(I263=0,"",G263/I263))</f>
        <v/>
      </c>
    </row>
    <row r="264">
      <c r="A264" s="15" t="n">
        <v>242</v>
      </c>
      <c r="B264">
        <f>IF(A264&gt;Inputs!$C$62,"",IF(Inputs!$C$80=1,INDEX(Cohorts!$B$67:$B$326,A264),IF(A264=1,Inputs!$C$63,F263)))</f>
        <v/>
      </c>
      <c r="C264">
        <f>IF(A264&gt;Inputs!$C$62,"",IF(Inputs!$C$85=0,Inputs!$C$64,MIN(Inputs!$C$91,IF(AE264=0,0,AF264/AE264))))</f>
        <v/>
      </c>
      <c r="D264">
        <f>IF(A264&gt;Inputs!$C$62,"",IF(Inputs!$C$80=1,INDEX(Cohorts!$G$67:$G$326,A264),MAX(0, Inputs!$C$66 + Inputs!$C$67*L264 + Inputs!$C$68*(1-K264) + Inputs!$C$69*Inputs!$C$10)))</f>
        <v/>
      </c>
      <c r="E264">
        <f>IF(A264&gt;Inputs!$C$62,"",IF(Inputs!$C$80=1,INDEX(Cohorts!$H$67:$H$326,A264),D264*AD264))</f>
        <v/>
      </c>
      <c r="F264">
        <f>IF(A264&gt;Inputs!$C$62,"",IF(Inputs!$C$80=1,INDEX(Cohorts!$I$67:$I$326,A264),AD264-E264))</f>
        <v/>
      </c>
      <c r="G264">
        <f>IF(A264&gt;Inputs!$C$62,"",AD264)</f>
        <v/>
      </c>
      <c r="H264">
        <f>IF(A264&gt;Inputs!$C$62,"",INDEX(CapacityPlan!$E$7:$E$266,A264))</f>
        <v/>
      </c>
      <c r="I264">
        <f>IF(A264&gt;Inputs!$C$62,"",INDEX(CapacityPlan!$I$7:$I$266,A264))</f>
        <v/>
      </c>
      <c r="J264">
        <f>IF(A264&gt;Inputs!$C$62,"",IF(G264&gt;I264,I264,G264))</f>
        <v/>
      </c>
      <c r="K264">
        <f>IF(A264&gt;Inputs!$C$62,"",IF(G264=0,1,J264/G264))</f>
        <v/>
      </c>
      <c r="M264">
        <f>IF(A264&gt;Inputs!$C$62,"",J264*Inputs!$C$7*(1-Inputs!$C$8)*(1-L264))</f>
        <v/>
      </c>
      <c r="N264">
        <f>IF(A264&gt;Inputs!$C$62,"",J264*UnitEconomics!$B$32*AI264 + (G264-J264)*Inputs!$C$71)</f>
        <v/>
      </c>
      <c r="P264">
        <f>IF(A264&gt;Inputs!$C$62,"",Inputs!$C$40 + H264*Inputs!$C$41)</f>
        <v/>
      </c>
      <c r="R264">
        <f>IF(A264&gt;Inputs!$C$62,"",AD264*Inputs!$C$16*(Inputs!$C$9 + Inputs!$C$10*Inputs!$C$11 + Inputs!$C$12)*(1 + VLOOKUP(Inputs!$C$15,Lookups!$A$2:$B$20,2,TRUE)*(Scale!$B$9/IF(Scale!$B$8=0,1,Scale!$B$8)) + Inputs!$C$52))</f>
        <v/>
      </c>
      <c r="Y264">
        <f>IF(A264&gt;Inputs!$C$62,"",C264*AE264)</f>
        <v/>
      </c>
      <c r="AC264">
        <f>IF(AD264=0,0,R264/(AD264*Inputs!$C$16))</f>
        <v/>
      </c>
      <c r="AD264" s="53">
        <f>IF(A264&gt;Inputs!$C$62,"",B264+C264)</f>
        <v/>
      </c>
      <c r="AE264" s="56">
        <f>IF(A264&gt;Inputs!$C$62,"", Inputs!$C$65*(1+Inputs!$C$89*POWER(MIN(1,IF(Inputs!$C$88=0,0,B264/Inputs!$C$88)),Inputs!$C$90)))</f>
        <v/>
      </c>
      <c r="AF264" s="52">
        <f>IF(A264&gt;Inputs!$C$62,"",IF(A264=1,Inputs!$C$86,MIN(Inputs!$C$86,Inputs!$C$87*M263)))</f>
        <v/>
      </c>
      <c r="AG264" s="51">
        <f>IF(A264&gt;Inputs!$C$62,"",MIN(0.5,MAX(0, Inputs!$C$67*L264 + Inputs!$C$68*(1-K264) + Inputs!$C$69*Inputs!$C$10)))</f>
        <v/>
      </c>
      <c r="AH264" s="51">
        <f>IF(A264&gt;Inputs!$C$62,"",INDEX(CapacityPlan!$G$7:$G$266,A264))</f>
        <v/>
      </c>
      <c r="AI264" s="54">
        <f>IF(A264&gt;Inputs!$C$62,"",INDEX(CapacityPlan!$J$7:$J$266,A264))</f>
        <v/>
      </c>
      <c r="AJ264" s="51">
        <f>IF(A264&gt;Inputs!$C$62,"",IF(I264=0,"",G264/I264))</f>
        <v/>
      </c>
    </row>
    <row r="265">
      <c r="A265" s="15" t="n">
        <v>243</v>
      </c>
      <c r="B265">
        <f>IF(A265&gt;Inputs!$C$62,"",IF(Inputs!$C$80=1,INDEX(Cohorts!$B$67:$B$326,A265),IF(A265=1,Inputs!$C$63,F264)))</f>
        <v/>
      </c>
      <c r="C265">
        <f>IF(A265&gt;Inputs!$C$62,"",IF(Inputs!$C$85=0,Inputs!$C$64,MIN(Inputs!$C$91,IF(AE265=0,0,AF265/AE265))))</f>
        <v/>
      </c>
      <c r="D265">
        <f>IF(A265&gt;Inputs!$C$62,"",IF(Inputs!$C$80=1,INDEX(Cohorts!$G$67:$G$326,A265),MAX(0, Inputs!$C$66 + Inputs!$C$67*L265 + Inputs!$C$68*(1-K265) + Inputs!$C$69*Inputs!$C$10)))</f>
        <v/>
      </c>
      <c r="E265">
        <f>IF(A265&gt;Inputs!$C$62,"",IF(Inputs!$C$80=1,INDEX(Cohorts!$H$67:$H$326,A265),D265*AD265))</f>
        <v/>
      </c>
      <c r="F265">
        <f>IF(A265&gt;Inputs!$C$62,"",IF(Inputs!$C$80=1,INDEX(Cohorts!$I$67:$I$326,A265),AD265-E265))</f>
        <v/>
      </c>
      <c r="G265">
        <f>IF(A265&gt;Inputs!$C$62,"",AD265)</f>
        <v/>
      </c>
      <c r="H265">
        <f>IF(A265&gt;Inputs!$C$62,"",INDEX(CapacityPlan!$E$7:$E$266,A265))</f>
        <v/>
      </c>
      <c r="I265">
        <f>IF(A265&gt;Inputs!$C$62,"",INDEX(CapacityPlan!$I$7:$I$266,A265))</f>
        <v/>
      </c>
      <c r="J265">
        <f>IF(A265&gt;Inputs!$C$62,"",IF(G265&gt;I265,I265,G265))</f>
        <v/>
      </c>
      <c r="K265">
        <f>IF(A265&gt;Inputs!$C$62,"",IF(G265=0,1,J265/G265))</f>
        <v/>
      </c>
      <c r="M265">
        <f>IF(A265&gt;Inputs!$C$62,"",J265*Inputs!$C$7*(1-Inputs!$C$8)*(1-L265))</f>
        <v/>
      </c>
      <c r="N265">
        <f>IF(A265&gt;Inputs!$C$62,"",J265*UnitEconomics!$B$32*AI265 + (G265-J265)*Inputs!$C$71)</f>
        <v/>
      </c>
      <c r="P265">
        <f>IF(A265&gt;Inputs!$C$62,"",Inputs!$C$40 + H265*Inputs!$C$41)</f>
        <v/>
      </c>
      <c r="R265">
        <f>IF(A265&gt;Inputs!$C$62,"",AD265*Inputs!$C$16*(Inputs!$C$9 + Inputs!$C$10*Inputs!$C$11 + Inputs!$C$12)*(1 + VLOOKUP(Inputs!$C$15,Lookups!$A$2:$B$20,2,TRUE)*(Scale!$B$9/IF(Scale!$B$8=0,1,Scale!$B$8)) + Inputs!$C$52))</f>
        <v/>
      </c>
      <c r="Y265">
        <f>IF(A265&gt;Inputs!$C$62,"",C265*AE265)</f>
        <v/>
      </c>
      <c r="AC265">
        <f>IF(AD265=0,0,R265/(AD265*Inputs!$C$16))</f>
        <v/>
      </c>
      <c r="AD265" s="53">
        <f>IF(A265&gt;Inputs!$C$62,"",B265+C265)</f>
        <v/>
      </c>
      <c r="AE265" s="56">
        <f>IF(A265&gt;Inputs!$C$62,"", Inputs!$C$65*(1+Inputs!$C$89*POWER(MIN(1,IF(Inputs!$C$88=0,0,B265/Inputs!$C$88)),Inputs!$C$90)))</f>
        <v/>
      </c>
      <c r="AF265" s="52">
        <f>IF(A265&gt;Inputs!$C$62,"",IF(A265=1,Inputs!$C$86,MIN(Inputs!$C$86,Inputs!$C$87*M264)))</f>
        <v/>
      </c>
      <c r="AG265" s="51">
        <f>IF(A265&gt;Inputs!$C$62,"",MIN(0.5,MAX(0, Inputs!$C$67*L265 + Inputs!$C$68*(1-K265) + Inputs!$C$69*Inputs!$C$10)))</f>
        <v/>
      </c>
      <c r="AH265" s="51">
        <f>IF(A265&gt;Inputs!$C$62,"",INDEX(CapacityPlan!$G$7:$G$266,A265))</f>
        <v/>
      </c>
      <c r="AI265" s="54">
        <f>IF(A265&gt;Inputs!$C$62,"",INDEX(CapacityPlan!$J$7:$J$266,A265))</f>
        <v/>
      </c>
      <c r="AJ265" s="51">
        <f>IF(A265&gt;Inputs!$C$62,"",IF(I265=0,"",G265/I265))</f>
        <v/>
      </c>
    </row>
    <row r="266">
      <c r="A266" s="15" t="n">
        <v>244</v>
      </c>
      <c r="B266">
        <f>IF(A266&gt;Inputs!$C$62,"",IF(Inputs!$C$80=1,INDEX(Cohorts!$B$67:$B$326,A266),IF(A266=1,Inputs!$C$63,F265)))</f>
        <v/>
      </c>
      <c r="C266">
        <f>IF(A266&gt;Inputs!$C$62,"",IF(Inputs!$C$85=0,Inputs!$C$64,MIN(Inputs!$C$91,IF(AE266=0,0,AF266/AE266))))</f>
        <v/>
      </c>
      <c r="D266">
        <f>IF(A266&gt;Inputs!$C$62,"",IF(Inputs!$C$80=1,INDEX(Cohorts!$G$67:$G$326,A266),MAX(0, Inputs!$C$66 + Inputs!$C$67*L266 + Inputs!$C$68*(1-K266) + Inputs!$C$69*Inputs!$C$10)))</f>
        <v/>
      </c>
      <c r="E266">
        <f>IF(A266&gt;Inputs!$C$62,"",IF(Inputs!$C$80=1,INDEX(Cohorts!$H$67:$H$326,A266),D266*AD266))</f>
        <v/>
      </c>
      <c r="F266">
        <f>IF(A266&gt;Inputs!$C$62,"",IF(Inputs!$C$80=1,INDEX(Cohorts!$I$67:$I$326,A266),AD266-E266))</f>
        <v/>
      </c>
      <c r="G266">
        <f>IF(A266&gt;Inputs!$C$62,"",AD266)</f>
        <v/>
      </c>
      <c r="H266">
        <f>IF(A266&gt;Inputs!$C$62,"",INDEX(CapacityPlan!$E$7:$E$266,A266))</f>
        <v/>
      </c>
      <c r="I266">
        <f>IF(A266&gt;Inputs!$C$62,"",INDEX(CapacityPlan!$I$7:$I$266,A266))</f>
        <v/>
      </c>
      <c r="J266">
        <f>IF(A266&gt;Inputs!$C$62,"",IF(G266&gt;I266,I266,G266))</f>
        <v/>
      </c>
      <c r="K266">
        <f>IF(A266&gt;Inputs!$C$62,"",IF(G266=0,1,J266/G266))</f>
        <v/>
      </c>
      <c r="M266">
        <f>IF(A266&gt;Inputs!$C$62,"",J266*Inputs!$C$7*(1-Inputs!$C$8)*(1-L266))</f>
        <v/>
      </c>
      <c r="N266">
        <f>IF(A266&gt;Inputs!$C$62,"",J266*UnitEconomics!$B$32*AI266 + (G266-J266)*Inputs!$C$71)</f>
        <v/>
      </c>
      <c r="P266">
        <f>IF(A266&gt;Inputs!$C$62,"",Inputs!$C$40 + H266*Inputs!$C$41)</f>
        <v/>
      </c>
      <c r="R266">
        <f>IF(A266&gt;Inputs!$C$62,"",AD266*Inputs!$C$16*(Inputs!$C$9 + Inputs!$C$10*Inputs!$C$11 + Inputs!$C$12)*(1 + VLOOKUP(Inputs!$C$15,Lookups!$A$2:$B$20,2,TRUE)*(Scale!$B$9/IF(Scale!$B$8=0,1,Scale!$B$8)) + Inputs!$C$52))</f>
        <v/>
      </c>
      <c r="Y266">
        <f>IF(A266&gt;Inputs!$C$62,"",C266*AE266)</f>
        <v/>
      </c>
      <c r="AC266">
        <f>IF(AD266=0,0,R266/(AD266*Inputs!$C$16))</f>
        <v/>
      </c>
      <c r="AD266" s="53">
        <f>IF(A266&gt;Inputs!$C$62,"",B266+C266)</f>
        <v/>
      </c>
      <c r="AE266" s="56">
        <f>IF(A266&gt;Inputs!$C$62,"", Inputs!$C$65*(1+Inputs!$C$89*POWER(MIN(1,IF(Inputs!$C$88=0,0,B266/Inputs!$C$88)),Inputs!$C$90)))</f>
        <v/>
      </c>
      <c r="AF266" s="52">
        <f>IF(A266&gt;Inputs!$C$62,"",IF(A266=1,Inputs!$C$86,MIN(Inputs!$C$86,Inputs!$C$87*M265)))</f>
        <v/>
      </c>
      <c r="AG266" s="51">
        <f>IF(A266&gt;Inputs!$C$62,"",MIN(0.5,MAX(0, Inputs!$C$67*L266 + Inputs!$C$68*(1-K266) + Inputs!$C$69*Inputs!$C$10)))</f>
        <v/>
      </c>
      <c r="AH266" s="51">
        <f>IF(A266&gt;Inputs!$C$62,"",INDEX(CapacityPlan!$G$7:$G$266,A266))</f>
        <v/>
      </c>
      <c r="AI266" s="54">
        <f>IF(A266&gt;Inputs!$C$62,"",INDEX(CapacityPlan!$J$7:$J$266,A266))</f>
        <v/>
      </c>
      <c r="AJ266" s="51">
        <f>IF(A266&gt;Inputs!$C$62,"",IF(I266=0,"",G266/I266))</f>
        <v/>
      </c>
    </row>
    <row r="267">
      <c r="A267" s="15" t="n">
        <v>245</v>
      </c>
      <c r="B267">
        <f>IF(A267&gt;Inputs!$C$62,"",IF(Inputs!$C$80=1,INDEX(Cohorts!$B$67:$B$326,A267),IF(A267=1,Inputs!$C$63,F266)))</f>
        <v/>
      </c>
      <c r="C267">
        <f>IF(A267&gt;Inputs!$C$62,"",IF(Inputs!$C$85=0,Inputs!$C$64,MIN(Inputs!$C$91,IF(AE267=0,0,AF267/AE267))))</f>
        <v/>
      </c>
      <c r="D267">
        <f>IF(A267&gt;Inputs!$C$62,"",IF(Inputs!$C$80=1,INDEX(Cohorts!$G$67:$G$326,A267),MAX(0, Inputs!$C$66 + Inputs!$C$67*L267 + Inputs!$C$68*(1-K267) + Inputs!$C$69*Inputs!$C$10)))</f>
        <v/>
      </c>
      <c r="E267">
        <f>IF(A267&gt;Inputs!$C$62,"",IF(Inputs!$C$80=1,INDEX(Cohorts!$H$67:$H$326,A267),D267*AD267))</f>
        <v/>
      </c>
      <c r="F267">
        <f>IF(A267&gt;Inputs!$C$62,"",IF(Inputs!$C$80=1,INDEX(Cohorts!$I$67:$I$326,A267),AD267-E267))</f>
        <v/>
      </c>
      <c r="G267">
        <f>IF(A267&gt;Inputs!$C$62,"",AD267)</f>
        <v/>
      </c>
      <c r="H267">
        <f>IF(A267&gt;Inputs!$C$62,"",INDEX(CapacityPlan!$E$7:$E$266,A267))</f>
        <v/>
      </c>
      <c r="I267">
        <f>IF(A267&gt;Inputs!$C$62,"",INDEX(CapacityPlan!$I$7:$I$266,A267))</f>
        <v/>
      </c>
      <c r="J267">
        <f>IF(A267&gt;Inputs!$C$62,"",IF(G267&gt;I267,I267,G267))</f>
        <v/>
      </c>
      <c r="K267">
        <f>IF(A267&gt;Inputs!$C$62,"",IF(G267=0,1,J267/G267))</f>
        <v/>
      </c>
      <c r="M267">
        <f>IF(A267&gt;Inputs!$C$62,"",J267*Inputs!$C$7*(1-Inputs!$C$8)*(1-L267))</f>
        <v/>
      </c>
      <c r="N267">
        <f>IF(A267&gt;Inputs!$C$62,"",J267*UnitEconomics!$B$32*AI267 + (G267-J267)*Inputs!$C$71)</f>
        <v/>
      </c>
      <c r="P267">
        <f>IF(A267&gt;Inputs!$C$62,"",Inputs!$C$40 + H267*Inputs!$C$41)</f>
        <v/>
      </c>
      <c r="R267">
        <f>IF(A267&gt;Inputs!$C$62,"",AD267*Inputs!$C$16*(Inputs!$C$9 + Inputs!$C$10*Inputs!$C$11 + Inputs!$C$12)*(1 + VLOOKUP(Inputs!$C$15,Lookups!$A$2:$B$20,2,TRUE)*(Scale!$B$9/IF(Scale!$B$8=0,1,Scale!$B$8)) + Inputs!$C$52))</f>
        <v/>
      </c>
      <c r="Y267">
        <f>IF(A267&gt;Inputs!$C$62,"",C267*AE267)</f>
        <v/>
      </c>
      <c r="AC267">
        <f>IF(AD267=0,0,R267/(AD267*Inputs!$C$16))</f>
        <v/>
      </c>
      <c r="AD267" s="53">
        <f>IF(A267&gt;Inputs!$C$62,"",B267+C267)</f>
        <v/>
      </c>
      <c r="AE267" s="56">
        <f>IF(A267&gt;Inputs!$C$62,"", Inputs!$C$65*(1+Inputs!$C$89*POWER(MIN(1,IF(Inputs!$C$88=0,0,B267/Inputs!$C$88)),Inputs!$C$90)))</f>
        <v/>
      </c>
      <c r="AF267" s="52">
        <f>IF(A267&gt;Inputs!$C$62,"",IF(A267=1,Inputs!$C$86,MIN(Inputs!$C$86,Inputs!$C$87*M266)))</f>
        <v/>
      </c>
      <c r="AG267" s="51">
        <f>IF(A267&gt;Inputs!$C$62,"",MIN(0.5,MAX(0, Inputs!$C$67*L267 + Inputs!$C$68*(1-K267) + Inputs!$C$69*Inputs!$C$10)))</f>
        <v/>
      </c>
      <c r="AH267" s="51">
        <f>IF(A267&gt;Inputs!$C$62,"",INDEX(CapacityPlan!$G$7:$G$266,A267))</f>
        <v/>
      </c>
      <c r="AI267" s="54">
        <f>IF(A267&gt;Inputs!$C$62,"",INDEX(CapacityPlan!$J$7:$J$266,A267))</f>
        <v/>
      </c>
      <c r="AJ267" s="51">
        <f>IF(A267&gt;Inputs!$C$62,"",IF(I267=0,"",G267/I267))</f>
        <v/>
      </c>
    </row>
    <row r="268">
      <c r="A268" s="15" t="n">
        <v>246</v>
      </c>
      <c r="B268">
        <f>IF(A268&gt;Inputs!$C$62,"",IF(Inputs!$C$80=1,INDEX(Cohorts!$B$67:$B$326,A268),IF(A268=1,Inputs!$C$63,F267)))</f>
        <v/>
      </c>
      <c r="C268">
        <f>IF(A268&gt;Inputs!$C$62,"",IF(Inputs!$C$85=0,Inputs!$C$64,MIN(Inputs!$C$91,IF(AE268=0,0,AF268/AE268))))</f>
        <v/>
      </c>
      <c r="D268">
        <f>IF(A268&gt;Inputs!$C$62,"",IF(Inputs!$C$80=1,INDEX(Cohorts!$G$67:$G$326,A268),MAX(0, Inputs!$C$66 + Inputs!$C$67*L268 + Inputs!$C$68*(1-K268) + Inputs!$C$69*Inputs!$C$10)))</f>
        <v/>
      </c>
      <c r="E268">
        <f>IF(A268&gt;Inputs!$C$62,"",IF(Inputs!$C$80=1,INDEX(Cohorts!$H$67:$H$326,A268),D268*AD268))</f>
        <v/>
      </c>
      <c r="F268">
        <f>IF(A268&gt;Inputs!$C$62,"",IF(Inputs!$C$80=1,INDEX(Cohorts!$I$67:$I$326,A268),AD268-E268))</f>
        <v/>
      </c>
      <c r="G268">
        <f>IF(A268&gt;Inputs!$C$62,"",AD268)</f>
        <v/>
      </c>
      <c r="H268">
        <f>IF(A268&gt;Inputs!$C$62,"",INDEX(CapacityPlan!$E$7:$E$266,A268))</f>
        <v/>
      </c>
      <c r="I268">
        <f>IF(A268&gt;Inputs!$C$62,"",INDEX(CapacityPlan!$I$7:$I$266,A268))</f>
        <v/>
      </c>
      <c r="J268">
        <f>IF(A268&gt;Inputs!$C$62,"",IF(G268&gt;I268,I268,G268))</f>
        <v/>
      </c>
      <c r="K268">
        <f>IF(A268&gt;Inputs!$C$62,"",IF(G268=0,1,J268/G268))</f>
        <v/>
      </c>
      <c r="M268">
        <f>IF(A268&gt;Inputs!$C$62,"",J268*Inputs!$C$7*(1-Inputs!$C$8)*(1-L268))</f>
        <v/>
      </c>
      <c r="N268">
        <f>IF(A268&gt;Inputs!$C$62,"",J268*UnitEconomics!$B$32*AI268 + (G268-J268)*Inputs!$C$71)</f>
        <v/>
      </c>
      <c r="P268">
        <f>IF(A268&gt;Inputs!$C$62,"",Inputs!$C$40 + H268*Inputs!$C$41)</f>
        <v/>
      </c>
      <c r="R268">
        <f>IF(A268&gt;Inputs!$C$62,"",AD268*Inputs!$C$16*(Inputs!$C$9 + Inputs!$C$10*Inputs!$C$11 + Inputs!$C$12)*(1 + VLOOKUP(Inputs!$C$15,Lookups!$A$2:$B$20,2,TRUE)*(Scale!$B$9/IF(Scale!$B$8=0,1,Scale!$B$8)) + Inputs!$C$52))</f>
        <v/>
      </c>
      <c r="Y268">
        <f>IF(A268&gt;Inputs!$C$62,"",C268*AE268)</f>
        <v/>
      </c>
      <c r="AC268">
        <f>IF(AD268=0,0,R268/(AD268*Inputs!$C$16))</f>
        <v/>
      </c>
      <c r="AD268" s="53">
        <f>IF(A268&gt;Inputs!$C$62,"",B268+C268)</f>
        <v/>
      </c>
      <c r="AE268" s="56">
        <f>IF(A268&gt;Inputs!$C$62,"", Inputs!$C$65*(1+Inputs!$C$89*POWER(MIN(1,IF(Inputs!$C$88=0,0,B268/Inputs!$C$88)),Inputs!$C$90)))</f>
        <v/>
      </c>
      <c r="AF268" s="52">
        <f>IF(A268&gt;Inputs!$C$62,"",IF(A268=1,Inputs!$C$86,MIN(Inputs!$C$86,Inputs!$C$87*M267)))</f>
        <v/>
      </c>
      <c r="AG268" s="51">
        <f>IF(A268&gt;Inputs!$C$62,"",MIN(0.5,MAX(0, Inputs!$C$67*L268 + Inputs!$C$68*(1-K268) + Inputs!$C$69*Inputs!$C$10)))</f>
        <v/>
      </c>
      <c r="AH268" s="51">
        <f>IF(A268&gt;Inputs!$C$62,"",INDEX(CapacityPlan!$G$7:$G$266,A268))</f>
        <v/>
      </c>
      <c r="AI268" s="54">
        <f>IF(A268&gt;Inputs!$C$62,"",INDEX(CapacityPlan!$J$7:$J$266,A268))</f>
        <v/>
      </c>
      <c r="AJ268" s="51">
        <f>IF(A268&gt;Inputs!$C$62,"",IF(I268=0,"",G268/I268))</f>
        <v/>
      </c>
    </row>
    <row r="269">
      <c r="A269" s="15" t="n">
        <v>247</v>
      </c>
      <c r="B269">
        <f>IF(A269&gt;Inputs!$C$62,"",IF(Inputs!$C$80=1,INDEX(Cohorts!$B$67:$B$326,A269),IF(A269=1,Inputs!$C$63,F268)))</f>
        <v/>
      </c>
      <c r="C269">
        <f>IF(A269&gt;Inputs!$C$62,"",IF(Inputs!$C$85=0,Inputs!$C$64,MIN(Inputs!$C$91,IF(AE269=0,0,AF269/AE269))))</f>
        <v/>
      </c>
      <c r="D269">
        <f>IF(A269&gt;Inputs!$C$62,"",IF(Inputs!$C$80=1,INDEX(Cohorts!$G$67:$G$326,A269),MAX(0, Inputs!$C$66 + Inputs!$C$67*L269 + Inputs!$C$68*(1-K269) + Inputs!$C$69*Inputs!$C$10)))</f>
        <v/>
      </c>
      <c r="E269">
        <f>IF(A269&gt;Inputs!$C$62,"",IF(Inputs!$C$80=1,INDEX(Cohorts!$H$67:$H$326,A269),D269*AD269))</f>
        <v/>
      </c>
      <c r="F269">
        <f>IF(A269&gt;Inputs!$C$62,"",IF(Inputs!$C$80=1,INDEX(Cohorts!$I$67:$I$326,A269),AD269-E269))</f>
        <v/>
      </c>
      <c r="G269">
        <f>IF(A269&gt;Inputs!$C$62,"",AD269)</f>
        <v/>
      </c>
      <c r="H269">
        <f>IF(A269&gt;Inputs!$C$62,"",INDEX(CapacityPlan!$E$7:$E$266,A269))</f>
        <v/>
      </c>
      <c r="I269">
        <f>IF(A269&gt;Inputs!$C$62,"",INDEX(CapacityPlan!$I$7:$I$266,A269))</f>
        <v/>
      </c>
      <c r="J269">
        <f>IF(A269&gt;Inputs!$C$62,"",IF(G269&gt;I269,I269,G269))</f>
        <v/>
      </c>
      <c r="K269">
        <f>IF(A269&gt;Inputs!$C$62,"",IF(G269=0,1,J269/G269))</f>
        <v/>
      </c>
      <c r="M269">
        <f>IF(A269&gt;Inputs!$C$62,"",J269*Inputs!$C$7*(1-Inputs!$C$8)*(1-L269))</f>
        <v/>
      </c>
      <c r="N269">
        <f>IF(A269&gt;Inputs!$C$62,"",J269*UnitEconomics!$B$32*AI269 + (G269-J269)*Inputs!$C$71)</f>
        <v/>
      </c>
      <c r="P269">
        <f>IF(A269&gt;Inputs!$C$62,"",Inputs!$C$40 + H269*Inputs!$C$41)</f>
        <v/>
      </c>
      <c r="R269">
        <f>IF(A269&gt;Inputs!$C$62,"",AD269*Inputs!$C$16*(Inputs!$C$9 + Inputs!$C$10*Inputs!$C$11 + Inputs!$C$12)*(1 + VLOOKUP(Inputs!$C$15,Lookups!$A$2:$B$20,2,TRUE)*(Scale!$B$9/IF(Scale!$B$8=0,1,Scale!$B$8)) + Inputs!$C$52))</f>
        <v/>
      </c>
      <c r="Y269">
        <f>IF(A269&gt;Inputs!$C$62,"",C269*AE269)</f>
        <v/>
      </c>
      <c r="AC269">
        <f>IF(AD269=0,0,R269/(AD269*Inputs!$C$16))</f>
        <v/>
      </c>
      <c r="AD269" s="53">
        <f>IF(A269&gt;Inputs!$C$62,"",B269+C269)</f>
        <v/>
      </c>
      <c r="AE269" s="56">
        <f>IF(A269&gt;Inputs!$C$62,"", Inputs!$C$65*(1+Inputs!$C$89*POWER(MIN(1,IF(Inputs!$C$88=0,0,B269/Inputs!$C$88)),Inputs!$C$90)))</f>
        <v/>
      </c>
      <c r="AF269" s="52">
        <f>IF(A269&gt;Inputs!$C$62,"",IF(A269=1,Inputs!$C$86,MIN(Inputs!$C$86,Inputs!$C$87*M268)))</f>
        <v/>
      </c>
      <c r="AG269" s="51">
        <f>IF(A269&gt;Inputs!$C$62,"",MIN(0.5,MAX(0, Inputs!$C$67*L269 + Inputs!$C$68*(1-K269) + Inputs!$C$69*Inputs!$C$10)))</f>
        <v/>
      </c>
      <c r="AH269" s="51">
        <f>IF(A269&gt;Inputs!$C$62,"",INDEX(CapacityPlan!$G$7:$G$266,A269))</f>
        <v/>
      </c>
      <c r="AI269" s="54">
        <f>IF(A269&gt;Inputs!$C$62,"",INDEX(CapacityPlan!$J$7:$J$266,A269))</f>
        <v/>
      </c>
      <c r="AJ269" s="51">
        <f>IF(A269&gt;Inputs!$C$62,"",IF(I269=0,"",G269/I269))</f>
        <v/>
      </c>
    </row>
    <row r="270">
      <c r="A270" s="15" t="n">
        <v>248</v>
      </c>
      <c r="B270">
        <f>IF(A270&gt;Inputs!$C$62,"",IF(Inputs!$C$80=1,INDEX(Cohorts!$B$67:$B$326,A270),IF(A270=1,Inputs!$C$63,F269)))</f>
        <v/>
      </c>
      <c r="C270">
        <f>IF(A270&gt;Inputs!$C$62,"",IF(Inputs!$C$85=0,Inputs!$C$64,MIN(Inputs!$C$91,IF(AE270=0,0,AF270/AE270))))</f>
        <v/>
      </c>
      <c r="D270">
        <f>IF(A270&gt;Inputs!$C$62,"",IF(Inputs!$C$80=1,INDEX(Cohorts!$G$67:$G$326,A270),MAX(0, Inputs!$C$66 + Inputs!$C$67*L270 + Inputs!$C$68*(1-K270) + Inputs!$C$69*Inputs!$C$10)))</f>
        <v/>
      </c>
      <c r="E270">
        <f>IF(A270&gt;Inputs!$C$62,"",IF(Inputs!$C$80=1,INDEX(Cohorts!$H$67:$H$326,A270),D270*AD270))</f>
        <v/>
      </c>
      <c r="F270">
        <f>IF(A270&gt;Inputs!$C$62,"",IF(Inputs!$C$80=1,INDEX(Cohorts!$I$67:$I$326,A270),AD270-E270))</f>
        <v/>
      </c>
      <c r="G270">
        <f>IF(A270&gt;Inputs!$C$62,"",AD270)</f>
        <v/>
      </c>
      <c r="H270">
        <f>IF(A270&gt;Inputs!$C$62,"",INDEX(CapacityPlan!$E$7:$E$266,A270))</f>
        <v/>
      </c>
      <c r="I270">
        <f>IF(A270&gt;Inputs!$C$62,"",INDEX(CapacityPlan!$I$7:$I$266,A270))</f>
        <v/>
      </c>
      <c r="J270">
        <f>IF(A270&gt;Inputs!$C$62,"",IF(G270&gt;I270,I270,G270))</f>
        <v/>
      </c>
      <c r="K270">
        <f>IF(A270&gt;Inputs!$C$62,"",IF(G270=0,1,J270/G270))</f>
        <v/>
      </c>
      <c r="M270">
        <f>IF(A270&gt;Inputs!$C$62,"",J270*Inputs!$C$7*(1-Inputs!$C$8)*(1-L270))</f>
        <v/>
      </c>
      <c r="N270">
        <f>IF(A270&gt;Inputs!$C$62,"",J270*UnitEconomics!$B$32*AI270 + (G270-J270)*Inputs!$C$71)</f>
        <v/>
      </c>
      <c r="P270">
        <f>IF(A270&gt;Inputs!$C$62,"",Inputs!$C$40 + H270*Inputs!$C$41)</f>
        <v/>
      </c>
      <c r="R270">
        <f>IF(A270&gt;Inputs!$C$62,"",AD270*Inputs!$C$16*(Inputs!$C$9 + Inputs!$C$10*Inputs!$C$11 + Inputs!$C$12)*(1 + VLOOKUP(Inputs!$C$15,Lookups!$A$2:$B$20,2,TRUE)*(Scale!$B$9/IF(Scale!$B$8=0,1,Scale!$B$8)) + Inputs!$C$52))</f>
        <v/>
      </c>
      <c r="Y270">
        <f>IF(A270&gt;Inputs!$C$62,"",C270*AE270)</f>
        <v/>
      </c>
      <c r="AC270">
        <f>IF(AD270=0,0,R270/(AD270*Inputs!$C$16))</f>
        <v/>
      </c>
      <c r="AD270" s="53">
        <f>IF(A270&gt;Inputs!$C$62,"",B270+C270)</f>
        <v/>
      </c>
      <c r="AE270" s="56">
        <f>IF(A270&gt;Inputs!$C$62,"", Inputs!$C$65*(1+Inputs!$C$89*POWER(MIN(1,IF(Inputs!$C$88=0,0,B270/Inputs!$C$88)),Inputs!$C$90)))</f>
        <v/>
      </c>
      <c r="AF270" s="52">
        <f>IF(A270&gt;Inputs!$C$62,"",IF(A270=1,Inputs!$C$86,MIN(Inputs!$C$86,Inputs!$C$87*M269)))</f>
        <v/>
      </c>
      <c r="AG270" s="51">
        <f>IF(A270&gt;Inputs!$C$62,"",MIN(0.5,MAX(0, Inputs!$C$67*L270 + Inputs!$C$68*(1-K270) + Inputs!$C$69*Inputs!$C$10)))</f>
        <v/>
      </c>
      <c r="AH270" s="51">
        <f>IF(A270&gt;Inputs!$C$62,"",INDEX(CapacityPlan!$G$7:$G$266,A270))</f>
        <v/>
      </c>
      <c r="AI270" s="54">
        <f>IF(A270&gt;Inputs!$C$62,"",INDEX(CapacityPlan!$J$7:$J$266,A270))</f>
        <v/>
      </c>
      <c r="AJ270" s="51">
        <f>IF(A270&gt;Inputs!$C$62,"",IF(I270=0,"",G270/I270))</f>
        <v/>
      </c>
    </row>
    <row r="271">
      <c r="A271" s="15" t="n">
        <v>249</v>
      </c>
      <c r="B271">
        <f>IF(A271&gt;Inputs!$C$62,"",IF(Inputs!$C$80=1,INDEX(Cohorts!$B$67:$B$326,A271),IF(A271=1,Inputs!$C$63,F270)))</f>
        <v/>
      </c>
      <c r="C271">
        <f>IF(A271&gt;Inputs!$C$62,"",IF(Inputs!$C$85=0,Inputs!$C$64,MIN(Inputs!$C$91,IF(AE271=0,0,AF271/AE271))))</f>
        <v/>
      </c>
      <c r="D271">
        <f>IF(A271&gt;Inputs!$C$62,"",IF(Inputs!$C$80=1,INDEX(Cohorts!$G$67:$G$326,A271),MAX(0, Inputs!$C$66 + Inputs!$C$67*L271 + Inputs!$C$68*(1-K271) + Inputs!$C$69*Inputs!$C$10)))</f>
        <v/>
      </c>
      <c r="E271">
        <f>IF(A271&gt;Inputs!$C$62,"",IF(Inputs!$C$80=1,INDEX(Cohorts!$H$67:$H$326,A271),D271*AD271))</f>
        <v/>
      </c>
      <c r="F271">
        <f>IF(A271&gt;Inputs!$C$62,"",IF(Inputs!$C$80=1,INDEX(Cohorts!$I$67:$I$326,A271),AD271-E271))</f>
        <v/>
      </c>
      <c r="G271">
        <f>IF(A271&gt;Inputs!$C$62,"",AD271)</f>
        <v/>
      </c>
      <c r="H271">
        <f>IF(A271&gt;Inputs!$C$62,"",INDEX(CapacityPlan!$E$7:$E$266,A271))</f>
        <v/>
      </c>
      <c r="I271">
        <f>IF(A271&gt;Inputs!$C$62,"",INDEX(CapacityPlan!$I$7:$I$266,A271))</f>
        <v/>
      </c>
      <c r="J271">
        <f>IF(A271&gt;Inputs!$C$62,"",IF(G271&gt;I271,I271,G271))</f>
        <v/>
      </c>
      <c r="K271">
        <f>IF(A271&gt;Inputs!$C$62,"",IF(G271=0,1,J271/G271))</f>
        <v/>
      </c>
      <c r="M271">
        <f>IF(A271&gt;Inputs!$C$62,"",J271*Inputs!$C$7*(1-Inputs!$C$8)*(1-L271))</f>
        <v/>
      </c>
      <c r="N271">
        <f>IF(A271&gt;Inputs!$C$62,"",J271*UnitEconomics!$B$32*AI271 + (G271-J271)*Inputs!$C$71)</f>
        <v/>
      </c>
      <c r="P271">
        <f>IF(A271&gt;Inputs!$C$62,"",Inputs!$C$40 + H271*Inputs!$C$41)</f>
        <v/>
      </c>
      <c r="R271">
        <f>IF(A271&gt;Inputs!$C$62,"",AD271*Inputs!$C$16*(Inputs!$C$9 + Inputs!$C$10*Inputs!$C$11 + Inputs!$C$12)*(1 + VLOOKUP(Inputs!$C$15,Lookups!$A$2:$B$20,2,TRUE)*(Scale!$B$9/IF(Scale!$B$8=0,1,Scale!$B$8)) + Inputs!$C$52))</f>
        <v/>
      </c>
      <c r="Y271">
        <f>IF(A271&gt;Inputs!$C$62,"",C271*AE271)</f>
        <v/>
      </c>
      <c r="AC271">
        <f>IF(AD271=0,0,R271/(AD271*Inputs!$C$16))</f>
        <v/>
      </c>
      <c r="AD271" s="53">
        <f>IF(A271&gt;Inputs!$C$62,"",B271+C271)</f>
        <v/>
      </c>
      <c r="AE271" s="56">
        <f>IF(A271&gt;Inputs!$C$62,"", Inputs!$C$65*(1+Inputs!$C$89*POWER(MIN(1,IF(Inputs!$C$88=0,0,B271/Inputs!$C$88)),Inputs!$C$90)))</f>
        <v/>
      </c>
      <c r="AF271" s="52">
        <f>IF(A271&gt;Inputs!$C$62,"",IF(A271=1,Inputs!$C$86,MIN(Inputs!$C$86,Inputs!$C$87*M270)))</f>
        <v/>
      </c>
      <c r="AG271" s="51">
        <f>IF(A271&gt;Inputs!$C$62,"",MIN(0.5,MAX(0, Inputs!$C$67*L271 + Inputs!$C$68*(1-K271) + Inputs!$C$69*Inputs!$C$10)))</f>
        <v/>
      </c>
      <c r="AH271" s="51">
        <f>IF(A271&gt;Inputs!$C$62,"",INDEX(CapacityPlan!$G$7:$G$266,A271))</f>
        <v/>
      </c>
      <c r="AI271" s="54">
        <f>IF(A271&gt;Inputs!$C$62,"",INDEX(CapacityPlan!$J$7:$J$266,A271))</f>
        <v/>
      </c>
      <c r="AJ271" s="51">
        <f>IF(A271&gt;Inputs!$C$62,"",IF(I271=0,"",G271/I271))</f>
        <v/>
      </c>
    </row>
    <row r="272">
      <c r="A272" s="15" t="n">
        <v>250</v>
      </c>
      <c r="B272">
        <f>IF(A272&gt;Inputs!$C$62,"",IF(Inputs!$C$80=1,INDEX(Cohorts!$B$67:$B$326,A272),IF(A272=1,Inputs!$C$63,F271)))</f>
        <v/>
      </c>
      <c r="C272">
        <f>IF(A272&gt;Inputs!$C$62,"",IF(Inputs!$C$85=0,Inputs!$C$64,MIN(Inputs!$C$91,IF(AE272=0,0,AF272/AE272))))</f>
        <v/>
      </c>
      <c r="D272">
        <f>IF(A272&gt;Inputs!$C$62,"",IF(Inputs!$C$80=1,INDEX(Cohorts!$G$67:$G$326,A272),MAX(0, Inputs!$C$66 + Inputs!$C$67*L272 + Inputs!$C$68*(1-K272) + Inputs!$C$69*Inputs!$C$10)))</f>
        <v/>
      </c>
      <c r="E272">
        <f>IF(A272&gt;Inputs!$C$62,"",IF(Inputs!$C$80=1,INDEX(Cohorts!$H$67:$H$326,A272),D272*AD272))</f>
        <v/>
      </c>
      <c r="F272">
        <f>IF(A272&gt;Inputs!$C$62,"",IF(Inputs!$C$80=1,INDEX(Cohorts!$I$67:$I$326,A272),AD272-E272))</f>
        <v/>
      </c>
      <c r="G272">
        <f>IF(A272&gt;Inputs!$C$62,"",AD272)</f>
        <v/>
      </c>
      <c r="H272">
        <f>IF(A272&gt;Inputs!$C$62,"",INDEX(CapacityPlan!$E$7:$E$266,A272))</f>
        <v/>
      </c>
      <c r="I272">
        <f>IF(A272&gt;Inputs!$C$62,"",INDEX(CapacityPlan!$I$7:$I$266,A272))</f>
        <v/>
      </c>
      <c r="J272">
        <f>IF(A272&gt;Inputs!$C$62,"",IF(G272&gt;I272,I272,G272))</f>
        <v/>
      </c>
      <c r="K272">
        <f>IF(A272&gt;Inputs!$C$62,"",IF(G272=0,1,J272/G272))</f>
        <v/>
      </c>
      <c r="M272">
        <f>IF(A272&gt;Inputs!$C$62,"",J272*Inputs!$C$7*(1-Inputs!$C$8)*(1-L272))</f>
        <v/>
      </c>
      <c r="N272">
        <f>IF(A272&gt;Inputs!$C$62,"",J272*UnitEconomics!$B$32*AI272 + (G272-J272)*Inputs!$C$71)</f>
        <v/>
      </c>
      <c r="P272">
        <f>IF(A272&gt;Inputs!$C$62,"",Inputs!$C$40 + H272*Inputs!$C$41)</f>
        <v/>
      </c>
      <c r="R272">
        <f>IF(A272&gt;Inputs!$C$62,"",AD272*Inputs!$C$16*(Inputs!$C$9 + Inputs!$C$10*Inputs!$C$11 + Inputs!$C$12)*(1 + VLOOKUP(Inputs!$C$15,Lookups!$A$2:$B$20,2,TRUE)*(Scale!$B$9/IF(Scale!$B$8=0,1,Scale!$B$8)) + Inputs!$C$52))</f>
        <v/>
      </c>
      <c r="Y272">
        <f>IF(A272&gt;Inputs!$C$62,"",C272*AE272)</f>
        <v/>
      </c>
      <c r="AC272">
        <f>IF(AD272=0,0,R272/(AD272*Inputs!$C$16))</f>
        <v/>
      </c>
      <c r="AD272" s="53">
        <f>IF(A272&gt;Inputs!$C$62,"",B272+C272)</f>
        <v/>
      </c>
      <c r="AE272" s="56">
        <f>IF(A272&gt;Inputs!$C$62,"", Inputs!$C$65*(1+Inputs!$C$89*POWER(MIN(1,IF(Inputs!$C$88=0,0,B272/Inputs!$C$88)),Inputs!$C$90)))</f>
        <v/>
      </c>
      <c r="AF272" s="52">
        <f>IF(A272&gt;Inputs!$C$62,"",IF(A272=1,Inputs!$C$86,MIN(Inputs!$C$86,Inputs!$C$87*M271)))</f>
        <v/>
      </c>
      <c r="AG272" s="51">
        <f>IF(A272&gt;Inputs!$C$62,"",MIN(0.5,MAX(0, Inputs!$C$67*L272 + Inputs!$C$68*(1-K272) + Inputs!$C$69*Inputs!$C$10)))</f>
        <v/>
      </c>
      <c r="AH272" s="51">
        <f>IF(A272&gt;Inputs!$C$62,"",INDEX(CapacityPlan!$G$7:$G$266,A272))</f>
        <v/>
      </c>
      <c r="AI272" s="54">
        <f>IF(A272&gt;Inputs!$C$62,"",INDEX(CapacityPlan!$J$7:$J$266,A272))</f>
        <v/>
      </c>
      <c r="AJ272" s="51">
        <f>IF(A272&gt;Inputs!$C$62,"",IF(I272=0,"",G272/I272))</f>
        <v/>
      </c>
    </row>
    <row r="273">
      <c r="A273" s="15" t="n">
        <v>251</v>
      </c>
      <c r="B273">
        <f>IF(A273&gt;Inputs!$C$62,"",IF(Inputs!$C$80=1,INDEX(Cohorts!$B$67:$B$326,A273),IF(A273=1,Inputs!$C$63,F272)))</f>
        <v/>
      </c>
      <c r="C273">
        <f>IF(A273&gt;Inputs!$C$62,"",IF(Inputs!$C$85=0,Inputs!$C$64,MIN(Inputs!$C$91,IF(AE273=0,0,AF273/AE273))))</f>
        <v/>
      </c>
      <c r="D273">
        <f>IF(A273&gt;Inputs!$C$62,"",IF(Inputs!$C$80=1,INDEX(Cohorts!$G$67:$G$326,A273),MAX(0, Inputs!$C$66 + Inputs!$C$67*L273 + Inputs!$C$68*(1-K273) + Inputs!$C$69*Inputs!$C$10)))</f>
        <v/>
      </c>
      <c r="E273">
        <f>IF(A273&gt;Inputs!$C$62,"",IF(Inputs!$C$80=1,INDEX(Cohorts!$H$67:$H$326,A273),D273*AD273))</f>
        <v/>
      </c>
      <c r="F273">
        <f>IF(A273&gt;Inputs!$C$62,"",IF(Inputs!$C$80=1,INDEX(Cohorts!$I$67:$I$326,A273),AD273-E273))</f>
        <v/>
      </c>
      <c r="G273">
        <f>IF(A273&gt;Inputs!$C$62,"",AD273)</f>
        <v/>
      </c>
      <c r="H273">
        <f>IF(A273&gt;Inputs!$C$62,"",INDEX(CapacityPlan!$E$7:$E$266,A273))</f>
        <v/>
      </c>
      <c r="I273">
        <f>IF(A273&gt;Inputs!$C$62,"",INDEX(CapacityPlan!$I$7:$I$266,A273))</f>
        <v/>
      </c>
      <c r="J273">
        <f>IF(A273&gt;Inputs!$C$62,"",IF(G273&gt;I273,I273,G273))</f>
        <v/>
      </c>
      <c r="K273">
        <f>IF(A273&gt;Inputs!$C$62,"",IF(G273=0,1,J273/G273))</f>
        <v/>
      </c>
      <c r="M273">
        <f>IF(A273&gt;Inputs!$C$62,"",J273*Inputs!$C$7*(1-Inputs!$C$8)*(1-L273))</f>
        <v/>
      </c>
      <c r="N273">
        <f>IF(A273&gt;Inputs!$C$62,"",J273*UnitEconomics!$B$32*AI273 + (G273-J273)*Inputs!$C$71)</f>
        <v/>
      </c>
      <c r="P273">
        <f>IF(A273&gt;Inputs!$C$62,"",Inputs!$C$40 + H273*Inputs!$C$41)</f>
        <v/>
      </c>
      <c r="R273">
        <f>IF(A273&gt;Inputs!$C$62,"",AD273*Inputs!$C$16*(Inputs!$C$9 + Inputs!$C$10*Inputs!$C$11 + Inputs!$C$12)*(1 + VLOOKUP(Inputs!$C$15,Lookups!$A$2:$B$20,2,TRUE)*(Scale!$B$9/IF(Scale!$B$8=0,1,Scale!$B$8)) + Inputs!$C$52))</f>
        <v/>
      </c>
      <c r="Y273">
        <f>IF(A273&gt;Inputs!$C$62,"",C273*AE273)</f>
        <v/>
      </c>
      <c r="AC273">
        <f>IF(AD273=0,0,R273/(AD273*Inputs!$C$16))</f>
        <v/>
      </c>
      <c r="AD273" s="53">
        <f>IF(A273&gt;Inputs!$C$62,"",B273+C273)</f>
        <v/>
      </c>
      <c r="AE273" s="56">
        <f>IF(A273&gt;Inputs!$C$62,"", Inputs!$C$65*(1+Inputs!$C$89*POWER(MIN(1,IF(Inputs!$C$88=0,0,B273/Inputs!$C$88)),Inputs!$C$90)))</f>
        <v/>
      </c>
      <c r="AF273" s="52">
        <f>IF(A273&gt;Inputs!$C$62,"",IF(A273=1,Inputs!$C$86,MIN(Inputs!$C$86,Inputs!$C$87*M272)))</f>
        <v/>
      </c>
      <c r="AG273" s="51">
        <f>IF(A273&gt;Inputs!$C$62,"",MIN(0.5,MAX(0, Inputs!$C$67*L273 + Inputs!$C$68*(1-K273) + Inputs!$C$69*Inputs!$C$10)))</f>
        <v/>
      </c>
      <c r="AH273" s="51">
        <f>IF(A273&gt;Inputs!$C$62,"",INDEX(CapacityPlan!$G$7:$G$266,A273))</f>
        <v/>
      </c>
      <c r="AI273" s="54">
        <f>IF(A273&gt;Inputs!$C$62,"",INDEX(CapacityPlan!$J$7:$J$266,A273))</f>
        <v/>
      </c>
      <c r="AJ273" s="51">
        <f>IF(A273&gt;Inputs!$C$62,"",IF(I273=0,"",G273/I273))</f>
        <v/>
      </c>
    </row>
    <row r="274">
      <c r="A274" s="15" t="n">
        <v>252</v>
      </c>
      <c r="B274">
        <f>IF(A274&gt;Inputs!$C$62,"",IF(Inputs!$C$80=1,INDEX(Cohorts!$B$67:$B$326,A274),IF(A274=1,Inputs!$C$63,F273)))</f>
        <v/>
      </c>
      <c r="C274">
        <f>IF(A274&gt;Inputs!$C$62,"",IF(Inputs!$C$85=0,Inputs!$C$64,MIN(Inputs!$C$91,IF(AE274=0,0,AF274/AE274))))</f>
        <v/>
      </c>
      <c r="D274">
        <f>IF(A274&gt;Inputs!$C$62,"",IF(Inputs!$C$80=1,INDEX(Cohorts!$G$67:$G$326,A274),MAX(0, Inputs!$C$66 + Inputs!$C$67*L274 + Inputs!$C$68*(1-K274) + Inputs!$C$69*Inputs!$C$10)))</f>
        <v/>
      </c>
      <c r="E274">
        <f>IF(A274&gt;Inputs!$C$62,"",IF(Inputs!$C$80=1,INDEX(Cohorts!$H$67:$H$326,A274),D274*AD274))</f>
        <v/>
      </c>
      <c r="F274">
        <f>IF(A274&gt;Inputs!$C$62,"",IF(Inputs!$C$80=1,INDEX(Cohorts!$I$67:$I$326,A274),AD274-E274))</f>
        <v/>
      </c>
      <c r="G274">
        <f>IF(A274&gt;Inputs!$C$62,"",AD274)</f>
        <v/>
      </c>
      <c r="H274">
        <f>IF(A274&gt;Inputs!$C$62,"",INDEX(CapacityPlan!$E$7:$E$266,A274))</f>
        <v/>
      </c>
      <c r="I274">
        <f>IF(A274&gt;Inputs!$C$62,"",INDEX(CapacityPlan!$I$7:$I$266,A274))</f>
        <v/>
      </c>
      <c r="J274">
        <f>IF(A274&gt;Inputs!$C$62,"",IF(G274&gt;I274,I274,G274))</f>
        <v/>
      </c>
      <c r="K274">
        <f>IF(A274&gt;Inputs!$C$62,"",IF(G274=0,1,J274/G274))</f>
        <v/>
      </c>
      <c r="M274">
        <f>IF(A274&gt;Inputs!$C$62,"",J274*Inputs!$C$7*(1-Inputs!$C$8)*(1-L274))</f>
        <v/>
      </c>
      <c r="N274">
        <f>IF(A274&gt;Inputs!$C$62,"",J274*UnitEconomics!$B$32*AI274 + (G274-J274)*Inputs!$C$71)</f>
        <v/>
      </c>
      <c r="P274">
        <f>IF(A274&gt;Inputs!$C$62,"",Inputs!$C$40 + H274*Inputs!$C$41)</f>
        <v/>
      </c>
      <c r="R274">
        <f>IF(A274&gt;Inputs!$C$62,"",AD274*Inputs!$C$16*(Inputs!$C$9 + Inputs!$C$10*Inputs!$C$11 + Inputs!$C$12)*(1 + VLOOKUP(Inputs!$C$15,Lookups!$A$2:$B$20,2,TRUE)*(Scale!$B$9/IF(Scale!$B$8=0,1,Scale!$B$8)) + Inputs!$C$52))</f>
        <v/>
      </c>
      <c r="Y274">
        <f>IF(A274&gt;Inputs!$C$62,"",C274*AE274)</f>
        <v/>
      </c>
      <c r="AC274">
        <f>IF(AD274=0,0,R274/(AD274*Inputs!$C$16))</f>
        <v/>
      </c>
      <c r="AD274" s="53">
        <f>IF(A274&gt;Inputs!$C$62,"",B274+C274)</f>
        <v/>
      </c>
      <c r="AE274" s="56">
        <f>IF(A274&gt;Inputs!$C$62,"", Inputs!$C$65*(1+Inputs!$C$89*POWER(MIN(1,IF(Inputs!$C$88=0,0,B274/Inputs!$C$88)),Inputs!$C$90)))</f>
        <v/>
      </c>
      <c r="AF274" s="52">
        <f>IF(A274&gt;Inputs!$C$62,"",IF(A274=1,Inputs!$C$86,MIN(Inputs!$C$86,Inputs!$C$87*M273)))</f>
        <v/>
      </c>
      <c r="AG274" s="51">
        <f>IF(A274&gt;Inputs!$C$62,"",MIN(0.5,MAX(0, Inputs!$C$67*L274 + Inputs!$C$68*(1-K274) + Inputs!$C$69*Inputs!$C$10)))</f>
        <v/>
      </c>
      <c r="AH274" s="51">
        <f>IF(A274&gt;Inputs!$C$62,"",INDEX(CapacityPlan!$G$7:$G$266,A274))</f>
        <v/>
      </c>
      <c r="AI274" s="54">
        <f>IF(A274&gt;Inputs!$C$62,"",INDEX(CapacityPlan!$J$7:$J$266,A274))</f>
        <v/>
      </c>
      <c r="AJ274" s="51">
        <f>IF(A274&gt;Inputs!$C$62,"",IF(I274=0,"",G274/I274))</f>
        <v/>
      </c>
    </row>
    <row r="275">
      <c r="A275" s="15" t="n">
        <v>253</v>
      </c>
      <c r="B275">
        <f>IF(A275&gt;Inputs!$C$62,"",IF(Inputs!$C$80=1,INDEX(Cohorts!$B$67:$B$326,A275),IF(A275=1,Inputs!$C$63,F274)))</f>
        <v/>
      </c>
      <c r="C275">
        <f>IF(A275&gt;Inputs!$C$62,"",IF(Inputs!$C$85=0,Inputs!$C$64,MIN(Inputs!$C$91,IF(AE275=0,0,AF275/AE275))))</f>
        <v/>
      </c>
      <c r="D275">
        <f>IF(A275&gt;Inputs!$C$62,"",IF(Inputs!$C$80=1,INDEX(Cohorts!$G$67:$G$326,A275),MAX(0, Inputs!$C$66 + Inputs!$C$67*L275 + Inputs!$C$68*(1-K275) + Inputs!$C$69*Inputs!$C$10)))</f>
        <v/>
      </c>
      <c r="E275">
        <f>IF(A275&gt;Inputs!$C$62,"",IF(Inputs!$C$80=1,INDEX(Cohorts!$H$67:$H$326,A275),D275*AD275))</f>
        <v/>
      </c>
      <c r="F275">
        <f>IF(A275&gt;Inputs!$C$62,"",IF(Inputs!$C$80=1,INDEX(Cohorts!$I$67:$I$326,A275),AD275-E275))</f>
        <v/>
      </c>
      <c r="G275">
        <f>IF(A275&gt;Inputs!$C$62,"",AD275)</f>
        <v/>
      </c>
      <c r="H275">
        <f>IF(A275&gt;Inputs!$C$62,"",INDEX(CapacityPlan!$E$7:$E$266,A275))</f>
        <v/>
      </c>
      <c r="I275">
        <f>IF(A275&gt;Inputs!$C$62,"",INDEX(CapacityPlan!$I$7:$I$266,A275))</f>
        <v/>
      </c>
      <c r="J275">
        <f>IF(A275&gt;Inputs!$C$62,"",IF(G275&gt;I275,I275,G275))</f>
        <v/>
      </c>
      <c r="K275">
        <f>IF(A275&gt;Inputs!$C$62,"",IF(G275=0,1,J275/G275))</f>
        <v/>
      </c>
      <c r="M275">
        <f>IF(A275&gt;Inputs!$C$62,"",J275*Inputs!$C$7*(1-Inputs!$C$8)*(1-L275))</f>
        <v/>
      </c>
      <c r="N275">
        <f>IF(A275&gt;Inputs!$C$62,"",J275*UnitEconomics!$B$32*AI275 + (G275-J275)*Inputs!$C$71)</f>
        <v/>
      </c>
      <c r="P275">
        <f>IF(A275&gt;Inputs!$C$62,"",Inputs!$C$40 + H275*Inputs!$C$41)</f>
        <v/>
      </c>
      <c r="R275">
        <f>IF(A275&gt;Inputs!$C$62,"",AD275*Inputs!$C$16*(Inputs!$C$9 + Inputs!$C$10*Inputs!$C$11 + Inputs!$C$12)*(1 + VLOOKUP(Inputs!$C$15,Lookups!$A$2:$B$20,2,TRUE)*(Scale!$B$9/IF(Scale!$B$8=0,1,Scale!$B$8)) + Inputs!$C$52))</f>
        <v/>
      </c>
      <c r="Y275">
        <f>IF(A275&gt;Inputs!$C$62,"",C275*AE275)</f>
        <v/>
      </c>
      <c r="AC275">
        <f>IF(AD275=0,0,R275/(AD275*Inputs!$C$16))</f>
        <v/>
      </c>
      <c r="AD275" s="53">
        <f>IF(A275&gt;Inputs!$C$62,"",B275+C275)</f>
        <v/>
      </c>
      <c r="AE275" s="56">
        <f>IF(A275&gt;Inputs!$C$62,"", Inputs!$C$65*(1+Inputs!$C$89*POWER(MIN(1,IF(Inputs!$C$88=0,0,B275/Inputs!$C$88)),Inputs!$C$90)))</f>
        <v/>
      </c>
      <c r="AF275" s="52">
        <f>IF(A275&gt;Inputs!$C$62,"",IF(A275=1,Inputs!$C$86,MIN(Inputs!$C$86,Inputs!$C$87*M274)))</f>
        <v/>
      </c>
      <c r="AG275" s="51">
        <f>IF(A275&gt;Inputs!$C$62,"",MIN(0.5,MAX(0, Inputs!$C$67*L275 + Inputs!$C$68*(1-K275) + Inputs!$C$69*Inputs!$C$10)))</f>
        <v/>
      </c>
      <c r="AH275" s="51">
        <f>IF(A275&gt;Inputs!$C$62,"",INDEX(CapacityPlan!$G$7:$G$266,A275))</f>
        <v/>
      </c>
      <c r="AI275" s="54">
        <f>IF(A275&gt;Inputs!$C$62,"",INDEX(CapacityPlan!$J$7:$J$266,A275))</f>
        <v/>
      </c>
      <c r="AJ275" s="51">
        <f>IF(A275&gt;Inputs!$C$62,"",IF(I275=0,"",G275/I275))</f>
        <v/>
      </c>
    </row>
    <row r="276">
      <c r="A276" s="15" t="n">
        <v>254</v>
      </c>
      <c r="B276">
        <f>IF(A276&gt;Inputs!$C$62,"",IF(Inputs!$C$80=1,INDEX(Cohorts!$B$67:$B$326,A276),IF(A276=1,Inputs!$C$63,F275)))</f>
        <v/>
      </c>
      <c r="C276">
        <f>IF(A276&gt;Inputs!$C$62,"",IF(Inputs!$C$85=0,Inputs!$C$64,MIN(Inputs!$C$91,IF(AE276=0,0,AF276/AE276))))</f>
        <v/>
      </c>
      <c r="D276">
        <f>IF(A276&gt;Inputs!$C$62,"",IF(Inputs!$C$80=1,INDEX(Cohorts!$G$67:$G$326,A276),MAX(0, Inputs!$C$66 + Inputs!$C$67*L276 + Inputs!$C$68*(1-K276) + Inputs!$C$69*Inputs!$C$10)))</f>
        <v/>
      </c>
      <c r="E276">
        <f>IF(A276&gt;Inputs!$C$62,"",IF(Inputs!$C$80=1,INDEX(Cohorts!$H$67:$H$326,A276),D276*AD276))</f>
        <v/>
      </c>
      <c r="F276">
        <f>IF(A276&gt;Inputs!$C$62,"",IF(Inputs!$C$80=1,INDEX(Cohorts!$I$67:$I$326,A276),AD276-E276))</f>
        <v/>
      </c>
      <c r="G276">
        <f>IF(A276&gt;Inputs!$C$62,"",AD276)</f>
        <v/>
      </c>
      <c r="H276">
        <f>IF(A276&gt;Inputs!$C$62,"",INDEX(CapacityPlan!$E$7:$E$266,A276))</f>
        <v/>
      </c>
      <c r="I276">
        <f>IF(A276&gt;Inputs!$C$62,"",INDEX(CapacityPlan!$I$7:$I$266,A276))</f>
        <v/>
      </c>
      <c r="J276">
        <f>IF(A276&gt;Inputs!$C$62,"",IF(G276&gt;I276,I276,G276))</f>
        <v/>
      </c>
      <c r="K276">
        <f>IF(A276&gt;Inputs!$C$62,"",IF(G276=0,1,J276/G276))</f>
        <v/>
      </c>
      <c r="M276">
        <f>IF(A276&gt;Inputs!$C$62,"",J276*Inputs!$C$7*(1-Inputs!$C$8)*(1-L276))</f>
        <v/>
      </c>
      <c r="N276">
        <f>IF(A276&gt;Inputs!$C$62,"",J276*UnitEconomics!$B$32*AI276 + (G276-J276)*Inputs!$C$71)</f>
        <v/>
      </c>
      <c r="P276">
        <f>IF(A276&gt;Inputs!$C$62,"",Inputs!$C$40 + H276*Inputs!$C$41)</f>
        <v/>
      </c>
      <c r="R276">
        <f>IF(A276&gt;Inputs!$C$62,"",AD276*Inputs!$C$16*(Inputs!$C$9 + Inputs!$C$10*Inputs!$C$11 + Inputs!$C$12)*(1 + VLOOKUP(Inputs!$C$15,Lookups!$A$2:$B$20,2,TRUE)*(Scale!$B$9/IF(Scale!$B$8=0,1,Scale!$B$8)) + Inputs!$C$52))</f>
        <v/>
      </c>
      <c r="Y276">
        <f>IF(A276&gt;Inputs!$C$62,"",C276*AE276)</f>
        <v/>
      </c>
      <c r="AC276">
        <f>IF(AD276=0,0,R276/(AD276*Inputs!$C$16))</f>
        <v/>
      </c>
      <c r="AD276" s="53">
        <f>IF(A276&gt;Inputs!$C$62,"",B276+C276)</f>
        <v/>
      </c>
      <c r="AE276" s="56">
        <f>IF(A276&gt;Inputs!$C$62,"", Inputs!$C$65*(1+Inputs!$C$89*POWER(MIN(1,IF(Inputs!$C$88=0,0,B276/Inputs!$C$88)),Inputs!$C$90)))</f>
        <v/>
      </c>
      <c r="AF276" s="52">
        <f>IF(A276&gt;Inputs!$C$62,"",IF(A276=1,Inputs!$C$86,MIN(Inputs!$C$86,Inputs!$C$87*M275)))</f>
        <v/>
      </c>
      <c r="AG276" s="51">
        <f>IF(A276&gt;Inputs!$C$62,"",MIN(0.5,MAX(0, Inputs!$C$67*L276 + Inputs!$C$68*(1-K276) + Inputs!$C$69*Inputs!$C$10)))</f>
        <v/>
      </c>
      <c r="AH276" s="51">
        <f>IF(A276&gt;Inputs!$C$62,"",INDEX(CapacityPlan!$G$7:$G$266,A276))</f>
        <v/>
      </c>
      <c r="AI276" s="54">
        <f>IF(A276&gt;Inputs!$C$62,"",INDEX(CapacityPlan!$J$7:$J$266,A276))</f>
        <v/>
      </c>
      <c r="AJ276" s="51">
        <f>IF(A276&gt;Inputs!$C$62,"",IF(I276=0,"",G276/I276))</f>
        <v/>
      </c>
    </row>
    <row r="277">
      <c r="A277" s="15" t="n">
        <v>255</v>
      </c>
      <c r="B277">
        <f>IF(A277&gt;Inputs!$C$62,"",IF(Inputs!$C$80=1,INDEX(Cohorts!$B$67:$B$326,A277),IF(A277=1,Inputs!$C$63,F276)))</f>
        <v/>
      </c>
      <c r="C277">
        <f>IF(A277&gt;Inputs!$C$62,"",IF(Inputs!$C$85=0,Inputs!$C$64,MIN(Inputs!$C$91,IF(AE277=0,0,AF277/AE277))))</f>
        <v/>
      </c>
      <c r="D277">
        <f>IF(A277&gt;Inputs!$C$62,"",IF(Inputs!$C$80=1,INDEX(Cohorts!$G$67:$G$326,A277),MAX(0, Inputs!$C$66 + Inputs!$C$67*L277 + Inputs!$C$68*(1-K277) + Inputs!$C$69*Inputs!$C$10)))</f>
        <v/>
      </c>
      <c r="E277">
        <f>IF(A277&gt;Inputs!$C$62,"",IF(Inputs!$C$80=1,INDEX(Cohorts!$H$67:$H$326,A277),D277*AD277))</f>
        <v/>
      </c>
      <c r="F277">
        <f>IF(A277&gt;Inputs!$C$62,"",IF(Inputs!$C$80=1,INDEX(Cohorts!$I$67:$I$326,A277),AD277-E277))</f>
        <v/>
      </c>
      <c r="G277">
        <f>IF(A277&gt;Inputs!$C$62,"",AD277)</f>
        <v/>
      </c>
      <c r="H277">
        <f>IF(A277&gt;Inputs!$C$62,"",INDEX(CapacityPlan!$E$7:$E$266,A277))</f>
        <v/>
      </c>
      <c r="I277">
        <f>IF(A277&gt;Inputs!$C$62,"",INDEX(CapacityPlan!$I$7:$I$266,A277))</f>
        <v/>
      </c>
      <c r="J277">
        <f>IF(A277&gt;Inputs!$C$62,"",IF(G277&gt;I277,I277,G277))</f>
        <v/>
      </c>
      <c r="K277">
        <f>IF(A277&gt;Inputs!$C$62,"",IF(G277=0,1,J277/G277))</f>
        <v/>
      </c>
      <c r="M277">
        <f>IF(A277&gt;Inputs!$C$62,"",J277*Inputs!$C$7*(1-Inputs!$C$8)*(1-L277))</f>
        <v/>
      </c>
      <c r="N277">
        <f>IF(A277&gt;Inputs!$C$62,"",J277*UnitEconomics!$B$32*AI277 + (G277-J277)*Inputs!$C$71)</f>
        <v/>
      </c>
      <c r="P277">
        <f>IF(A277&gt;Inputs!$C$62,"",Inputs!$C$40 + H277*Inputs!$C$41)</f>
        <v/>
      </c>
      <c r="R277">
        <f>IF(A277&gt;Inputs!$C$62,"",AD277*Inputs!$C$16*(Inputs!$C$9 + Inputs!$C$10*Inputs!$C$11 + Inputs!$C$12)*(1 + VLOOKUP(Inputs!$C$15,Lookups!$A$2:$B$20,2,TRUE)*(Scale!$B$9/IF(Scale!$B$8=0,1,Scale!$B$8)) + Inputs!$C$52))</f>
        <v/>
      </c>
      <c r="Y277">
        <f>IF(A277&gt;Inputs!$C$62,"",C277*AE277)</f>
        <v/>
      </c>
      <c r="AC277">
        <f>IF(AD277=0,0,R277/(AD277*Inputs!$C$16))</f>
        <v/>
      </c>
      <c r="AD277" s="53">
        <f>IF(A277&gt;Inputs!$C$62,"",B277+C277)</f>
        <v/>
      </c>
      <c r="AE277" s="56">
        <f>IF(A277&gt;Inputs!$C$62,"", Inputs!$C$65*(1+Inputs!$C$89*POWER(MIN(1,IF(Inputs!$C$88=0,0,B277/Inputs!$C$88)),Inputs!$C$90)))</f>
        <v/>
      </c>
      <c r="AF277" s="52">
        <f>IF(A277&gt;Inputs!$C$62,"",IF(A277=1,Inputs!$C$86,MIN(Inputs!$C$86,Inputs!$C$87*M276)))</f>
        <v/>
      </c>
      <c r="AG277" s="51">
        <f>IF(A277&gt;Inputs!$C$62,"",MIN(0.5,MAX(0, Inputs!$C$67*L277 + Inputs!$C$68*(1-K277) + Inputs!$C$69*Inputs!$C$10)))</f>
        <v/>
      </c>
      <c r="AH277" s="51">
        <f>IF(A277&gt;Inputs!$C$62,"",INDEX(CapacityPlan!$G$7:$G$266,A277))</f>
        <v/>
      </c>
      <c r="AI277" s="54">
        <f>IF(A277&gt;Inputs!$C$62,"",INDEX(CapacityPlan!$J$7:$J$266,A277))</f>
        <v/>
      </c>
      <c r="AJ277" s="51">
        <f>IF(A277&gt;Inputs!$C$62,"",IF(I277=0,"",G277/I277))</f>
        <v/>
      </c>
    </row>
    <row r="278">
      <c r="A278" s="15" t="n">
        <v>256</v>
      </c>
      <c r="B278">
        <f>IF(A278&gt;Inputs!$C$62,"",IF(Inputs!$C$80=1,INDEX(Cohorts!$B$67:$B$326,A278),IF(A278=1,Inputs!$C$63,F277)))</f>
        <v/>
      </c>
      <c r="C278">
        <f>IF(A278&gt;Inputs!$C$62,"",IF(Inputs!$C$85=0,Inputs!$C$64,MIN(Inputs!$C$91,IF(AE278=0,0,AF278/AE278))))</f>
        <v/>
      </c>
      <c r="D278">
        <f>IF(A278&gt;Inputs!$C$62,"",IF(Inputs!$C$80=1,INDEX(Cohorts!$G$67:$G$326,A278),MAX(0, Inputs!$C$66 + Inputs!$C$67*L278 + Inputs!$C$68*(1-K278) + Inputs!$C$69*Inputs!$C$10)))</f>
        <v/>
      </c>
      <c r="E278">
        <f>IF(A278&gt;Inputs!$C$62,"",IF(Inputs!$C$80=1,INDEX(Cohorts!$H$67:$H$326,A278),D278*AD278))</f>
        <v/>
      </c>
      <c r="F278">
        <f>IF(A278&gt;Inputs!$C$62,"",IF(Inputs!$C$80=1,INDEX(Cohorts!$I$67:$I$326,A278),AD278-E278))</f>
        <v/>
      </c>
      <c r="G278">
        <f>IF(A278&gt;Inputs!$C$62,"",AD278)</f>
        <v/>
      </c>
      <c r="H278">
        <f>IF(A278&gt;Inputs!$C$62,"",INDEX(CapacityPlan!$E$7:$E$266,A278))</f>
        <v/>
      </c>
      <c r="I278">
        <f>IF(A278&gt;Inputs!$C$62,"",INDEX(CapacityPlan!$I$7:$I$266,A278))</f>
        <v/>
      </c>
      <c r="J278">
        <f>IF(A278&gt;Inputs!$C$62,"",IF(G278&gt;I278,I278,G278))</f>
        <v/>
      </c>
      <c r="K278">
        <f>IF(A278&gt;Inputs!$C$62,"",IF(G278=0,1,J278/G278))</f>
        <v/>
      </c>
      <c r="M278">
        <f>IF(A278&gt;Inputs!$C$62,"",J278*Inputs!$C$7*(1-Inputs!$C$8)*(1-L278))</f>
        <v/>
      </c>
      <c r="N278">
        <f>IF(A278&gt;Inputs!$C$62,"",J278*UnitEconomics!$B$32*AI278 + (G278-J278)*Inputs!$C$71)</f>
        <v/>
      </c>
      <c r="P278">
        <f>IF(A278&gt;Inputs!$C$62,"",Inputs!$C$40 + H278*Inputs!$C$41)</f>
        <v/>
      </c>
      <c r="R278">
        <f>IF(A278&gt;Inputs!$C$62,"",AD278*Inputs!$C$16*(Inputs!$C$9 + Inputs!$C$10*Inputs!$C$11 + Inputs!$C$12)*(1 + VLOOKUP(Inputs!$C$15,Lookups!$A$2:$B$20,2,TRUE)*(Scale!$B$9/IF(Scale!$B$8=0,1,Scale!$B$8)) + Inputs!$C$52))</f>
        <v/>
      </c>
      <c r="Y278">
        <f>IF(A278&gt;Inputs!$C$62,"",C278*AE278)</f>
        <v/>
      </c>
      <c r="AC278">
        <f>IF(AD278=0,0,R278/(AD278*Inputs!$C$16))</f>
        <v/>
      </c>
      <c r="AD278" s="53">
        <f>IF(A278&gt;Inputs!$C$62,"",B278+C278)</f>
        <v/>
      </c>
      <c r="AE278" s="56">
        <f>IF(A278&gt;Inputs!$C$62,"", Inputs!$C$65*(1+Inputs!$C$89*POWER(MIN(1,IF(Inputs!$C$88=0,0,B278/Inputs!$C$88)),Inputs!$C$90)))</f>
        <v/>
      </c>
      <c r="AF278" s="52">
        <f>IF(A278&gt;Inputs!$C$62,"",IF(A278=1,Inputs!$C$86,MIN(Inputs!$C$86,Inputs!$C$87*M277)))</f>
        <v/>
      </c>
      <c r="AG278" s="51">
        <f>IF(A278&gt;Inputs!$C$62,"",MIN(0.5,MAX(0, Inputs!$C$67*L278 + Inputs!$C$68*(1-K278) + Inputs!$C$69*Inputs!$C$10)))</f>
        <v/>
      </c>
      <c r="AH278" s="51">
        <f>IF(A278&gt;Inputs!$C$62,"",INDEX(CapacityPlan!$G$7:$G$266,A278))</f>
        <v/>
      </c>
      <c r="AI278" s="54">
        <f>IF(A278&gt;Inputs!$C$62,"",INDEX(CapacityPlan!$J$7:$J$266,A278))</f>
        <v/>
      </c>
      <c r="AJ278" s="51">
        <f>IF(A278&gt;Inputs!$C$62,"",IF(I278=0,"",G278/I278))</f>
        <v/>
      </c>
    </row>
    <row r="279">
      <c r="A279" s="15" t="n">
        <v>257</v>
      </c>
      <c r="B279">
        <f>IF(A279&gt;Inputs!$C$62,"",IF(Inputs!$C$80=1,INDEX(Cohorts!$B$67:$B$326,A279),IF(A279=1,Inputs!$C$63,F278)))</f>
        <v/>
      </c>
      <c r="C279">
        <f>IF(A279&gt;Inputs!$C$62,"",IF(Inputs!$C$85=0,Inputs!$C$64,MIN(Inputs!$C$91,IF(AE279=0,0,AF279/AE279))))</f>
        <v/>
      </c>
      <c r="D279">
        <f>IF(A279&gt;Inputs!$C$62,"",IF(Inputs!$C$80=1,INDEX(Cohorts!$G$67:$G$326,A279),MAX(0, Inputs!$C$66 + Inputs!$C$67*L279 + Inputs!$C$68*(1-K279) + Inputs!$C$69*Inputs!$C$10)))</f>
        <v/>
      </c>
      <c r="E279">
        <f>IF(A279&gt;Inputs!$C$62,"",IF(Inputs!$C$80=1,INDEX(Cohorts!$H$67:$H$326,A279),D279*AD279))</f>
        <v/>
      </c>
      <c r="F279">
        <f>IF(A279&gt;Inputs!$C$62,"",IF(Inputs!$C$80=1,INDEX(Cohorts!$I$67:$I$326,A279),AD279-E279))</f>
        <v/>
      </c>
      <c r="G279">
        <f>IF(A279&gt;Inputs!$C$62,"",AD279)</f>
        <v/>
      </c>
      <c r="H279">
        <f>IF(A279&gt;Inputs!$C$62,"",INDEX(CapacityPlan!$E$7:$E$266,A279))</f>
        <v/>
      </c>
      <c r="I279">
        <f>IF(A279&gt;Inputs!$C$62,"",INDEX(CapacityPlan!$I$7:$I$266,A279))</f>
        <v/>
      </c>
      <c r="J279">
        <f>IF(A279&gt;Inputs!$C$62,"",IF(G279&gt;I279,I279,G279))</f>
        <v/>
      </c>
      <c r="K279">
        <f>IF(A279&gt;Inputs!$C$62,"",IF(G279=0,1,J279/G279))</f>
        <v/>
      </c>
      <c r="M279">
        <f>IF(A279&gt;Inputs!$C$62,"",J279*Inputs!$C$7*(1-Inputs!$C$8)*(1-L279))</f>
        <v/>
      </c>
      <c r="N279">
        <f>IF(A279&gt;Inputs!$C$62,"",J279*UnitEconomics!$B$32*AI279 + (G279-J279)*Inputs!$C$71)</f>
        <v/>
      </c>
      <c r="P279">
        <f>IF(A279&gt;Inputs!$C$62,"",Inputs!$C$40 + H279*Inputs!$C$41)</f>
        <v/>
      </c>
      <c r="R279">
        <f>IF(A279&gt;Inputs!$C$62,"",AD279*Inputs!$C$16*(Inputs!$C$9 + Inputs!$C$10*Inputs!$C$11 + Inputs!$C$12)*(1 + VLOOKUP(Inputs!$C$15,Lookups!$A$2:$B$20,2,TRUE)*(Scale!$B$9/IF(Scale!$B$8=0,1,Scale!$B$8)) + Inputs!$C$52))</f>
        <v/>
      </c>
      <c r="Y279">
        <f>IF(A279&gt;Inputs!$C$62,"",C279*AE279)</f>
        <v/>
      </c>
      <c r="AC279">
        <f>IF(AD279=0,0,R279/(AD279*Inputs!$C$16))</f>
        <v/>
      </c>
      <c r="AD279" s="53">
        <f>IF(A279&gt;Inputs!$C$62,"",B279+C279)</f>
        <v/>
      </c>
      <c r="AE279" s="56">
        <f>IF(A279&gt;Inputs!$C$62,"", Inputs!$C$65*(1+Inputs!$C$89*POWER(MIN(1,IF(Inputs!$C$88=0,0,B279/Inputs!$C$88)),Inputs!$C$90)))</f>
        <v/>
      </c>
      <c r="AF279" s="52">
        <f>IF(A279&gt;Inputs!$C$62,"",IF(A279=1,Inputs!$C$86,MIN(Inputs!$C$86,Inputs!$C$87*M278)))</f>
        <v/>
      </c>
      <c r="AG279" s="51">
        <f>IF(A279&gt;Inputs!$C$62,"",MIN(0.5,MAX(0, Inputs!$C$67*L279 + Inputs!$C$68*(1-K279) + Inputs!$C$69*Inputs!$C$10)))</f>
        <v/>
      </c>
      <c r="AH279" s="51">
        <f>IF(A279&gt;Inputs!$C$62,"",INDEX(CapacityPlan!$G$7:$G$266,A279))</f>
        <v/>
      </c>
      <c r="AI279" s="54">
        <f>IF(A279&gt;Inputs!$C$62,"",INDEX(CapacityPlan!$J$7:$J$266,A279))</f>
        <v/>
      </c>
      <c r="AJ279" s="51">
        <f>IF(A279&gt;Inputs!$C$62,"",IF(I279=0,"",G279/I279))</f>
        <v/>
      </c>
    </row>
    <row r="280">
      <c r="A280" s="15" t="n">
        <v>258</v>
      </c>
      <c r="B280">
        <f>IF(A280&gt;Inputs!$C$62,"",IF(Inputs!$C$80=1,INDEX(Cohorts!$B$67:$B$326,A280),IF(A280=1,Inputs!$C$63,F279)))</f>
        <v/>
      </c>
      <c r="C280">
        <f>IF(A280&gt;Inputs!$C$62,"",IF(Inputs!$C$85=0,Inputs!$C$64,MIN(Inputs!$C$91,IF(AE280=0,0,AF280/AE280))))</f>
        <v/>
      </c>
      <c r="D280">
        <f>IF(A280&gt;Inputs!$C$62,"",IF(Inputs!$C$80=1,INDEX(Cohorts!$G$67:$G$326,A280),MAX(0, Inputs!$C$66 + Inputs!$C$67*L280 + Inputs!$C$68*(1-K280) + Inputs!$C$69*Inputs!$C$10)))</f>
        <v/>
      </c>
      <c r="E280">
        <f>IF(A280&gt;Inputs!$C$62,"",IF(Inputs!$C$80=1,INDEX(Cohorts!$H$67:$H$326,A280),D280*AD280))</f>
        <v/>
      </c>
      <c r="F280">
        <f>IF(A280&gt;Inputs!$C$62,"",IF(Inputs!$C$80=1,INDEX(Cohorts!$I$67:$I$326,A280),AD280-E280))</f>
        <v/>
      </c>
      <c r="G280">
        <f>IF(A280&gt;Inputs!$C$62,"",AD280)</f>
        <v/>
      </c>
      <c r="H280">
        <f>IF(A280&gt;Inputs!$C$62,"",INDEX(CapacityPlan!$E$7:$E$266,A280))</f>
        <v/>
      </c>
      <c r="I280">
        <f>IF(A280&gt;Inputs!$C$62,"",INDEX(CapacityPlan!$I$7:$I$266,A280))</f>
        <v/>
      </c>
      <c r="J280">
        <f>IF(A280&gt;Inputs!$C$62,"",IF(G280&gt;I280,I280,G280))</f>
        <v/>
      </c>
      <c r="K280">
        <f>IF(A280&gt;Inputs!$C$62,"",IF(G280=0,1,J280/G280))</f>
        <v/>
      </c>
      <c r="M280">
        <f>IF(A280&gt;Inputs!$C$62,"",J280*Inputs!$C$7*(1-Inputs!$C$8)*(1-L280))</f>
        <v/>
      </c>
      <c r="N280">
        <f>IF(A280&gt;Inputs!$C$62,"",J280*UnitEconomics!$B$32*AI280 + (G280-J280)*Inputs!$C$71)</f>
        <v/>
      </c>
      <c r="P280">
        <f>IF(A280&gt;Inputs!$C$62,"",Inputs!$C$40 + H280*Inputs!$C$41)</f>
        <v/>
      </c>
      <c r="R280">
        <f>IF(A280&gt;Inputs!$C$62,"",AD280*Inputs!$C$16*(Inputs!$C$9 + Inputs!$C$10*Inputs!$C$11 + Inputs!$C$12)*(1 + VLOOKUP(Inputs!$C$15,Lookups!$A$2:$B$20,2,TRUE)*(Scale!$B$9/IF(Scale!$B$8=0,1,Scale!$B$8)) + Inputs!$C$52))</f>
        <v/>
      </c>
      <c r="Y280">
        <f>IF(A280&gt;Inputs!$C$62,"",C280*AE280)</f>
        <v/>
      </c>
      <c r="AC280">
        <f>IF(AD280=0,0,R280/(AD280*Inputs!$C$16))</f>
        <v/>
      </c>
      <c r="AD280" s="53">
        <f>IF(A280&gt;Inputs!$C$62,"",B280+C280)</f>
        <v/>
      </c>
      <c r="AE280" s="56">
        <f>IF(A280&gt;Inputs!$C$62,"", Inputs!$C$65*(1+Inputs!$C$89*POWER(MIN(1,IF(Inputs!$C$88=0,0,B280/Inputs!$C$88)),Inputs!$C$90)))</f>
        <v/>
      </c>
      <c r="AF280" s="52">
        <f>IF(A280&gt;Inputs!$C$62,"",IF(A280=1,Inputs!$C$86,MIN(Inputs!$C$86,Inputs!$C$87*M279)))</f>
        <v/>
      </c>
      <c r="AG280" s="51">
        <f>IF(A280&gt;Inputs!$C$62,"",MIN(0.5,MAX(0, Inputs!$C$67*L280 + Inputs!$C$68*(1-K280) + Inputs!$C$69*Inputs!$C$10)))</f>
        <v/>
      </c>
      <c r="AH280" s="51">
        <f>IF(A280&gt;Inputs!$C$62,"",INDEX(CapacityPlan!$G$7:$G$266,A280))</f>
        <v/>
      </c>
      <c r="AI280" s="54">
        <f>IF(A280&gt;Inputs!$C$62,"",INDEX(CapacityPlan!$J$7:$J$266,A280))</f>
        <v/>
      </c>
      <c r="AJ280" s="51">
        <f>IF(A280&gt;Inputs!$C$62,"",IF(I280=0,"",G280/I280))</f>
        <v/>
      </c>
    </row>
    <row r="281">
      <c r="A281" s="15" t="n">
        <v>259</v>
      </c>
      <c r="B281">
        <f>IF(A281&gt;Inputs!$C$62,"",IF(Inputs!$C$80=1,INDEX(Cohorts!$B$67:$B$326,A281),IF(A281=1,Inputs!$C$63,F280)))</f>
        <v/>
      </c>
      <c r="C281">
        <f>IF(A281&gt;Inputs!$C$62,"",IF(Inputs!$C$85=0,Inputs!$C$64,MIN(Inputs!$C$91,IF(AE281=0,0,AF281/AE281))))</f>
        <v/>
      </c>
      <c r="D281">
        <f>IF(A281&gt;Inputs!$C$62,"",IF(Inputs!$C$80=1,INDEX(Cohorts!$G$67:$G$326,A281),MAX(0, Inputs!$C$66 + Inputs!$C$67*L281 + Inputs!$C$68*(1-K281) + Inputs!$C$69*Inputs!$C$10)))</f>
        <v/>
      </c>
      <c r="E281">
        <f>IF(A281&gt;Inputs!$C$62,"",IF(Inputs!$C$80=1,INDEX(Cohorts!$H$67:$H$326,A281),D281*AD281))</f>
        <v/>
      </c>
      <c r="F281">
        <f>IF(A281&gt;Inputs!$C$62,"",IF(Inputs!$C$80=1,INDEX(Cohorts!$I$67:$I$326,A281),AD281-E281))</f>
        <v/>
      </c>
      <c r="G281">
        <f>IF(A281&gt;Inputs!$C$62,"",AD281)</f>
        <v/>
      </c>
      <c r="H281">
        <f>IF(A281&gt;Inputs!$C$62,"",INDEX(CapacityPlan!$E$7:$E$266,A281))</f>
        <v/>
      </c>
      <c r="I281">
        <f>IF(A281&gt;Inputs!$C$62,"",INDEX(CapacityPlan!$I$7:$I$266,A281))</f>
        <v/>
      </c>
      <c r="J281">
        <f>IF(A281&gt;Inputs!$C$62,"",IF(G281&gt;I281,I281,G281))</f>
        <v/>
      </c>
      <c r="K281">
        <f>IF(A281&gt;Inputs!$C$62,"",IF(G281=0,1,J281/G281))</f>
        <v/>
      </c>
      <c r="M281">
        <f>IF(A281&gt;Inputs!$C$62,"",J281*Inputs!$C$7*(1-Inputs!$C$8)*(1-L281))</f>
        <v/>
      </c>
      <c r="N281">
        <f>IF(A281&gt;Inputs!$C$62,"",J281*UnitEconomics!$B$32*AI281 + (G281-J281)*Inputs!$C$71)</f>
        <v/>
      </c>
      <c r="P281">
        <f>IF(A281&gt;Inputs!$C$62,"",Inputs!$C$40 + H281*Inputs!$C$41)</f>
        <v/>
      </c>
      <c r="R281">
        <f>IF(A281&gt;Inputs!$C$62,"",AD281*Inputs!$C$16*(Inputs!$C$9 + Inputs!$C$10*Inputs!$C$11 + Inputs!$C$12)*(1 + VLOOKUP(Inputs!$C$15,Lookups!$A$2:$B$20,2,TRUE)*(Scale!$B$9/IF(Scale!$B$8=0,1,Scale!$B$8)) + Inputs!$C$52))</f>
        <v/>
      </c>
      <c r="Y281">
        <f>IF(A281&gt;Inputs!$C$62,"",C281*AE281)</f>
        <v/>
      </c>
      <c r="AC281">
        <f>IF(AD281=0,0,R281/(AD281*Inputs!$C$16))</f>
        <v/>
      </c>
      <c r="AD281" s="53">
        <f>IF(A281&gt;Inputs!$C$62,"",B281+C281)</f>
        <v/>
      </c>
      <c r="AE281" s="56">
        <f>IF(A281&gt;Inputs!$C$62,"", Inputs!$C$65*(1+Inputs!$C$89*POWER(MIN(1,IF(Inputs!$C$88=0,0,B281/Inputs!$C$88)),Inputs!$C$90)))</f>
        <v/>
      </c>
      <c r="AF281" s="52">
        <f>IF(A281&gt;Inputs!$C$62,"",IF(A281=1,Inputs!$C$86,MIN(Inputs!$C$86,Inputs!$C$87*M280)))</f>
        <v/>
      </c>
      <c r="AG281" s="51">
        <f>IF(A281&gt;Inputs!$C$62,"",MIN(0.5,MAX(0, Inputs!$C$67*L281 + Inputs!$C$68*(1-K281) + Inputs!$C$69*Inputs!$C$10)))</f>
        <v/>
      </c>
      <c r="AH281" s="51">
        <f>IF(A281&gt;Inputs!$C$62,"",INDEX(CapacityPlan!$G$7:$G$266,A281))</f>
        <v/>
      </c>
      <c r="AI281" s="54">
        <f>IF(A281&gt;Inputs!$C$62,"",INDEX(CapacityPlan!$J$7:$J$266,A281))</f>
        <v/>
      </c>
      <c r="AJ281" s="51">
        <f>IF(A281&gt;Inputs!$C$62,"",IF(I281=0,"",G281/I281))</f>
        <v/>
      </c>
    </row>
    <row r="282">
      <c r="A282" s="15" t="n">
        <v>260</v>
      </c>
      <c r="B282">
        <f>IF(A282&gt;Inputs!$C$62,"",IF(Inputs!$C$80=1,INDEX(Cohorts!$B$67:$B$326,A282),IF(A282=1,Inputs!$C$63,F281)))</f>
        <v/>
      </c>
      <c r="C282">
        <f>IF(A282&gt;Inputs!$C$62,"",IF(Inputs!$C$85=0,Inputs!$C$64,MIN(Inputs!$C$91,IF(AE282=0,0,AF282/AE282))))</f>
        <v/>
      </c>
      <c r="D282">
        <f>IF(A282&gt;Inputs!$C$62,"",IF(Inputs!$C$80=1,INDEX(Cohorts!$G$67:$G$326,A282),MAX(0, Inputs!$C$66 + Inputs!$C$67*L282 + Inputs!$C$68*(1-K282) + Inputs!$C$69*Inputs!$C$10)))</f>
        <v/>
      </c>
      <c r="E282">
        <f>IF(A282&gt;Inputs!$C$62,"",IF(Inputs!$C$80=1,INDEX(Cohorts!$H$67:$H$326,A282),D282*AD282))</f>
        <v/>
      </c>
      <c r="F282">
        <f>IF(A282&gt;Inputs!$C$62,"",IF(Inputs!$C$80=1,INDEX(Cohorts!$I$67:$I$326,A282),AD282-E282))</f>
        <v/>
      </c>
      <c r="G282">
        <f>IF(A282&gt;Inputs!$C$62,"",AD282)</f>
        <v/>
      </c>
      <c r="H282">
        <f>IF(A282&gt;Inputs!$C$62,"",INDEX(CapacityPlan!$E$7:$E$266,A282))</f>
        <v/>
      </c>
      <c r="I282">
        <f>IF(A282&gt;Inputs!$C$62,"",INDEX(CapacityPlan!$I$7:$I$266,A282))</f>
        <v/>
      </c>
      <c r="J282">
        <f>IF(A282&gt;Inputs!$C$62,"",IF(G282&gt;I282,I282,G282))</f>
        <v/>
      </c>
      <c r="K282">
        <f>IF(A282&gt;Inputs!$C$62,"",IF(G282=0,1,J282/G282))</f>
        <v/>
      </c>
      <c r="M282">
        <f>IF(A282&gt;Inputs!$C$62,"",J282*Inputs!$C$7*(1-Inputs!$C$8)*(1-L282))</f>
        <v/>
      </c>
      <c r="N282">
        <f>IF(A282&gt;Inputs!$C$62,"",J282*UnitEconomics!$B$32*AI282 + (G282-J282)*Inputs!$C$71)</f>
        <v/>
      </c>
      <c r="P282">
        <f>IF(A282&gt;Inputs!$C$62,"",Inputs!$C$40 + H282*Inputs!$C$41)</f>
        <v/>
      </c>
      <c r="R282">
        <f>IF(A282&gt;Inputs!$C$62,"",AD282*Inputs!$C$16*(Inputs!$C$9 + Inputs!$C$10*Inputs!$C$11 + Inputs!$C$12)*(1 + VLOOKUP(Inputs!$C$15,Lookups!$A$2:$B$20,2,TRUE)*(Scale!$B$9/IF(Scale!$B$8=0,1,Scale!$B$8)) + Inputs!$C$52))</f>
        <v/>
      </c>
      <c r="Y282">
        <f>IF(A282&gt;Inputs!$C$62,"",C282*AE282)</f>
        <v/>
      </c>
      <c r="AC282">
        <f>IF(AD282=0,0,R282/(AD282*Inputs!$C$16))</f>
        <v/>
      </c>
      <c r="AD282" s="53">
        <f>IF(A282&gt;Inputs!$C$62,"",B282+C282)</f>
        <v/>
      </c>
      <c r="AE282" s="56">
        <f>IF(A282&gt;Inputs!$C$62,"", Inputs!$C$65*(1+Inputs!$C$89*POWER(MIN(1,IF(Inputs!$C$88=0,0,B282/Inputs!$C$88)),Inputs!$C$90)))</f>
        <v/>
      </c>
      <c r="AF282" s="52">
        <f>IF(A282&gt;Inputs!$C$62,"",IF(A282=1,Inputs!$C$86,MIN(Inputs!$C$86,Inputs!$C$87*M281)))</f>
        <v/>
      </c>
      <c r="AG282" s="51">
        <f>IF(A282&gt;Inputs!$C$62,"",MIN(0.5,MAX(0, Inputs!$C$67*L282 + Inputs!$C$68*(1-K282) + Inputs!$C$69*Inputs!$C$10)))</f>
        <v/>
      </c>
      <c r="AH282" s="51">
        <f>IF(A282&gt;Inputs!$C$62,"",INDEX(CapacityPlan!$G$7:$G$266,A282))</f>
        <v/>
      </c>
      <c r="AI282" s="54">
        <f>IF(A282&gt;Inputs!$C$62,"",INDEX(CapacityPlan!$J$7:$J$266,A282))</f>
        <v/>
      </c>
      <c r="AJ282" s="51">
        <f>IF(A282&gt;Inputs!$C$62,"",IF(I282=0,"",G282/I282))</f>
        <v/>
      </c>
    </row>
  </sheetData>
  <mergeCells count="3">
    <mergeCell ref="D3:F3"/>
    <mergeCell ref="A3:C3"/>
    <mergeCell ref="A1:N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005"/>
  <sheetViews>
    <sheetView showGridLines="0" zoomScale="11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0" customWidth="1" min="5" max="5"/>
    <col width="10" customWidth="1" min="6" max="6"/>
    <col width="10" customWidth="1" min="7" max="7"/>
    <col width="10" customWidth="1" min="8" max="8"/>
    <col width="14" customWidth="1" min="9" max="9"/>
    <col width="12" customWidth="1" min="10" max="10"/>
    <col width="14" customWidth="1" min="11" max="11"/>
    <col width="14" customWidth="1" min="12" max="12"/>
    <col width="14" customWidth="1" min="13" max="13"/>
    <col width="14" customWidth="1" min="14" max="14"/>
    <col width="16" customWidth="1" min="15" max="15"/>
    <col width="10" customWidth="1" min="16" max="16"/>
  </cols>
  <sheetData>
    <row r="1" ht="20" customHeight="1">
      <c r="A1" s="3" t="inlineStr">
        <is>
          <t>Monte Carlo (per-cycle). Variance + discrete friction (loss/damage/miship/late).</t>
        </is>
      </c>
      <c r="B1" s="36" t="n"/>
      <c r="C1" s="36" t="n"/>
      <c r="D1" s="36" t="n"/>
      <c r="E1" s="36" t="n"/>
      <c r="F1" s="36" t="n"/>
      <c r="G1" s="36" t="n"/>
      <c r="H1" s="36" t="n"/>
      <c r="I1" s="36" t="n"/>
      <c r="J1" s="36" t="n"/>
      <c r="K1" s="37" t="n"/>
    </row>
    <row r="3">
      <c r="A3" s="5" t="inlineStr">
        <is>
          <t>Runs</t>
        </is>
      </c>
      <c r="B3" s="16" t="n">
        <v>100</v>
      </c>
      <c r="D3" s="22" t="inlineStr">
        <is>
          <t>Summary</t>
        </is>
      </c>
      <c r="E3" s="37" t="n"/>
      <c r="N3" s="22" t="inlineStr">
        <is>
          <t>Constants</t>
        </is>
      </c>
      <c r="O3" s="4" t="inlineStr"/>
    </row>
    <row r="4">
      <c r="D4" s="23" t="inlineStr">
        <is>
          <t>Mean CM</t>
        </is>
      </c>
      <c r="E4" s="38">
        <f>AVERAGE(K6:K105)</f>
        <v/>
      </c>
      <c r="N4" s="8" t="inlineStr">
        <is>
          <t>BASE_REV</t>
        </is>
      </c>
      <c r="O4" s="10">
        <f>Inputs!$C$7*(1-Inputs!$C$8)</f>
        <v/>
      </c>
    </row>
    <row r="5">
      <c r="A5" s="7" t="inlineStr">
        <is>
          <t>Run</t>
        </is>
      </c>
      <c r="B5" s="7" t="inlineStr">
        <is>
          <t>Return wks</t>
        </is>
      </c>
      <c r="C5" s="7" t="inlineStr">
        <is>
          <t>Clean wks</t>
        </is>
      </c>
      <c r="D5" s="7" t="inlineStr">
        <is>
          <t>Cycle wks</t>
        </is>
      </c>
      <c r="E5" s="44">
        <f>PERCENTILE.INC(K6:K105,0.10)</f>
        <v/>
      </c>
      <c r="F5" s="7" t="inlineStr">
        <is>
          <t>Miship?</t>
        </is>
      </c>
      <c r="G5" s="7" t="inlineStr">
        <is>
          <t>Loss ct</t>
        </is>
      </c>
      <c r="H5" s="7" t="inlineStr">
        <is>
          <t>Damage ct</t>
        </is>
      </c>
      <c r="I5" s="7" t="inlineStr">
        <is>
          <t>Damage retire ct</t>
        </is>
      </c>
      <c r="J5" s="7" t="inlineStr">
        <is>
          <t>Refund %</t>
        </is>
      </c>
      <c r="K5" s="7" t="inlineStr">
        <is>
          <t>CM (USD)</t>
        </is>
      </c>
      <c r="L5" s="7" t="inlineStr">
        <is>
          <t>Revenue</t>
        </is>
      </c>
      <c r="M5" s="7" t="inlineStr">
        <is>
          <t>Costs</t>
        </is>
      </c>
      <c r="N5" s="8" t="inlineStr">
        <is>
          <t>CLEAN_QA</t>
        </is>
      </c>
      <c r="O5" s="10">
        <f>Inputs!$C$16*(UnitEconomics!$B$6+Inputs!$C$24)</f>
        <v/>
      </c>
      <c r="P5" s="7" t="inlineStr">
        <is>
          <t>NegFlag</t>
        </is>
      </c>
    </row>
    <row r="6">
      <c r="A6" s="15" t="n">
        <v>1</v>
      </c>
      <c r="B6" s="14">
        <f>MAX(0.1, NORM.INV(RAND(), Inputs!$C$9, Inputs!$C$13) + E6*Inputs!$C$11)</f>
        <v/>
      </c>
      <c r="C6" s="14">
        <f>MAX(0.05, NORM.INV(RAND(), Inputs!$C$12, Inputs!$C$14))</f>
        <v/>
      </c>
      <c r="D6" s="33">
        <f>B6+C6</f>
        <v/>
      </c>
      <c r="E6" s="34">
        <f>PERCENTILE.INC(K6:K105,0.50)</f>
        <v/>
      </c>
      <c r="F6" s="15">
        <f>IF(RAND()&lt;UnitEconomics!$B$12,1,0)</f>
        <v/>
      </c>
      <c r="G6" s="15">
        <f>BINOM.INV(Inputs!$C$16, Inputs!$C$19, RAND())</f>
        <v/>
      </c>
      <c r="H6" s="15">
        <f>BINOM.INV(Inputs!$C$16, Inputs!$C$20, RAND())</f>
        <v/>
      </c>
      <c r="I6" s="15">
        <f>BINOM.INV(H6, Inputs!$C$21, RAND())</f>
        <v/>
      </c>
      <c r="J6" s="12">
        <f>IF( Inputs!$C$36 + F6*Inputs!$C$37 + E6*Inputs!$C$38&gt;1,1, Inputs!$C$36 + F6*Inputs!$C$37 + E6*Inputs!$C$38)</f>
        <v/>
      </c>
      <c r="K6" s="39">
        <f>L6-M6</f>
        <v/>
      </c>
      <c r="L6" s="39">
        <f>$O$4*(1-J6)</f>
        <v/>
      </c>
      <c r="M6" s="39">
        <f>$O$5+$O$6+$O$7+$O$8+$O$9+F6*$O$10+E6*$O$11+$O$12+G6*$O$13+H6*$O$14+I6*$O$13+$O$15*L6+$O$16</f>
        <v/>
      </c>
      <c r="N6" s="8" t="inlineStr">
        <is>
          <t>SHIP</t>
        </is>
      </c>
      <c r="O6" s="10">
        <f>UnitEconomics!$B$10+UnitEconomics!$B$11</f>
        <v/>
      </c>
      <c r="P6" s="15">
        <f>IF(K6&lt;0,1,0)</f>
        <v/>
      </c>
    </row>
    <row r="7">
      <c r="A7" s="15" t="n">
        <v>2</v>
      </c>
      <c r="B7" s="14">
        <f>MAX(0.1, NORM.INV(RAND(), Inputs!$C$9, Inputs!$C$13) + E7*Inputs!$C$11)</f>
        <v/>
      </c>
      <c r="C7" s="14">
        <f>MAX(0.05, NORM.INV(RAND(), Inputs!$C$12, Inputs!$C$14))</f>
        <v/>
      </c>
      <c r="D7" s="33">
        <f>B7+C7</f>
        <v/>
      </c>
      <c r="E7" s="34">
        <f>PERCENTILE.INC(K6:K105,0.90)</f>
        <v/>
      </c>
      <c r="F7" s="15">
        <f>IF(RAND()&lt;UnitEconomics!$B$12,1,0)</f>
        <v/>
      </c>
      <c r="G7" s="15">
        <f>BINOM.INV(Inputs!$C$16, Inputs!$C$19, RAND())</f>
        <v/>
      </c>
      <c r="H7" s="15">
        <f>BINOM.INV(Inputs!$C$16, Inputs!$C$20, RAND())</f>
        <v/>
      </c>
      <c r="I7" s="15">
        <f>BINOM.INV(H7, Inputs!$C$21, RAND())</f>
        <v/>
      </c>
      <c r="J7" s="12">
        <f>IF( Inputs!$C$36 + F7*Inputs!$C$37 + E7*Inputs!$C$38&gt;1,1, Inputs!$C$36 + F7*Inputs!$C$37 + E7*Inputs!$C$38)</f>
        <v/>
      </c>
      <c r="K7" s="39">
        <f>L7-M7</f>
        <v/>
      </c>
      <c r="L7" s="39">
        <f>$O$4*(1-J7)</f>
        <v/>
      </c>
      <c r="M7" s="39">
        <f>$O$5+$O$6+$O$7+$O$8+$O$9+F7*$O$10+E7*$O$11+$O$12+G7*$O$13+H7*$O$14+I7*$O$13+$O$15*L7+$O$16</f>
        <v/>
      </c>
      <c r="N7" s="8" t="inlineStr">
        <is>
          <t>LABOR</t>
        </is>
      </c>
      <c r="O7" s="10">
        <f>UnitEconomics!$B$7+UnitEconomics!$B$8</f>
        <v/>
      </c>
      <c r="P7" s="15">
        <f>IF(K7&lt;0,1,0)</f>
        <v/>
      </c>
    </row>
    <row r="8">
      <c r="A8" s="15" t="n">
        <v>3</v>
      </c>
      <c r="B8" s="14">
        <f>MAX(0.1, NORM.INV(RAND(), Inputs!$C$9, Inputs!$C$13) + E8*Inputs!$C$11)</f>
        <v/>
      </c>
      <c r="C8" s="14">
        <f>MAX(0.05, NORM.INV(RAND(), Inputs!$C$12, Inputs!$C$14))</f>
        <v/>
      </c>
      <c r="D8" s="33">
        <f>B8+C8</f>
        <v/>
      </c>
      <c r="E8" s="34">
        <f>SUM(P6:P105)/100</f>
        <v/>
      </c>
      <c r="F8" s="15">
        <f>IF(RAND()&lt;UnitEconomics!$B$12,1,0)</f>
        <v/>
      </c>
      <c r="G8" s="15">
        <f>BINOM.INV(Inputs!$C$16, Inputs!$C$19, RAND())</f>
        <v/>
      </c>
      <c r="H8" s="15">
        <f>BINOM.INV(Inputs!$C$16, Inputs!$C$20, RAND())</f>
        <v/>
      </c>
      <c r="I8" s="15">
        <f>BINOM.INV(H8, Inputs!$C$21, RAND())</f>
        <v/>
      </c>
      <c r="J8" s="12">
        <f>IF( Inputs!$C$36 + F8*Inputs!$C$37 + E8*Inputs!$C$38&gt;1,1, Inputs!$C$36 + F8*Inputs!$C$37 + E8*Inputs!$C$38)</f>
        <v/>
      </c>
      <c r="K8" s="39">
        <f>L8-M8</f>
        <v/>
      </c>
      <c r="L8" s="39">
        <f>$O$4*(1-J8)</f>
        <v/>
      </c>
      <c r="M8" s="39">
        <f>$O$5+$O$6+$O$7+$O$8+$O$9+F8*$O$10+E8*$O$11+$O$12+G8*$O$13+H8*$O$14+I8*$O$13+$O$15*L8+$O$16</f>
        <v/>
      </c>
      <c r="N8" s="8" t="inlineStr">
        <is>
          <t>SUPPORT</t>
        </is>
      </c>
      <c r="O8" s="10">
        <f>UnitEconomics!$B$9</f>
        <v/>
      </c>
      <c r="P8" s="15">
        <f>IF(K8&lt;0,1,0)</f>
        <v/>
      </c>
    </row>
    <row r="9">
      <c r="A9" s="15" t="n">
        <v>4</v>
      </c>
      <c r="B9" s="14">
        <f>MAX(0.1, NORM.INV(RAND(), Inputs!$C$9, Inputs!$C$13) + E9*Inputs!$C$11)</f>
        <v/>
      </c>
      <c r="C9" s="14">
        <f>MAX(0.05, NORM.INV(RAND(), Inputs!$C$12, Inputs!$C$14))</f>
        <v/>
      </c>
      <c r="D9" s="14">
        <f>B9+C9</f>
        <v/>
      </c>
      <c r="E9" s="15">
        <f>--(RAND()&lt;Inputs!$C$10)</f>
        <v/>
      </c>
      <c r="F9" s="15">
        <f>IF(RAND()&lt;UnitEconomics!$B$12,1,0)</f>
        <v/>
      </c>
      <c r="G9" s="15">
        <f>BINOM.INV(Inputs!$C$16, Inputs!$C$19, RAND())</f>
        <v/>
      </c>
      <c r="H9" s="15">
        <f>BINOM.INV(Inputs!$C$16, Inputs!$C$20, RAND())</f>
        <v/>
      </c>
      <c r="I9" s="15">
        <f>BINOM.INV(H9, Inputs!$C$21, RAND())</f>
        <v/>
      </c>
      <c r="J9" s="12">
        <f>IF( Inputs!$C$36 + F9*Inputs!$C$37 + E9*Inputs!$C$38&gt;1,1, Inputs!$C$36 + F9*Inputs!$C$37 + E9*Inputs!$C$38)</f>
        <v/>
      </c>
      <c r="K9" s="39">
        <f>L9-M9</f>
        <v/>
      </c>
      <c r="L9" s="39">
        <f>$O$4*(1-J9)</f>
        <v/>
      </c>
      <c r="M9" s="39">
        <f>$O$5+$O$6+$O$7+$O$8+$O$9+F9*$O$10+E9*$O$11+$O$12+G9*$O$13+H9*$O$14+I9*$O$13+$O$15*L9+$O$16</f>
        <v/>
      </c>
      <c r="N9" s="8" t="inlineStr">
        <is>
          <t>PACK</t>
        </is>
      </c>
      <c r="O9" s="10">
        <f>Inputs!$C$23</f>
        <v/>
      </c>
      <c r="P9" s="15">
        <f>IF(K9&lt;0,1,0)</f>
        <v/>
      </c>
    </row>
    <row r="10">
      <c r="A10" s="15" t="n">
        <v>5</v>
      </c>
      <c r="B10" s="14">
        <f>MAX(0.1, NORM.INV(RAND(), Inputs!$C$9, Inputs!$C$13) + E10*Inputs!$C$11)</f>
        <v/>
      </c>
      <c r="C10" s="14">
        <f>MAX(0.05, NORM.INV(RAND(), Inputs!$C$12, Inputs!$C$14))</f>
        <v/>
      </c>
      <c r="D10" s="14">
        <f>B10+C10</f>
        <v/>
      </c>
      <c r="E10" s="15">
        <f>--(RAND()&lt;Inputs!$C$10)</f>
        <v/>
      </c>
      <c r="F10" s="15">
        <f>IF(RAND()&lt;UnitEconomics!$B$12,1,0)</f>
        <v/>
      </c>
      <c r="G10" s="15">
        <f>BINOM.INV(Inputs!$C$16, Inputs!$C$19, RAND())</f>
        <v/>
      </c>
      <c r="H10" s="15">
        <f>BINOM.INV(Inputs!$C$16, Inputs!$C$20, RAND())</f>
        <v/>
      </c>
      <c r="I10" s="15">
        <f>BINOM.INV(H10, Inputs!$C$21, RAND())</f>
        <v/>
      </c>
      <c r="J10" s="12">
        <f>IF( Inputs!$C$36 + F10*Inputs!$C$37 + E10*Inputs!$C$38&gt;1,1, Inputs!$C$36 + F10*Inputs!$C$37 + E10*Inputs!$C$38)</f>
        <v/>
      </c>
      <c r="K10" s="39">
        <f>L10-M10</f>
        <v/>
      </c>
      <c r="L10" s="39">
        <f>$O$4*(1-J10)</f>
        <v/>
      </c>
      <c r="M10" s="39">
        <f>$O$5+$O$6+$O$7+$O$8+$O$9+F10*$O$10+E10*$O$11+$O$12+G10*$O$13+H10*$O$14+I10*$O$13+$O$15*L10+$O$16</f>
        <v/>
      </c>
      <c r="N10" s="8" t="inlineStr">
        <is>
          <t>MISHIP_COST</t>
        </is>
      </c>
      <c r="O10" s="10">
        <f>Inputs!$C$34</f>
        <v/>
      </c>
      <c r="P10" s="15">
        <f>IF(K10&lt;0,1,0)</f>
        <v/>
      </c>
    </row>
    <row r="11">
      <c r="A11" s="15" t="n">
        <v>6</v>
      </c>
      <c r="B11" s="14">
        <f>MAX(0.1, NORM.INV(RAND(), Inputs!$C$9, Inputs!$C$13) + E11*Inputs!$C$11)</f>
        <v/>
      </c>
      <c r="C11" s="14">
        <f>MAX(0.05, NORM.INV(RAND(), Inputs!$C$12, Inputs!$C$14))</f>
        <v/>
      </c>
      <c r="D11" s="14">
        <f>B11+C11</f>
        <v/>
      </c>
      <c r="E11" s="15">
        <f>--(RAND()&lt;Inputs!$C$10)</f>
        <v/>
      </c>
      <c r="F11" s="15">
        <f>IF(RAND()&lt;UnitEconomics!$B$12,1,0)</f>
        <v/>
      </c>
      <c r="G11" s="15">
        <f>BINOM.INV(Inputs!$C$16, Inputs!$C$19, RAND())</f>
        <v/>
      </c>
      <c r="H11" s="15">
        <f>BINOM.INV(Inputs!$C$16, Inputs!$C$20, RAND())</f>
        <v/>
      </c>
      <c r="I11" s="15">
        <f>BINOM.INV(H11, Inputs!$C$21, RAND())</f>
        <v/>
      </c>
      <c r="J11" s="12">
        <f>IF( Inputs!$C$36 + F11*Inputs!$C$37 + E11*Inputs!$C$38&gt;1,1, Inputs!$C$36 + F11*Inputs!$C$37 + E11*Inputs!$C$38)</f>
        <v/>
      </c>
      <c r="K11" s="39">
        <f>L11-M11</f>
        <v/>
      </c>
      <c r="L11" s="39">
        <f>$O$4*(1-J11)</f>
        <v/>
      </c>
      <c r="M11" s="39">
        <f>$O$5+$O$6+$O$7+$O$8+$O$9+F11*$O$10+E11*$O$11+$O$12+G11*$O$13+H11*$O$14+I11*$O$13+$O$15*L11+$O$16</f>
        <v/>
      </c>
      <c r="N11" s="8" t="inlineStr">
        <is>
          <t>LATE_COST</t>
        </is>
      </c>
      <c r="O11" s="10">
        <f>Inputs!$C$35</f>
        <v/>
      </c>
      <c r="P11" s="15">
        <f>IF(K11&lt;0,1,0)</f>
        <v/>
      </c>
    </row>
    <row r="12">
      <c r="A12" s="15" t="n">
        <v>7</v>
      </c>
      <c r="B12" s="14">
        <f>MAX(0.1, NORM.INV(RAND(), Inputs!$C$9, Inputs!$C$13) + E12*Inputs!$C$11)</f>
        <v/>
      </c>
      <c r="C12" s="14">
        <f>MAX(0.05, NORM.INV(RAND(), Inputs!$C$12, Inputs!$C$14))</f>
        <v/>
      </c>
      <c r="D12" s="14">
        <f>B12+C12</f>
        <v/>
      </c>
      <c r="E12" s="15">
        <f>--(RAND()&lt;Inputs!$C$10)</f>
        <v/>
      </c>
      <c r="F12" s="15">
        <f>IF(RAND()&lt;UnitEconomics!$B$12,1,0)</f>
        <v/>
      </c>
      <c r="G12" s="15">
        <f>BINOM.INV(Inputs!$C$16, Inputs!$C$19, RAND())</f>
        <v/>
      </c>
      <c r="H12" s="15">
        <f>BINOM.INV(Inputs!$C$16, Inputs!$C$20, RAND())</f>
        <v/>
      </c>
      <c r="I12" s="15">
        <f>BINOM.INV(H12, Inputs!$C$21, RAND())</f>
        <v/>
      </c>
      <c r="J12" s="12">
        <f>IF( Inputs!$C$36 + F12*Inputs!$C$37 + E12*Inputs!$C$38&gt;1,1, Inputs!$C$36 + F12*Inputs!$C$37 + E12*Inputs!$C$38)</f>
        <v/>
      </c>
      <c r="K12" s="39">
        <f>L12-M12</f>
        <v/>
      </c>
      <c r="L12" s="39">
        <f>$O$4*(1-J12)</f>
        <v/>
      </c>
      <c r="M12" s="39">
        <f>$O$5+$O$6+$O$7+$O$8+$O$9+F12*$O$10+E12*$O$11+$O$12+G12*$O$13+H12*$O$14+I12*$O$13+$O$15*L12+$O$16</f>
        <v/>
      </c>
      <c r="N12" s="8" t="inlineStr">
        <is>
          <t>WEAR_REPL</t>
        </is>
      </c>
      <c r="O12" s="10">
        <f>Inputs!$C$16*(1/Inputs!$C$18)*Inputs!$C$17</f>
        <v/>
      </c>
      <c r="P12" s="15">
        <f>IF(K12&lt;0,1,0)</f>
        <v/>
      </c>
    </row>
    <row r="13">
      <c r="A13" s="15" t="n">
        <v>8</v>
      </c>
      <c r="B13" s="14">
        <f>MAX(0.1, NORM.INV(RAND(), Inputs!$C$9, Inputs!$C$13) + E13*Inputs!$C$11)</f>
        <v/>
      </c>
      <c r="C13" s="14">
        <f>MAX(0.05, NORM.INV(RAND(), Inputs!$C$12, Inputs!$C$14))</f>
        <v/>
      </c>
      <c r="D13" s="14">
        <f>B13+C13</f>
        <v/>
      </c>
      <c r="E13" s="15">
        <f>--(RAND()&lt;Inputs!$C$10)</f>
        <v/>
      </c>
      <c r="F13" s="15">
        <f>IF(RAND()&lt;UnitEconomics!$B$12,1,0)</f>
        <v/>
      </c>
      <c r="G13" s="15">
        <f>BINOM.INV(Inputs!$C$16, Inputs!$C$19, RAND())</f>
        <v/>
      </c>
      <c r="H13" s="15">
        <f>BINOM.INV(Inputs!$C$16, Inputs!$C$20, RAND())</f>
        <v/>
      </c>
      <c r="I13" s="15">
        <f>BINOM.INV(H13, Inputs!$C$21, RAND())</f>
        <v/>
      </c>
      <c r="J13" s="12">
        <f>IF( Inputs!$C$36 + F13*Inputs!$C$37 + E13*Inputs!$C$38&gt;1,1, Inputs!$C$36 + F13*Inputs!$C$37 + E13*Inputs!$C$38)</f>
        <v/>
      </c>
      <c r="K13" s="39">
        <f>L13-M13</f>
        <v/>
      </c>
      <c r="L13" s="39">
        <f>$O$4*(1-J13)</f>
        <v/>
      </c>
      <c r="M13" s="39">
        <f>$O$5+$O$6+$O$7+$O$8+$O$9+F13*$O$10+E13*$O$11+$O$12+G13*$O$13+H13*$O$14+I13*$O$13+$O$15*L13+$O$16</f>
        <v/>
      </c>
      <c r="N13" s="8" t="inlineStr">
        <is>
          <t>ACQ</t>
        </is>
      </c>
      <c r="O13" s="10">
        <f>Inputs!$C$17</f>
        <v/>
      </c>
      <c r="P13" s="15">
        <f>IF(K13&lt;0,1,0)</f>
        <v/>
      </c>
    </row>
    <row r="14">
      <c r="A14" s="15" t="n">
        <v>9</v>
      </c>
      <c r="B14" s="14">
        <f>MAX(0.1, NORM.INV(RAND(), Inputs!$C$9, Inputs!$C$13) + E14*Inputs!$C$11)</f>
        <v/>
      </c>
      <c r="C14" s="14">
        <f>MAX(0.05, NORM.INV(RAND(), Inputs!$C$12, Inputs!$C$14))</f>
        <v/>
      </c>
      <c r="D14" s="14">
        <f>B14+C14</f>
        <v/>
      </c>
      <c r="E14" s="15">
        <f>--(RAND()&lt;Inputs!$C$10)</f>
        <v/>
      </c>
      <c r="F14" s="15">
        <f>IF(RAND()&lt;UnitEconomics!$B$12,1,0)</f>
        <v/>
      </c>
      <c r="G14" s="15">
        <f>BINOM.INV(Inputs!$C$16, Inputs!$C$19, RAND())</f>
        <v/>
      </c>
      <c r="H14" s="15">
        <f>BINOM.INV(Inputs!$C$16, Inputs!$C$20, RAND())</f>
        <v/>
      </c>
      <c r="I14" s="15">
        <f>BINOM.INV(H14, Inputs!$C$21, RAND())</f>
        <v/>
      </c>
      <c r="J14" s="12">
        <f>IF( Inputs!$C$36 + F14*Inputs!$C$37 + E14*Inputs!$C$38&gt;1,1, Inputs!$C$36 + F14*Inputs!$C$37 + E14*Inputs!$C$38)</f>
        <v/>
      </c>
      <c r="K14" s="39">
        <f>L14-M14</f>
        <v/>
      </c>
      <c r="L14" s="39">
        <f>$O$4*(1-J14)</f>
        <v/>
      </c>
      <c r="M14" s="39">
        <f>$O$5+$O$6+$O$7+$O$8+$O$9+F14*$O$10+E14*$O$11+$O$12+G14*$O$13+H14*$O$14+I14*$O$13+$O$15*L14+$O$16</f>
        <v/>
      </c>
      <c r="N14" s="8" t="inlineStr">
        <is>
          <t>REPAIR</t>
        </is>
      </c>
      <c r="O14" s="10">
        <f>Inputs!$C$22</f>
        <v/>
      </c>
      <c r="P14" s="15">
        <f>IF(K14&lt;0,1,0)</f>
        <v/>
      </c>
    </row>
    <row r="15">
      <c r="A15" s="15" t="n">
        <v>10</v>
      </c>
      <c r="B15" s="14">
        <f>MAX(0.1, NORM.INV(RAND(), Inputs!$C$9, Inputs!$C$13) + E15*Inputs!$C$11)</f>
        <v/>
      </c>
      <c r="C15" s="14">
        <f>MAX(0.05, NORM.INV(RAND(), Inputs!$C$12, Inputs!$C$14))</f>
        <v/>
      </c>
      <c r="D15" s="14">
        <f>B15+C15</f>
        <v/>
      </c>
      <c r="E15" s="15">
        <f>--(RAND()&lt;Inputs!$C$10)</f>
        <v/>
      </c>
      <c r="F15" s="15">
        <f>IF(RAND()&lt;UnitEconomics!$B$12,1,0)</f>
        <v/>
      </c>
      <c r="G15" s="15">
        <f>BINOM.INV(Inputs!$C$16, Inputs!$C$19, RAND())</f>
        <v/>
      </c>
      <c r="H15" s="15">
        <f>BINOM.INV(Inputs!$C$16, Inputs!$C$20, RAND())</f>
        <v/>
      </c>
      <c r="I15" s="15">
        <f>BINOM.INV(H15, Inputs!$C$21, RAND())</f>
        <v/>
      </c>
      <c r="J15" s="12">
        <f>IF( Inputs!$C$36 + F15*Inputs!$C$37 + E15*Inputs!$C$38&gt;1,1, Inputs!$C$36 + F15*Inputs!$C$37 + E15*Inputs!$C$38)</f>
        <v/>
      </c>
      <c r="K15" s="39">
        <f>L15-M15</f>
        <v/>
      </c>
      <c r="L15" s="39">
        <f>$O$4*(1-J15)</f>
        <v/>
      </c>
      <c r="M15" s="39">
        <f>$O$5+$O$6+$O$7+$O$8+$O$9+F15*$O$10+E15*$O$11+$O$12+G15*$O$13+H15*$O$14+I15*$O$13+$O$15*L15+$O$16</f>
        <v/>
      </c>
      <c r="N15" s="8" t="inlineStr">
        <is>
          <t>PAY_RATE</t>
        </is>
      </c>
      <c r="O15" s="12">
        <f>Inputs!$C$31</f>
        <v/>
      </c>
      <c r="P15" s="15">
        <f>IF(K15&lt;0,1,0)</f>
        <v/>
      </c>
    </row>
    <row r="16">
      <c r="A16" s="15" t="n">
        <v>11</v>
      </c>
      <c r="B16" s="14">
        <f>MAX(0.1, NORM.INV(RAND(), Inputs!$C$9, Inputs!$C$13) + E16*Inputs!$C$11)</f>
        <v/>
      </c>
      <c r="C16" s="14">
        <f>MAX(0.05, NORM.INV(RAND(), Inputs!$C$12, Inputs!$C$14))</f>
        <v/>
      </c>
      <c r="D16" s="14">
        <f>B16+C16</f>
        <v/>
      </c>
      <c r="E16" s="15">
        <f>--(RAND()&lt;Inputs!$C$10)</f>
        <v/>
      </c>
      <c r="F16" s="15">
        <f>IF(RAND()&lt;UnitEconomics!$B$12,1,0)</f>
        <v/>
      </c>
      <c r="G16" s="15">
        <f>BINOM.INV(Inputs!$C$16, Inputs!$C$19, RAND())</f>
        <v/>
      </c>
      <c r="H16" s="15">
        <f>BINOM.INV(Inputs!$C$16, Inputs!$C$20, RAND())</f>
        <v/>
      </c>
      <c r="I16" s="15">
        <f>BINOM.INV(H16, Inputs!$C$21, RAND())</f>
        <v/>
      </c>
      <c r="J16" s="12">
        <f>IF( Inputs!$C$36 + F16*Inputs!$C$37 + E16*Inputs!$C$38&gt;1,1, Inputs!$C$36 + F16*Inputs!$C$37 + E16*Inputs!$C$38)</f>
        <v/>
      </c>
      <c r="K16" s="39">
        <f>L16-M16</f>
        <v/>
      </c>
      <c r="L16" s="39">
        <f>$O$4*(1-J16)</f>
        <v/>
      </c>
      <c r="M16" s="39">
        <f>$O$5+$O$6+$O$7+$O$8+$O$9+F16*$O$10+E16*$O$11+$O$12+G16*$O$13+H16*$O$14+I16*$O$13+$O$15*L16+$O$16</f>
        <v/>
      </c>
      <c r="N16" s="8" t="inlineStr">
        <is>
          <t>PAY_FIXED</t>
        </is>
      </c>
      <c r="O16" s="10">
        <f>Inputs!$C$32</f>
        <v/>
      </c>
      <c r="P16" s="15">
        <f>IF(K16&lt;0,1,0)</f>
        <v/>
      </c>
    </row>
    <row r="17">
      <c r="A17" s="15" t="n">
        <v>12</v>
      </c>
      <c r="B17" s="14">
        <f>MAX(0.1, NORM.INV(RAND(), Inputs!$C$9, Inputs!$C$13) + E17*Inputs!$C$11)</f>
        <v/>
      </c>
      <c r="C17" s="14">
        <f>MAX(0.05, NORM.INV(RAND(), Inputs!$C$12, Inputs!$C$14))</f>
        <v/>
      </c>
      <c r="D17" s="14">
        <f>B17+C17</f>
        <v/>
      </c>
      <c r="E17" s="15">
        <f>--(RAND()&lt;Inputs!$C$10)</f>
        <v/>
      </c>
      <c r="F17" s="15">
        <f>IF(RAND()&lt;UnitEconomics!$B$12,1,0)</f>
        <v/>
      </c>
      <c r="G17" s="15">
        <f>BINOM.INV(Inputs!$C$16, Inputs!$C$19, RAND())</f>
        <v/>
      </c>
      <c r="H17" s="15">
        <f>BINOM.INV(Inputs!$C$16, Inputs!$C$20, RAND())</f>
        <v/>
      </c>
      <c r="I17" s="15">
        <f>BINOM.INV(H17, Inputs!$C$21, RAND())</f>
        <v/>
      </c>
      <c r="J17" s="12">
        <f>IF( Inputs!$C$36 + F17*Inputs!$C$37 + E17*Inputs!$C$38&gt;1,1, Inputs!$C$36 + F17*Inputs!$C$37 + E17*Inputs!$C$38)</f>
        <v/>
      </c>
      <c r="K17" s="39">
        <f>L17-M17</f>
        <v/>
      </c>
      <c r="L17" s="39">
        <f>$O$4*(1-J17)</f>
        <v/>
      </c>
      <c r="M17" s="39">
        <f>$O$5+$O$6+$O$7+$O$8+$O$9+F17*$O$10+E17*$O$11+$O$12+G17*$O$13+H17*$O$14+I17*$O$13+$O$15*L17+$O$16</f>
        <v/>
      </c>
      <c r="P17" s="15">
        <f>IF(K17&lt;0,1,0)</f>
        <v/>
      </c>
    </row>
    <row r="18">
      <c r="A18" s="15" t="n">
        <v>13</v>
      </c>
      <c r="B18" s="14">
        <f>MAX(0.1, NORM.INV(RAND(), Inputs!$C$9, Inputs!$C$13) + E18*Inputs!$C$11)</f>
        <v/>
      </c>
      <c r="C18" s="14">
        <f>MAX(0.05, NORM.INV(RAND(), Inputs!$C$12, Inputs!$C$14))</f>
        <v/>
      </c>
      <c r="D18" s="14">
        <f>B18+C18</f>
        <v/>
      </c>
      <c r="E18" s="15">
        <f>--(RAND()&lt;Inputs!$C$10)</f>
        <v/>
      </c>
      <c r="F18" s="15">
        <f>IF(RAND()&lt;UnitEconomics!$B$12,1,0)</f>
        <v/>
      </c>
      <c r="G18" s="15">
        <f>BINOM.INV(Inputs!$C$16, Inputs!$C$19, RAND())</f>
        <v/>
      </c>
      <c r="H18" s="15">
        <f>BINOM.INV(Inputs!$C$16, Inputs!$C$20, RAND())</f>
        <v/>
      </c>
      <c r="I18" s="15">
        <f>BINOM.INV(H18, Inputs!$C$21, RAND())</f>
        <v/>
      </c>
      <c r="J18" s="12">
        <f>IF( Inputs!$C$36 + F18*Inputs!$C$37 + E18*Inputs!$C$38&gt;1,1, Inputs!$C$36 + F18*Inputs!$C$37 + E18*Inputs!$C$38)</f>
        <v/>
      </c>
      <c r="K18" s="39">
        <f>L18-M18</f>
        <v/>
      </c>
      <c r="L18" s="39">
        <f>$O$4*(1-J18)</f>
        <v/>
      </c>
      <c r="M18" s="39">
        <f>$O$5+$O$6+$O$7+$O$8+$O$9+F18*$O$10+E18*$O$11+$O$12+G18*$O$13+H18*$O$14+I18*$O$13+$O$15*L18+$O$16</f>
        <v/>
      </c>
      <c r="P18" s="15">
        <f>IF(K18&lt;0,1,0)</f>
        <v/>
      </c>
    </row>
    <row r="19">
      <c r="A19" s="15" t="n">
        <v>14</v>
      </c>
      <c r="B19" s="14">
        <f>MAX(0.1, NORM.INV(RAND(), Inputs!$C$9, Inputs!$C$13) + E19*Inputs!$C$11)</f>
        <v/>
      </c>
      <c r="C19" s="14">
        <f>MAX(0.05, NORM.INV(RAND(), Inputs!$C$12, Inputs!$C$14))</f>
        <v/>
      </c>
      <c r="D19" s="14">
        <f>B19+C19</f>
        <v/>
      </c>
      <c r="E19" s="15">
        <f>--(RAND()&lt;Inputs!$C$10)</f>
        <v/>
      </c>
      <c r="F19" s="15">
        <f>IF(RAND()&lt;UnitEconomics!$B$12,1,0)</f>
        <v/>
      </c>
      <c r="G19" s="15">
        <f>BINOM.INV(Inputs!$C$16, Inputs!$C$19, RAND())</f>
        <v/>
      </c>
      <c r="H19" s="15">
        <f>BINOM.INV(Inputs!$C$16, Inputs!$C$20, RAND())</f>
        <v/>
      </c>
      <c r="I19" s="15">
        <f>BINOM.INV(H19, Inputs!$C$21, RAND())</f>
        <v/>
      </c>
      <c r="J19" s="12">
        <f>IF( Inputs!$C$36 + F19*Inputs!$C$37 + E19*Inputs!$C$38&gt;1,1, Inputs!$C$36 + F19*Inputs!$C$37 + E19*Inputs!$C$38)</f>
        <v/>
      </c>
      <c r="K19" s="39">
        <f>L19-M19</f>
        <v/>
      </c>
      <c r="L19" s="39">
        <f>$O$4*(1-J19)</f>
        <v/>
      </c>
      <c r="M19" s="39">
        <f>$O$5+$O$6+$O$7+$O$8+$O$9+F19*$O$10+E19*$O$11+$O$12+G19*$O$13+H19*$O$14+I19*$O$13+$O$15*L19+$O$16</f>
        <v/>
      </c>
      <c r="P19" s="15">
        <f>IF(K19&lt;0,1,0)</f>
        <v/>
      </c>
    </row>
    <row r="20">
      <c r="A20" s="15" t="n">
        <v>15</v>
      </c>
      <c r="B20" s="14">
        <f>MAX(0.1, NORM.INV(RAND(), Inputs!$C$9, Inputs!$C$13) + E20*Inputs!$C$11)</f>
        <v/>
      </c>
      <c r="C20" s="14">
        <f>MAX(0.05, NORM.INV(RAND(), Inputs!$C$12, Inputs!$C$14))</f>
        <v/>
      </c>
      <c r="D20" s="14">
        <f>B20+C20</f>
        <v/>
      </c>
      <c r="E20" s="15">
        <f>--(RAND()&lt;Inputs!$C$10)</f>
        <v/>
      </c>
      <c r="F20" s="15">
        <f>IF(RAND()&lt;UnitEconomics!$B$12,1,0)</f>
        <v/>
      </c>
      <c r="G20" s="15">
        <f>BINOM.INV(Inputs!$C$16, Inputs!$C$19, RAND())</f>
        <v/>
      </c>
      <c r="H20" s="15">
        <f>BINOM.INV(Inputs!$C$16, Inputs!$C$20, RAND())</f>
        <v/>
      </c>
      <c r="I20" s="15">
        <f>BINOM.INV(H20, Inputs!$C$21, RAND())</f>
        <v/>
      </c>
      <c r="J20" s="12">
        <f>IF( Inputs!$C$36 + F20*Inputs!$C$37 + E20*Inputs!$C$38&gt;1,1, Inputs!$C$36 + F20*Inputs!$C$37 + E20*Inputs!$C$38)</f>
        <v/>
      </c>
      <c r="K20" s="39">
        <f>L20-M20</f>
        <v/>
      </c>
      <c r="L20" s="39">
        <f>$O$4*(1-J20)</f>
        <v/>
      </c>
      <c r="M20" s="39">
        <f>$O$5+$O$6+$O$7+$O$8+$O$9+F20*$O$10+E20*$O$11+$O$12+G20*$O$13+H20*$O$14+I20*$O$13+$O$15*L20+$O$16</f>
        <v/>
      </c>
      <c r="P20" s="15">
        <f>IF(K20&lt;0,1,0)</f>
        <v/>
      </c>
    </row>
    <row r="21">
      <c r="A21" s="15" t="n">
        <v>16</v>
      </c>
      <c r="B21" s="14">
        <f>MAX(0.1, NORM.INV(RAND(), Inputs!$C$9, Inputs!$C$13) + E21*Inputs!$C$11)</f>
        <v/>
      </c>
      <c r="C21" s="14">
        <f>MAX(0.05, NORM.INV(RAND(), Inputs!$C$12, Inputs!$C$14))</f>
        <v/>
      </c>
      <c r="D21" s="14">
        <f>B21+C21</f>
        <v/>
      </c>
      <c r="E21" s="15">
        <f>--(RAND()&lt;Inputs!$C$10)</f>
        <v/>
      </c>
      <c r="F21" s="15">
        <f>IF(RAND()&lt;UnitEconomics!$B$12,1,0)</f>
        <v/>
      </c>
      <c r="G21" s="15">
        <f>BINOM.INV(Inputs!$C$16, Inputs!$C$19, RAND())</f>
        <v/>
      </c>
      <c r="H21" s="15">
        <f>BINOM.INV(Inputs!$C$16, Inputs!$C$20, RAND())</f>
        <v/>
      </c>
      <c r="I21" s="15">
        <f>BINOM.INV(H21, Inputs!$C$21, RAND())</f>
        <v/>
      </c>
      <c r="J21" s="12">
        <f>IF( Inputs!$C$36 + F21*Inputs!$C$37 + E21*Inputs!$C$38&gt;1,1, Inputs!$C$36 + F21*Inputs!$C$37 + E21*Inputs!$C$38)</f>
        <v/>
      </c>
      <c r="K21" s="39">
        <f>L21-M21</f>
        <v/>
      </c>
      <c r="L21" s="39">
        <f>$O$4*(1-J21)</f>
        <v/>
      </c>
      <c r="M21" s="39">
        <f>$O$5+$O$6+$O$7+$O$8+$O$9+F21*$O$10+E21*$O$11+$O$12+G21*$O$13+H21*$O$14+I21*$O$13+$O$15*L21+$O$16</f>
        <v/>
      </c>
      <c r="P21" s="15">
        <f>IF(K21&lt;0,1,0)</f>
        <v/>
      </c>
    </row>
    <row r="22">
      <c r="A22" s="15" t="n">
        <v>17</v>
      </c>
      <c r="B22" s="14">
        <f>MAX(0.1, NORM.INV(RAND(), Inputs!$C$9, Inputs!$C$13) + E22*Inputs!$C$11)</f>
        <v/>
      </c>
      <c r="C22" s="14">
        <f>MAX(0.05, NORM.INV(RAND(), Inputs!$C$12, Inputs!$C$14))</f>
        <v/>
      </c>
      <c r="D22" s="14">
        <f>B22+C22</f>
        <v/>
      </c>
      <c r="E22" s="15">
        <f>--(RAND()&lt;Inputs!$C$10)</f>
        <v/>
      </c>
      <c r="F22" s="15">
        <f>IF(RAND()&lt;UnitEconomics!$B$12,1,0)</f>
        <v/>
      </c>
      <c r="G22" s="15">
        <f>BINOM.INV(Inputs!$C$16, Inputs!$C$19, RAND())</f>
        <v/>
      </c>
      <c r="H22" s="15">
        <f>BINOM.INV(Inputs!$C$16, Inputs!$C$20, RAND())</f>
        <v/>
      </c>
      <c r="I22" s="15">
        <f>BINOM.INV(H22, Inputs!$C$21, RAND())</f>
        <v/>
      </c>
      <c r="J22" s="12">
        <f>IF( Inputs!$C$36 + F22*Inputs!$C$37 + E22*Inputs!$C$38&gt;1,1, Inputs!$C$36 + F22*Inputs!$C$37 + E22*Inputs!$C$38)</f>
        <v/>
      </c>
      <c r="K22" s="39">
        <f>L22-M22</f>
        <v/>
      </c>
      <c r="L22" s="39">
        <f>$O$4*(1-J22)</f>
        <v/>
      </c>
      <c r="M22" s="39">
        <f>$O$5+$O$6+$O$7+$O$8+$O$9+F22*$O$10+E22*$O$11+$O$12+G22*$O$13+H22*$O$14+I22*$O$13+$O$15*L22+$O$16</f>
        <v/>
      </c>
      <c r="P22" s="15">
        <f>IF(K22&lt;0,1,0)</f>
        <v/>
      </c>
    </row>
    <row r="23">
      <c r="A23" s="15" t="n">
        <v>18</v>
      </c>
      <c r="B23" s="14">
        <f>MAX(0.1, NORM.INV(RAND(), Inputs!$C$9, Inputs!$C$13) + E23*Inputs!$C$11)</f>
        <v/>
      </c>
      <c r="C23" s="14">
        <f>MAX(0.05, NORM.INV(RAND(), Inputs!$C$12, Inputs!$C$14))</f>
        <v/>
      </c>
      <c r="D23" s="14">
        <f>B23+C23</f>
        <v/>
      </c>
      <c r="E23" s="15">
        <f>--(RAND()&lt;Inputs!$C$10)</f>
        <v/>
      </c>
      <c r="F23" s="15">
        <f>IF(RAND()&lt;UnitEconomics!$B$12,1,0)</f>
        <v/>
      </c>
      <c r="G23" s="15">
        <f>BINOM.INV(Inputs!$C$16, Inputs!$C$19, RAND())</f>
        <v/>
      </c>
      <c r="H23" s="15">
        <f>BINOM.INV(Inputs!$C$16, Inputs!$C$20, RAND())</f>
        <v/>
      </c>
      <c r="I23" s="15">
        <f>BINOM.INV(H23, Inputs!$C$21, RAND())</f>
        <v/>
      </c>
      <c r="J23" s="12">
        <f>IF( Inputs!$C$36 + F23*Inputs!$C$37 + E23*Inputs!$C$38&gt;1,1, Inputs!$C$36 + F23*Inputs!$C$37 + E23*Inputs!$C$38)</f>
        <v/>
      </c>
      <c r="K23" s="39">
        <f>L23-M23</f>
        <v/>
      </c>
      <c r="L23" s="39">
        <f>$O$4*(1-J23)</f>
        <v/>
      </c>
      <c r="M23" s="39">
        <f>$O$5+$O$6+$O$7+$O$8+$O$9+F23*$O$10+E23*$O$11+$O$12+G23*$O$13+H23*$O$14+I23*$O$13+$O$15*L23+$O$16</f>
        <v/>
      </c>
      <c r="P23" s="15">
        <f>IF(K23&lt;0,1,0)</f>
        <v/>
      </c>
    </row>
    <row r="24">
      <c r="A24" s="15" t="n">
        <v>19</v>
      </c>
      <c r="B24" s="14">
        <f>MAX(0.1, NORM.INV(RAND(), Inputs!$C$9, Inputs!$C$13) + E24*Inputs!$C$11)</f>
        <v/>
      </c>
      <c r="C24" s="14">
        <f>MAX(0.05, NORM.INV(RAND(), Inputs!$C$12, Inputs!$C$14))</f>
        <v/>
      </c>
      <c r="D24" s="14">
        <f>B24+C24</f>
        <v/>
      </c>
      <c r="E24" s="15">
        <f>--(RAND()&lt;Inputs!$C$10)</f>
        <v/>
      </c>
      <c r="F24" s="15">
        <f>IF(RAND()&lt;UnitEconomics!$B$12,1,0)</f>
        <v/>
      </c>
      <c r="G24" s="15">
        <f>BINOM.INV(Inputs!$C$16, Inputs!$C$19, RAND())</f>
        <v/>
      </c>
      <c r="H24" s="15">
        <f>BINOM.INV(Inputs!$C$16, Inputs!$C$20, RAND())</f>
        <v/>
      </c>
      <c r="I24" s="15">
        <f>BINOM.INV(H24, Inputs!$C$21, RAND())</f>
        <v/>
      </c>
      <c r="J24" s="12">
        <f>IF( Inputs!$C$36 + F24*Inputs!$C$37 + E24*Inputs!$C$38&gt;1,1, Inputs!$C$36 + F24*Inputs!$C$37 + E24*Inputs!$C$38)</f>
        <v/>
      </c>
      <c r="K24" s="39">
        <f>L24-M24</f>
        <v/>
      </c>
      <c r="L24" s="39">
        <f>$O$4*(1-J24)</f>
        <v/>
      </c>
      <c r="M24" s="39">
        <f>$O$5+$O$6+$O$7+$O$8+$O$9+F24*$O$10+E24*$O$11+$O$12+G24*$O$13+H24*$O$14+I24*$O$13+$O$15*L24+$O$16</f>
        <v/>
      </c>
      <c r="P24" s="15">
        <f>IF(K24&lt;0,1,0)</f>
        <v/>
      </c>
    </row>
    <row r="25">
      <c r="A25" s="15" t="n">
        <v>20</v>
      </c>
      <c r="B25" s="14">
        <f>MAX(0.1, NORM.INV(RAND(), Inputs!$C$9, Inputs!$C$13) + E25*Inputs!$C$11)</f>
        <v/>
      </c>
      <c r="C25" s="14">
        <f>MAX(0.05, NORM.INV(RAND(), Inputs!$C$12, Inputs!$C$14))</f>
        <v/>
      </c>
      <c r="D25" s="14">
        <f>B25+C25</f>
        <v/>
      </c>
      <c r="E25" s="15">
        <f>--(RAND()&lt;Inputs!$C$10)</f>
        <v/>
      </c>
      <c r="F25" s="15">
        <f>IF(RAND()&lt;UnitEconomics!$B$12,1,0)</f>
        <v/>
      </c>
      <c r="G25" s="15">
        <f>BINOM.INV(Inputs!$C$16, Inputs!$C$19, RAND())</f>
        <v/>
      </c>
      <c r="H25" s="15">
        <f>BINOM.INV(Inputs!$C$16, Inputs!$C$20, RAND())</f>
        <v/>
      </c>
      <c r="I25" s="15">
        <f>BINOM.INV(H25, Inputs!$C$21, RAND())</f>
        <v/>
      </c>
      <c r="J25" s="12">
        <f>IF( Inputs!$C$36 + F25*Inputs!$C$37 + E25*Inputs!$C$38&gt;1,1, Inputs!$C$36 + F25*Inputs!$C$37 + E25*Inputs!$C$38)</f>
        <v/>
      </c>
      <c r="K25" s="39">
        <f>L25-M25</f>
        <v/>
      </c>
      <c r="L25" s="39">
        <f>$O$4*(1-J25)</f>
        <v/>
      </c>
      <c r="M25" s="39">
        <f>$O$5+$O$6+$O$7+$O$8+$O$9+F25*$O$10+E25*$O$11+$O$12+G25*$O$13+H25*$O$14+I25*$O$13+$O$15*L25+$O$16</f>
        <v/>
      </c>
      <c r="P25" s="15">
        <f>IF(K25&lt;0,1,0)</f>
        <v/>
      </c>
    </row>
    <row r="26">
      <c r="A26" s="15" t="n">
        <v>21</v>
      </c>
      <c r="B26" s="14">
        <f>MAX(0.1, NORM.INV(RAND(), Inputs!$C$9, Inputs!$C$13) + E26*Inputs!$C$11)</f>
        <v/>
      </c>
      <c r="C26" s="14">
        <f>MAX(0.05, NORM.INV(RAND(), Inputs!$C$12, Inputs!$C$14))</f>
        <v/>
      </c>
      <c r="D26" s="14">
        <f>B26+C26</f>
        <v/>
      </c>
      <c r="E26" s="15">
        <f>--(RAND()&lt;Inputs!$C$10)</f>
        <v/>
      </c>
      <c r="F26" s="15">
        <f>IF(RAND()&lt;UnitEconomics!$B$12,1,0)</f>
        <v/>
      </c>
      <c r="G26" s="15">
        <f>BINOM.INV(Inputs!$C$16, Inputs!$C$19, RAND())</f>
        <v/>
      </c>
      <c r="H26" s="15">
        <f>BINOM.INV(Inputs!$C$16, Inputs!$C$20, RAND())</f>
        <v/>
      </c>
      <c r="I26" s="15">
        <f>BINOM.INV(H26, Inputs!$C$21, RAND())</f>
        <v/>
      </c>
      <c r="J26" s="12">
        <f>IF( Inputs!$C$36 + F26*Inputs!$C$37 + E26*Inputs!$C$38&gt;1,1, Inputs!$C$36 + F26*Inputs!$C$37 + E26*Inputs!$C$38)</f>
        <v/>
      </c>
      <c r="K26" s="39">
        <f>L26-M26</f>
        <v/>
      </c>
      <c r="L26" s="39">
        <f>$O$4*(1-J26)</f>
        <v/>
      </c>
      <c r="M26" s="39">
        <f>$O$5+$O$6+$O$7+$O$8+$O$9+F26*$O$10+E26*$O$11+$O$12+G26*$O$13+H26*$O$14+I26*$O$13+$O$15*L26+$O$16</f>
        <v/>
      </c>
      <c r="P26" s="15">
        <f>IF(K26&lt;0,1,0)</f>
        <v/>
      </c>
    </row>
    <row r="27">
      <c r="A27" s="15" t="n">
        <v>22</v>
      </c>
      <c r="B27" s="14">
        <f>MAX(0.1, NORM.INV(RAND(), Inputs!$C$9, Inputs!$C$13) + E27*Inputs!$C$11)</f>
        <v/>
      </c>
      <c r="C27" s="14">
        <f>MAX(0.05, NORM.INV(RAND(), Inputs!$C$12, Inputs!$C$14))</f>
        <v/>
      </c>
      <c r="D27" s="14">
        <f>B27+C27</f>
        <v/>
      </c>
      <c r="E27" s="15">
        <f>--(RAND()&lt;Inputs!$C$10)</f>
        <v/>
      </c>
      <c r="F27" s="15">
        <f>IF(RAND()&lt;UnitEconomics!$B$12,1,0)</f>
        <v/>
      </c>
      <c r="G27" s="15">
        <f>BINOM.INV(Inputs!$C$16, Inputs!$C$19, RAND())</f>
        <v/>
      </c>
      <c r="H27" s="15">
        <f>BINOM.INV(Inputs!$C$16, Inputs!$C$20, RAND())</f>
        <v/>
      </c>
      <c r="I27" s="15">
        <f>BINOM.INV(H27, Inputs!$C$21, RAND())</f>
        <v/>
      </c>
      <c r="J27" s="12">
        <f>IF( Inputs!$C$36 + F27*Inputs!$C$37 + E27*Inputs!$C$38&gt;1,1, Inputs!$C$36 + F27*Inputs!$C$37 + E27*Inputs!$C$38)</f>
        <v/>
      </c>
      <c r="K27" s="39">
        <f>L27-M27</f>
        <v/>
      </c>
      <c r="L27" s="39">
        <f>$O$4*(1-J27)</f>
        <v/>
      </c>
      <c r="M27" s="39">
        <f>$O$5+$O$6+$O$7+$O$8+$O$9+F27*$O$10+E27*$O$11+$O$12+G27*$O$13+H27*$O$14+I27*$O$13+$O$15*L27+$O$16</f>
        <v/>
      </c>
      <c r="P27" s="15">
        <f>IF(K27&lt;0,1,0)</f>
        <v/>
      </c>
    </row>
    <row r="28">
      <c r="A28" s="15" t="n">
        <v>23</v>
      </c>
      <c r="B28" s="14">
        <f>MAX(0.1, NORM.INV(RAND(), Inputs!$C$9, Inputs!$C$13) + E28*Inputs!$C$11)</f>
        <v/>
      </c>
      <c r="C28" s="14">
        <f>MAX(0.05, NORM.INV(RAND(), Inputs!$C$12, Inputs!$C$14))</f>
        <v/>
      </c>
      <c r="D28" s="14">
        <f>B28+C28</f>
        <v/>
      </c>
      <c r="E28" s="15">
        <f>--(RAND()&lt;Inputs!$C$10)</f>
        <v/>
      </c>
      <c r="F28" s="15">
        <f>IF(RAND()&lt;UnitEconomics!$B$12,1,0)</f>
        <v/>
      </c>
      <c r="G28" s="15">
        <f>BINOM.INV(Inputs!$C$16, Inputs!$C$19, RAND())</f>
        <v/>
      </c>
      <c r="H28" s="15">
        <f>BINOM.INV(Inputs!$C$16, Inputs!$C$20, RAND())</f>
        <v/>
      </c>
      <c r="I28" s="15">
        <f>BINOM.INV(H28, Inputs!$C$21, RAND())</f>
        <v/>
      </c>
      <c r="J28" s="12">
        <f>IF( Inputs!$C$36 + F28*Inputs!$C$37 + E28*Inputs!$C$38&gt;1,1, Inputs!$C$36 + F28*Inputs!$C$37 + E28*Inputs!$C$38)</f>
        <v/>
      </c>
      <c r="K28" s="39">
        <f>L28-M28</f>
        <v/>
      </c>
      <c r="L28" s="39">
        <f>$O$4*(1-J28)</f>
        <v/>
      </c>
      <c r="M28" s="39">
        <f>$O$5+$O$6+$O$7+$O$8+$O$9+F28*$O$10+E28*$O$11+$O$12+G28*$O$13+H28*$O$14+I28*$O$13+$O$15*L28+$O$16</f>
        <v/>
      </c>
      <c r="P28" s="15">
        <f>IF(K28&lt;0,1,0)</f>
        <v/>
      </c>
    </row>
    <row r="29">
      <c r="A29" s="15" t="n">
        <v>24</v>
      </c>
      <c r="B29" s="14">
        <f>MAX(0.1, NORM.INV(RAND(), Inputs!$C$9, Inputs!$C$13) + E29*Inputs!$C$11)</f>
        <v/>
      </c>
      <c r="C29" s="14">
        <f>MAX(0.05, NORM.INV(RAND(), Inputs!$C$12, Inputs!$C$14))</f>
        <v/>
      </c>
      <c r="D29" s="14">
        <f>B29+C29</f>
        <v/>
      </c>
      <c r="E29" s="15">
        <f>--(RAND()&lt;Inputs!$C$10)</f>
        <v/>
      </c>
      <c r="F29" s="15">
        <f>IF(RAND()&lt;UnitEconomics!$B$12,1,0)</f>
        <v/>
      </c>
      <c r="G29" s="15">
        <f>BINOM.INV(Inputs!$C$16, Inputs!$C$19, RAND())</f>
        <v/>
      </c>
      <c r="H29" s="15">
        <f>BINOM.INV(Inputs!$C$16, Inputs!$C$20, RAND())</f>
        <v/>
      </c>
      <c r="I29" s="15">
        <f>BINOM.INV(H29, Inputs!$C$21, RAND())</f>
        <v/>
      </c>
      <c r="J29" s="12">
        <f>IF( Inputs!$C$36 + F29*Inputs!$C$37 + E29*Inputs!$C$38&gt;1,1, Inputs!$C$36 + F29*Inputs!$C$37 + E29*Inputs!$C$38)</f>
        <v/>
      </c>
      <c r="K29" s="39">
        <f>L29-M29</f>
        <v/>
      </c>
      <c r="L29" s="39">
        <f>$O$4*(1-J29)</f>
        <v/>
      </c>
      <c r="M29" s="39">
        <f>$O$5+$O$6+$O$7+$O$8+$O$9+F29*$O$10+E29*$O$11+$O$12+G29*$O$13+H29*$O$14+I29*$O$13+$O$15*L29+$O$16</f>
        <v/>
      </c>
      <c r="P29" s="15">
        <f>IF(K29&lt;0,1,0)</f>
        <v/>
      </c>
    </row>
    <row r="30">
      <c r="A30" s="15" t="n">
        <v>25</v>
      </c>
      <c r="B30" s="14">
        <f>MAX(0.1, NORM.INV(RAND(), Inputs!$C$9, Inputs!$C$13) + E30*Inputs!$C$11)</f>
        <v/>
      </c>
      <c r="C30" s="14">
        <f>MAX(0.05, NORM.INV(RAND(), Inputs!$C$12, Inputs!$C$14))</f>
        <v/>
      </c>
      <c r="D30" s="14">
        <f>B30+C30</f>
        <v/>
      </c>
      <c r="E30" s="15">
        <f>--(RAND()&lt;Inputs!$C$10)</f>
        <v/>
      </c>
      <c r="F30" s="15">
        <f>IF(RAND()&lt;UnitEconomics!$B$12,1,0)</f>
        <v/>
      </c>
      <c r="G30" s="15">
        <f>BINOM.INV(Inputs!$C$16, Inputs!$C$19, RAND())</f>
        <v/>
      </c>
      <c r="H30" s="15">
        <f>BINOM.INV(Inputs!$C$16, Inputs!$C$20, RAND())</f>
        <v/>
      </c>
      <c r="I30" s="15">
        <f>BINOM.INV(H30, Inputs!$C$21, RAND())</f>
        <v/>
      </c>
      <c r="J30" s="12">
        <f>IF( Inputs!$C$36 + F30*Inputs!$C$37 + E30*Inputs!$C$38&gt;1,1, Inputs!$C$36 + F30*Inputs!$C$37 + E30*Inputs!$C$38)</f>
        <v/>
      </c>
      <c r="K30" s="39">
        <f>L30-M30</f>
        <v/>
      </c>
      <c r="L30" s="39">
        <f>$O$4*(1-J30)</f>
        <v/>
      </c>
      <c r="M30" s="39">
        <f>$O$5+$O$6+$O$7+$O$8+$O$9+F30*$O$10+E30*$O$11+$O$12+G30*$O$13+H30*$O$14+I30*$O$13+$O$15*L30+$O$16</f>
        <v/>
      </c>
      <c r="P30" s="15">
        <f>IF(K30&lt;0,1,0)</f>
        <v/>
      </c>
    </row>
    <row r="31">
      <c r="A31" s="15" t="n">
        <v>26</v>
      </c>
      <c r="B31" s="14">
        <f>MAX(0.1, NORM.INV(RAND(), Inputs!$C$9, Inputs!$C$13) + E31*Inputs!$C$11)</f>
        <v/>
      </c>
      <c r="C31" s="14">
        <f>MAX(0.05, NORM.INV(RAND(), Inputs!$C$12, Inputs!$C$14))</f>
        <v/>
      </c>
      <c r="D31" s="14">
        <f>B31+C31</f>
        <v/>
      </c>
      <c r="E31" s="15">
        <f>--(RAND()&lt;Inputs!$C$10)</f>
        <v/>
      </c>
      <c r="F31" s="15">
        <f>IF(RAND()&lt;UnitEconomics!$B$12,1,0)</f>
        <v/>
      </c>
      <c r="G31" s="15">
        <f>BINOM.INV(Inputs!$C$16, Inputs!$C$19, RAND())</f>
        <v/>
      </c>
      <c r="H31" s="15">
        <f>BINOM.INV(Inputs!$C$16, Inputs!$C$20, RAND())</f>
        <v/>
      </c>
      <c r="I31" s="15">
        <f>BINOM.INV(H31, Inputs!$C$21, RAND())</f>
        <v/>
      </c>
      <c r="J31" s="12">
        <f>IF( Inputs!$C$36 + F31*Inputs!$C$37 + E31*Inputs!$C$38&gt;1,1, Inputs!$C$36 + F31*Inputs!$C$37 + E31*Inputs!$C$38)</f>
        <v/>
      </c>
      <c r="K31" s="39">
        <f>L31-M31</f>
        <v/>
      </c>
      <c r="L31" s="39">
        <f>$O$4*(1-J31)</f>
        <v/>
      </c>
      <c r="M31" s="39">
        <f>$O$5+$O$6+$O$7+$O$8+$O$9+F31*$O$10+E31*$O$11+$O$12+G31*$O$13+H31*$O$14+I31*$O$13+$O$15*L31+$O$16</f>
        <v/>
      </c>
      <c r="P31" s="15">
        <f>IF(K31&lt;0,1,0)</f>
        <v/>
      </c>
    </row>
    <row r="32">
      <c r="A32" s="15" t="n">
        <v>27</v>
      </c>
      <c r="B32" s="14">
        <f>MAX(0.1, NORM.INV(RAND(), Inputs!$C$9, Inputs!$C$13) + E32*Inputs!$C$11)</f>
        <v/>
      </c>
      <c r="C32" s="14">
        <f>MAX(0.05, NORM.INV(RAND(), Inputs!$C$12, Inputs!$C$14))</f>
        <v/>
      </c>
      <c r="D32" s="14">
        <f>B32+C32</f>
        <v/>
      </c>
      <c r="E32" s="15">
        <f>--(RAND()&lt;Inputs!$C$10)</f>
        <v/>
      </c>
      <c r="F32" s="15">
        <f>IF(RAND()&lt;UnitEconomics!$B$12,1,0)</f>
        <v/>
      </c>
      <c r="G32" s="15">
        <f>BINOM.INV(Inputs!$C$16, Inputs!$C$19, RAND())</f>
        <v/>
      </c>
      <c r="H32" s="15">
        <f>BINOM.INV(Inputs!$C$16, Inputs!$C$20, RAND())</f>
        <v/>
      </c>
      <c r="I32" s="15">
        <f>BINOM.INV(H32, Inputs!$C$21, RAND())</f>
        <v/>
      </c>
      <c r="J32" s="12">
        <f>IF( Inputs!$C$36 + F32*Inputs!$C$37 + E32*Inputs!$C$38&gt;1,1, Inputs!$C$36 + F32*Inputs!$C$37 + E32*Inputs!$C$38)</f>
        <v/>
      </c>
      <c r="K32" s="39">
        <f>L32-M32</f>
        <v/>
      </c>
      <c r="L32" s="39">
        <f>$O$4*(1-J32)</f>
        <v/>
      </c>
      <c r="M32" s="39">
        <f>$O$5+$O$6+$O$7+$O$8+$O$9+F32*$O$10+E32*$O$11+$O$12+G32*$O$13+H32*$O$14+I32*$O$13+$O$15*L32+$O$16</f>
        <v/>
      </c>
      <c r="P32" s="15">
        <f>IF(K32&lt;0,1,0)</f>
        <v/>
      </c>
    </row>
    <row r="33">
      <c r="A33" s="15" t="n">
        <v>28</v>
      </c>
      <c r="B33" s="14">
        <f>MAX(0.1, NORM.INV(RAND(), Inputs!$C$9, Inputs!$C$13) + E33*Inputs!$C$11)</f>
        <v/>
      </c>
      <c r="C33" s="14">
        <f>MAX(0.05, NORM.INV(RAND(), Inputs!$C$12, Inputs!$C$14))</f>
        <v/>
      </c>
      <c r="D33" s="14">
        <f>B33+C33</f>
        <v/>
      </c>
      <c r="E33" s="15">
        <f>--(RAND()&lt;Inputs!$C$10)</f>
        <v/>
      </c>
      <c r="F33" s="15">
        <f>IF(RAND()&lt;UnitEconomics!$B$12,1,0)</f>
        <v/>
      </c>
      <c r="G33" s="15">
        <f>BINOM.INV(Inputs!$C$16, Inputs!$C$19, RAND())</f>
        <v/>
      </c>
      <c r="H33" s="15">
        <f>BINOM.INV(Inputs!$C$16, Inputs!$C$20, RAND())</f>
        <v/>
      </c>
      <c r="I33" s="15">
        <f>BINOM.INV(H33, Inputs!$C$21, RAND())</f>
        <v/>
      </c>
      <c r="J33" s="12">
        <f>IF( Inputs!$C$36 + F33*Inputs!$C$37 + E33*Inputs!$C$38&gt;1,1, Inputs!$C$36 + F33*Inputs!$C$37 + E33*Inputs!$C$38)</f>
        <v/>
      </c>
      <c r="K33" s="39">
        <f>L33-M33</f>
        <v/>
      </c>
      <c r="L33" s="39">
        <f>$O$4*(1-J33)</f>
        <v/>
      </c>
      <c r="M33" s="39">
        <f>$O$5+$O$6+$O$7+$O$8+$O$9+F33*$O$10+E33*$O$11+$O$12+G33*$O$13+H33*$O$14+I33*$O$13+$O$15*L33+$O$16</f>
        <v/>
      </c>
      <c r="P33" s="15">
        <f>IF(K33&lt;0,1,0)</f>
        <v/>
      </c>
    </row>
    <row r="34">
      <c r="A34" s="15" t="n">
        <v>29</v>
      </c>
      <c r="B34" s="14">
        <f>MAX(0.1, NORM.INV(RAND(), Inputs!$C$9, Inputs!$C$13) + E34*Inputs!$C$11)</f>
        <v/>
      </c>
      <c r="C34" s="14">
        <f>MAX(0.05, NORM.INV(RAND(), Inputs!$C$12, Inputs!$C$14))</f>
        <v/>
      </c>
      <c r="D34" s="14">
        <f>B34+C34</f>
        <v/>
      </c>
      <c r="E34" s="15">
        <f>--(RAND()&lt;Inputs!$C$10)</f>
        <v/>
      </c>
      <c r="F34" s="15">
        <f>IF(RAND()&lt;UnitEconomics!$B$12,1,0)</f>
        <v/>
      </c>
      <c r="G34" s="15">
        <f>BINOM.INV(Inputs!$C$16, Inputs!$C$19, RAND())</f>
        <v/>
      </c>
      <c r="H34" s="15">
        <f>BINOM.INV(Inputs!$C$16, Inputs!$C$20, RAND())</f>
        <v/>
      </c>
      <c r="I34" s="15">
        <f>BINOM.INV(H34, Inputs!$C$21, RAND())</f>
        <v/>
      </c>
      <c r="J34" s="12">
        <f>IF( Inputs!$C$36 + F34*Inputs!$C$37 + E34*Inputs!$C$38&gt;1,1, Inputs!$C$36 + F34*Inputs!$C$37 + E34*Inputs!$C$38)</f>
        <v/>
      </c>
      <c r="K34" s="39">
        <f>L34-M34</f>
        <v/>
      </c>
      <c r="L34" s="39">
        <f>$O$4*(1-J34)</f>
        <v/>
      </c>
      <c r="M34" s="39">
        <f>$O$5+$O$6+$O$7+$O$8+$O$9+F34*$O$10+E34*$O$11+$O$12+G34*$O$13+H34*$O$14+I34*$O$13+$O$15*L34+$O$16</f>
        <v/>
      </c>
      <c r="P34" s="15">
        <f>IF(K34&lt;0,1,0)</f>
        <v/>
      </c>
    </row>
    <row r="35">
      <c r="A35" s="15" t="n">
        <v>30</v>
      </c>
      <c r="B35" s="14">
        <f>MAX(0.1, NORM.INV(RAND(), Inputs!$C$9, Inputs!$C$13) + E35*Inputs!$C$11)</f>
        <v/>
      </c>
      <c r="C35" s="14">
        <f>MAX(0.05, NORM.INV(RAND(), Inputs!$C$12, Inputs!$C$14))</f>
        <v/>
      </c>
      <c r="D35" s="14">
        <f>B35+C35</f>
        <v/>
      </c>
      <c r="E35" s="15">
        <f>--(RAND()&lt;Inputs!$C$10)</f>
        <v/>
      </c>
      <c r="F35" s="15">
        <f>IF(RAND()&lt;UnitEconomics!$B$12,1,0)</f>
        <v/>
      </c>
      <c r="G35" s="15">
        <f>BINOM.INV(Inputs!$C$16, Inputs!$C$19, RAND())</f>
        <v/>
      </c>
      <c r="H35" s="15">
        <f>BINOM.INV(Inputs!$C$16, Inputs!$C$20, RAND())</f>
        <v/>
      </c>
      <c r="I35" s="15">
        <f>BINOM.INV(H35, Inputs!$C$21, RAND())</f>
        <v/>
      </c>
      <c r="J35" s="12">
        <f>IF( Inputs!$C$36 + F35*Inputs!$C$37 + E35*Inputs!$C$38&gt;1,1, Inputs!$C$36 + F35*Inputs!$C$37 + E35*Inputs!$C$38)</f>
        <v/>
      </c>
      <c r="K35" s="39">
        <f>L35-M35</f>
        <v/>
      </c>
      <c r="L35" s="39">
        <f>$O$4*(1-J35)</f>
        <v/>
      </c>
      <c r="M35" s="39">
        <f>$O$5+$O$6+$O$7+$O$8+$O$9+F35*$O$10+E35*$O$11+$O$12+G35*$O$13+H35*$O$14+I35*$O$13+$O$15*L35+$O$16</f>
        <v/>
      </c>
      <c r="P35" s="15">
        <f>IF(K35&lt;0,1,0)</f>
        <v/>
      </c>
    </row>
    <row r="36">
      <c r="A36" s="15" t="n"/>
      <c r="B36" s="14" t="n"/>
      <c r="C36" s="14" t="n"/>
      <c r="D36" s="14" t="n"/>
      <c r="E36" s="15" t="n"/>
      <c r="F36" s="15" t="n"/>
      <c r="G36" s="15" t="n"/>
      <c r="H36" s="15" t="n"/>
      <c r="I36" s="15" t="n"/>
      <c r="J36" s="12" t="n"/>
      <c r="K36" s="39">
        <f>L36-M36</f>
        <v/>
      </c>
      <c r="L36" s="39">
        <f>$O$4*(1-J36)</f>
        <v/>
      </c>
      <c r="M36" s="39">
        <f>$O$5+$O$6+$O$7+$O$8+$O$9+F36*$O$10+E36*$O$11+$O$12+G36*$O$13+H36*$O$14+I36*$O$13+$O$15*L36+$O$16</f>
        <v/>
      </c>
      <c r="P36" s="15">
        <f>IF(K36&lt;0,1,0)</f>
        <v/>
      </c>
    </row>
    <row r="37">
      <c r="A37" s="15" t="n"/>
      <c r="B37" s="14" t="n"/>
      <c r="C37" s="14" t="n"/>
      <c r="D37" s="14" t="n"/>
      <c r="E37" s="15" t="n"/>
      <c r="F37" s="15" t="n"/>
      <c r="G37" s="15" t="n"/>
      <c r="H37" s="15" t="n"/>
      <c r="I37" s="15" t="n"/>
      <c r="J37" s="12" t="n"/>
      <c r="K37" s="39">
        <f>L37-M37</f>
        <v/>
      </c>
      <c r="L37" s="39">
        <f>$O$4*(1-J37)</f>
        <v/>
      </c>
      <c r="M37" s="39">
        <f>$O$5+$O$6+$O$7+$O$8+$O$9+F37*$O$10+E37*$O$11+$O$12+G37*$O$13+H37*$O$14+I37*$O$13+$O$15*L37+$O$16</f>
        <v/>
      </c>
      <c r="P37" s="15">
        <f>IF(K37&lt;0,1,0)</f>
        <v/>
      </c>
    </row>
    <row r="38">
      <c r="A38" s="15" t="n"/>
      <c r="B38" s="14" t="n"/>
      <c r="C38" s="14" t="n"/>
      <c r="D38" s="14" t="n"/>
      <c r="E38" s="15" t="n"/>
      <c r="F38" s="15" t="n"/>
      <c r="G38" s="15" t="n"/>
      <c r="H38" s="15" t="n"/>
      <c r="I38" s="15" t="n"/>
      <c r="J38" s="12" t="n"/>
      <c r="K38" s="39">
        <f>L38-M38</f>
        <v/>
      </c>
      <c r="L38" s="39">
        <f>$O$4*(1-J38)</f>
        <v/>
      </c>
      <c r="M38" s="39">
        <f>$O$5+$O$6+$O$7+$O$8+$O$9+F38*$O$10+E38*$O$11+$O$12+G38*$O$13+H38*$O$14+I38*$O$13+$O$15*L38+$O$16</f>
        <v/>
      </c>
      <c r="P38" s="15">
        <f>IF(K38&lt;0,1,0)</f>
        <v/>
      </c>
    </row>
    <row r="39">
      <c r="A39" s="15" t="n"/>
      <c r="B39" s="14" t="n"/>
      <c r="C39" s="14" t="n"/>
      <c r="D39" s="14" t="n"/>
      <c r="E39" s="15" t="n"/>
      <c r="F39" s="15" t="n"/>
      <c r="G39" s="15" t="n"/>
      <c r="H39" s="15" t="n"/>
      <c r="I39" s="15" t="n"/>
      <c r="J39" s="12" t="n"/>
      <c r="K39" s="39">
        <f>L39-M39</f>
        <v/>
      </c>
      <c r="L39" s="39">
        <f>$O$4*(1-J39)</f>
        <v/>
      </c>
      <c r="M39" s="39">
        <f>$O$5+$O$6+$O$7+$O$8+$O$9+F39*$O$10+E39*$O$11+$O$12+G39*$O$13+H39*$O$14+I39*$O$13+$O$15*L39+$O$16</f>
        <v/>
      </c>
      <c r="P39" s="15">
        <f>IF(K39&lt;0,1,0)</f>
        <v/>
      </c>
    </row>
    <row r="40">
      <c r="A40" s="15" t="n"/>
      <c r="B40" s="14" t="n"/>
      <c r="C40" s="14" t="n"/>
      <c r="D40" s="14" t="n"/>
      <c r="E40" s="15" t="n"/>
      <c r="F40" s="15" t="n"/>
      <c r="G40" s="15" t="n"/>
      <c r="H40" s="15" t="n"/>
      <c r="I40" s="15" t="n"/>
      <c r="J40" s="12" t="n"/>
      <c r="K40" s="39">
        <f>L40-M40</f>
        <v/>
      </c>
      <c r="L40" s="39">
        <f>$O$4*(1-J40)</f>
        <v/>
      </c>
      <c r="M40" s="39">
        <f>$O$5+$O$6+$O$7+$O$8+$O$9+F40*$O$10+E40*$O$11+$O$12+G40*$O$13+H40*$O$14+I40*$O$13+$O$15*L40+$O$16</f>
        <v/>
      </c>
      <c r="P40" s="15">
        <f>IF(K40&lt;0,1,0)</f>
        <v/>
      </c>
    </row>
    <row r="41">
      <c r="A41" s="15" t="n"/>
      <c r="B41" s="14" t="n"/>
      <c r="C41" s="14" t="n"/>
      <c r="D41" s="14" t="n"/>
      <c r="E41" s="15" t="n"/>
      <c r="F41" s="15" t="n"/>
      <c r="G41" s="15" t="n"/>
      <c r="H41" s="15" t="n"/>
      <c r="I41" s="15" t="n"/>
      <c r="J41" s="12" t="n"/>
      <c r="K41" s="39">
        <f>L41-M41</f>
        <v/>
      </c>
      <c r="L41" s="39">
        <f>$O$4*(1-J41)</f>
        <v/>
      </c>
      <c r="M41" s="39">
        <f>$O$5+$O$6+$O$7+$O$8+$O$9+F41*$O$10+E41*$O$11+$O$12+G41*$O$13+H41*$O$14+I41*$O$13+$O$15*L41+$O$16</f>
        <v/>
      </c>
      <c r="P41" s="15">
        <f>IF(K41&lt;0,1,0)</f>
        <v/>
      </c>
    </row>
    <row r="42">
      <c r="A42" s="15" t="n"/>
      <c r="B42" s="14" t="n"/>
      <c r="C42" s="14" t="n"/>
      <c r="D42" s="14" t="n"/>
      <c r="E42" s="15" t="n"/>
      <c r="F42" s="15" t="n"/>
      <c r="G42" s="15" t="n"/>
      <c r="H42" s="15" t="n"/>
      <c r="I42" s="15" t="n"/>
      <c r="J42" s="12" t="n"/>
      <c r="K42" s="39">
        <f>L42-M42</f>
        <v/>
      </c>
      <c r="L42" s="39">
        <f>$O$4*(1-J42)</f>
        <v/>
      </c>
      <c r="M42" s="39">
        <f>$O$5+$O$6+$O$7+$O$8+$O$9+F42*$O$10+E42*$O$11+$O$12+G42*$O$13+H42*$O$14+I42*$O$13+$O$15*L42+$O$16</f>
        <v/>
      </c>
      <c r="P42" s="15">
        <f>IF(K42&lt;0,1,0)</f>
        <v/>
      </c>
    </row>
    <row r="43">
      <c r="A43" s="15" t="n"/>
      <c r="B43" s="14" t="n"/>
      <c r="C43" s="14" t="n"/>
      <c r="D43" s="14" t="n"/>
      <c r="E43" s="15" t="n"/>
      <c r="F43" s="15" t="n"/>
      <c r="G43" s="15" t="n"/>
      <c r="H43" s="15" t="n"/>
      <c r="I43" s="15" t="n"/>
      <c r="J43" s="12" t="n"/>
      <c r="K43" s="39">
        <f>L43-M43</f>
        <v/>
      </c>
      <c r="L43" s="39">
        <f>$O$4*(1-J43)</f>
        <v/>
      </c>
      <c r="M43" s="39">
        <f>$O$5+$O$6+$O$7+$O$8+$O$9+F43*$O$10+E43*$O$11+$O$12+G43*$O$13+H43*$O$14+I43*$O$13+$O$15*L43+$O$16</f>
        <v/>
      </c>
      <c r="P43" s="15">
        <f>IF(K43&lt;0,1,0)</f>
        <v/>
      </c>
    </row>
    <row r="44">
      <c r="A44" s="15" t="n"/>
      <c r="B44" s="14" t="n"/>
      <c r="C44" s="14" t="n"/>
      <c r="D44" s="14" t="n"/>
      <c r="E44" s="15" t="n"/>
      <c r="F44" s="15" t="n"/>
      <c r="G44" s="15" t="n"/>
      <c r="H44" s="15" t="n"/>
      <c r="I44" s="15" t="n"/>
      <c r="J44" s="12" t="n"/>
      <c r="K44" s="39">
        <f>L44-M44</f>
        <v/>
      </c>
      <c r="L44" s="39">
        <f>$O$4*(1-J44)</f>
        <v/>
      </c>
      <c r="M44" s="39">
        <f>$O$5+$O$6+$O$7+$O$8+$O$9+F44*$O$10+E44*$O$11+$O$12+G44*$O$13+H44*$O$14+I44*$O$13+$O$15*L44+$O$16</f>
        <v/>
      </c>
      <c r="P44" s="15">
        <f>IF(K44&lt;0,1,0)</f>
        <v/>
      </c>
    </row>
    <row r="45">
      <c r="A45" s="15" t="n"/>
      <c r="B45" s="14" t="n"/>
      <c r="C45" s="14" t="n"/>
      <c r="D45" s="14" t="n"/>
      <c r="E45" s="15" t="n"/>
      <c r="F45" s="15" t="n"/>
      <c r="G45" s="15" t="n"/>
      <c r="H45" s="15" t="n"/>
      <c r="I45" s="15" t="n"/>
      <c r="J45" s="12" t="n"/>
      <c r="K45" s="39">
        <f>L45-M45</f>
        <v/>
      </c>
      <c r="L45" s="39">
        <f>$O$4*(1-J45)</f>
        <v/>
      </c>
      <c r="M45" s="39">
        <f>$O$5+$O$6+$O$7+$O$8+$O$9+F45*$O$10+E45*$O$11+$O$12+G45*$O$13+H45*$O$14+I45*$O$13+$O$15*L45+$O$16</f>
        <v/>
      </c>
      <c r="P45" s="15">
        <f>IF(K45&lt;0,1,0)</f>
        <v/>
      </c>
    </row>
    <row r="46">
      <c r="A46" s="15" t="n"/>
      <c r="B46" s="14" t="n"/>
      <c r="C46" s="14" t="n"/>
      <c r="D46" s="14" t="n"/>
      <c r="E46" s="15" t="n"/>
      <c r="F46" s="15" t="n"/>
      <c r="G46" s="15" t="n"/>
      <c r="H46" s="15" t="n"/>
      <c r="I46" s="15" t="n"/>
      <c r="J46" s="12" t="n"/>
      <c r="K46" s="39">
        <f>L46-M46</f>
        <v/>
      </c>
      <c r="L46" s="39">
        <f>$O$4*(1-J46)</f>
        <v/>
      </c>
      <c r="M46" s="39">
        <f>$O$5+$O$6+$O$7+$O$8+$O$9+F46*$O$10+E46*$O$11+$O$12+G46*$O$13+H46*$O$14+I46*$O$13+$O$15*L46+$O$16</f>
        <v/>
      </c>
      <c r="P46" s="15">
        <f>IF(K46&lt;0,1,0)</f>
        <v/>
      </c>
    </row>
    <row r="47">
      <c r="A47" s="15" t="n"/>
      <c r="B47" s="14" t="n"/>
      <c r="C47" s="14" t="n"/>
      <c r="D47" s="14" t="n"/>
      <c r="E47" s="15" t="n"/>
      <c r="F47" s="15" t="n"/>
      <c r="G47" s="15" t="n"/>
      <c r="H47" s="15" t="n"/>
      <c r="I47" s="15" t="n"/>
      <c r="J47" s="12" t="n"/>
      <c r="K47" s="39">
        <f>L47-M47</f>
        <v/>
      </c>
      <c r="L47" s="39">
        <f>$O$4*(1-J47)</f>
        <v/>
      </c>
      <c r="M47" s="39">
        <f>$O$5+$O$6+$O$7+$O$8+$O$9+F47*$O$10+E47*$O$11+$O$12+G47*$O$13+H47*$O$14+I47*$O$13+$O$15*L47+$O$16</f>
        <v/>
      </c>
      <c r="P47" s="15">
        <f>IF(K47&lt;0,1,0)</f>
        <v/>
      </c>
    </row>
    <row r="48">
      <c r="A48" s="15" t="n"/>
      <c r="B48" s="14" t="n"/>
      <c r="C48" s="14" t="n"/>
      <c r="D48" s="14" t="n"/>
      <c r="E48" s="15" t="n"/>
      <c r="F48" s="15" t="n"/>
      <c r="G48" s="15" t="n"/>
      <c r="H48" s="15" t="n"/>
      <c r="I48" s="15" t="n"/>
      <c r="J48" s="12" t="n"/>
      <c r="K48" s="39">
        <f>L48-M48</f>
        <v/>
      </c>
      <c r="L48" s="39">
        <f>$O$4*(1-J48)</f>
        <v/>
      </c>
      <c r="M48" s="39">
        <f>$O$5+$O$6+$O$7+$O$8+$O$9+F48*$O$10+E48*$O$11+$O$12+G48*$O$13+H48*$O$14+I48*$O$13+$O$15*L48+$O$16</f>
        <v/>
      </c>
      <c r="P48" s="15">
        <f>IF(K48&lt;0,1,0)</f>
        <v/>
      </c>
    </row>
    <row r="49">
      <c r="A49" s="15" t="n"/>
      <c r="B49" s="14" t="n"/>
      <c r="C49" s="14" t="n"/>
      <c r="D49" s="14" t="n"/>
      <c r="E49" s="15" t="n"/>
      <c r="F49" s="15" t="n"/>
      <c r="G49" s="15" t="n"/>
      <c r="H49" s="15" t="n"/>
      <c r="I49" s="15" t="n"/>
      <c r="J49" s="12" t="n"/>
      <c r="K49" s="39">
        <f>L49-M49</f>
        <v/>
      </c>
      <c r="L49" s="39">
        <f>$O$4*(1-J49)</f>
        <v/>
      </c>
      <c r="M49" s="39">
        <f>$O$5+$O$6+$O$7+$O$8+$O$9+F49*$O$10+E49*$O$11+$O$12+G49*$O$13+H49*$O$14+I49*$O$13+$O$15*L49+$O$16</f>
        <v/>
      </c>
      <c r="P49" s="15">
        <f>IF(K49&lt;0,1,0)</f>
        <v/>
      </c>
    </row>
    <row r="50">
      <c r="A50" s="15" t="n"/>
      <c r="B50" s="14" t="n"/>
      <c r="C50" s="14" t="n"/>
      <c r="D50" s="14" t="n"/>
      <c r="E50" s="15" t="n"/>
      <c r="F50" s="15" t="n"/>
      <c r="G50" s="15" t="n"/>
      <c r="H50" s="15" t="n"/>
      <c r="I50" s="15" t="n"/>
      <c r="J50" s="12" t="n"/>
      <c r="K50" s="39">
        <f>L50-M50</f>
        <v/>
      </c>
      <c r="L50" s="39">
        <f>$O$4*(1-J50)</f>
        <v/>
      </c>
      <c r="M50" s="39">
        <f>$O$5+$O$6+$O$7+$O$8+$O$9+F50*$O$10+E50*$O$11+$O$12+G50*$O$13+H50*$O$14+I50*$O$13+$O$15*L50+$O$16</f>
        <v/>
      </c>
      <c r="P50" s="15">
        <f>IF(K50&lt;0,1,0)</f>
        <v/>
      </c>
    </row>
    <row r="51">
      <c r="A51" s="15" t="n"/>
      <c r="B51" s="14" t="n"/>
      <c r="C51" s="14" t="n"/>
      <c r="D51" s="14" t="n"/>
      <c r="E51" s="15" t="n"/>
      <c r="F51" s="15" t="n"/>
      <c r="G51" s="15" t="n"/>
      <c r="H51" s="15" t="n"/>
      <c r="I51" s="15" t="n"/>
      <c r="J51" s="12" t="n"/>
      <c r="K51" s="39">
        <f>L51-M51</f>
        <v/>
      </c>
      <c r="L51" s="39">
        <f>$O$4*(1-J51)</f>
        <v/>
      </c>
      <c r="M51" s="39">
        <f>$O$5+$O$6+$O$7+$O$8+$O$9+F51*$O$10+E51*$O$11+$O$12+G51*$O$13+H51*$O$14+I51*$O$13+$O$15*L51+$O$16</f>
        <v/>
      </c>
      <c r="P51" s="15">
        <f>IF(K51&lt;0,1,0)</f>
        <v/>
      </c>
    </row>
    <row r="52">
      <c r="A52" s="15" t="n"/>
      <c r="B52" s="14" t="n"/>
      <c r="C52" s="14" t="n"/>
      <c r="D52" s="14" t="n"/>
      <c r="E52" s="15" t="n"/>
      <c r="F52" s="15" t="n"/>
      <c r="G52" s="15" t="n"/>
      <c r="H52" s="15" t="n"/>
      <c r="I52" s="15" t="n"/>
      <c r="J52" s="12" t="n"/>
      <c r="K52" s="39">
        <f>L52-M52</f>
        <v/>
      </c>
      <c r="L52" s="39">
        <f>$O$4*(1-J52)</f>
        <v/>
      </c>
      <c r="M52" s="39">
        <f>$O$5+$O$6+$O$7+$O$8+$O$9+F52*$O$10+E52*$O$11+$O$12+G52*$O$13+H52*$O$14+I52*$O$13+$O$15*L52+$O$16</f>
        <v/>
      </c>
      <c r="P52" s="15">
        <f>IF(K52&lt;0,1,0)</f>
        <v/>
      </c>
    </row>
    <row r="53">
      <c r="A53" s="15" t="n"/>
      <c r="B53" s="14" t="n"/>
      <c r="C53" s="14" t="n"/>
      <c r="D53" s="14" t="n"/>
      <c r="E53" s="15" t="n"/>
      <c r="F53" s="15" t="n"/>
      <c r="G53" s="15" t="n"/>
      <c r="H53" s="15" t="n"/>
      <c r="I53" s="15" t="n"/>
      <c r="J53" s="12" t="n"/>
      <c r="K53" s="39">
        <f>L53-M53</f>
        <v/>
      </c>
      <c r="L53" s="39">
        <f>$O$4*(1-J53)</f>
        <v/>
      </c>
      <c r="M53" s="39">
        <f>$O$5+$O$6+$O$7+$O$8+$O$9+F53*$O$10+E53*$O$11+$O$12+G53*$O$13+H53*$O$14+I53*$O$13+$O$15*L53+$O$16</f>
        <v/>
      </c>
      <c r="P53" s="15">
        <f>IF(K53&lt;0,1,0)</f>
        <v/>
      </c>
    </row>
    <row r="54">
      <c r="A54" s="15" t="n"/>
      <c r="B54" s="14" t="n"/>
      <c r="C54" s="14" t="n"/>
      <c r="D54" s="14" t="n"/>
      <c r="E54" s="15" t="n"/>
      <c r="F54" s="15" t="n"/>
      <c r="G54" s="15" t="n"/>
      <c r="H54" s="15" t="n"/>
      <c r="I54" s="15" t="n"/>
      <c r="J54" s="12" t="n"/>
      <c r="K54" s="39">
        <f>L54-M54</f>
        <v/>
      </c>
      <c r="L54" s="39">
        <f>$O$4*(1-J54)</f>
        <v/>
      </c>
      <c r="M54" s="39">
        <f>$O$5+$O$6+$O$7+$O$8+$O$9+F54*$O$10+E54*$O$11+$O$12+G54*$O$13+H54*$O$14+I54*$O$13+$O$15*L54+$O$16</f>
        <v/>
      </c>
      <c r="P54" s="15">
        <f>IF(K54&lt;0,1,0)</f>
        <v/>
      </c>
    </row>
    <row r="55">
      <c r="A55" s="15" t="n"/>
      <c r="B55" s="14" t="n"/>
      <c r="C55" s="14" t="n"/>
      <c r="D55" s="14" t="n"/>
      <c r="E55" s="15" t="n"/>
      <c r="F55" s="15" t="n"/>
      <c r="G55" s="15" t="n"/>
      <c r="H55" s="15" t="n"/>
      <c r="I55" s="15" t="n"/>
      <c r="J55" s="12" t="n"/>
      <c r="K55" s="39">
        <f>L55-M55</f>
        <v/>
      </c>
      <c r="L55" s="39">
        <f>$O$4*(1-J55)</f>
        <v/>
      </c>
      <c r="M55" s="39">
        <f>$O$5+$O$6+$O$7+$O$8+$O$9+F55*$O$10+E55*$O$11+$O$12+G55*$O$13+H55*$O$14+I55*$O$13+$O$15*L55+$O$16</f>
        <v/>
      </c>
      <c r="P55" s="15">
        <f>IF(K55&lt;0,1,0)</f>
        <v/>
      </c>
    </row>
    <row r="56">
      <c r="A56" s="15" t="n"/>
      <c r="B56" s="14" t="n"/>
      <c r="C56" s="14" t="n"/>
      <c r="D56" s="14" t="n"/>
      <c r="E56" s="15" t="n"/>
      <c r="F56" s="15" t="n"/>
      <c r="G56" s="15" t="n"/>
      <c r="H56" s="15" t="n"/>
      <c r="I56" s="15" t="n"/>
      <c r="J56" s="12" t="n"/>
      <c r="K56" s="39">
        <f>L56-M56</f>
        <v/>
      </c>
      <c r="L56" s="39">
        <f>$O$4*(1-J56)</f>
        <v/>
      </c>
      <c r="M56" s="39">
        <f>$O$5+$O$6+$O$7+$O$8+$O$9+F56*$O$10+E56*$O$11+$O$12+G56*$O$13+H56*$O$14+I56*$O$13+$O$15*L56+$O$16</f>
        <v/>
      </c>
      <c r="P56" s="15">
        <f>IF(K56&lt;0,1,0)</f>
        <v/>
      </c>
    </row>
    <row r="57">
      <c r="A57" s="15" t="n"/>
      <c r="B57" s="14" t="n"/>
      <c r="C57" s="14" t="n"/>
      <c r="D57" s="14" t="n"/>
      <c r="E57" s="15" t="n"/>
      <c r="F57" s="15" t="n"/>
      <c r="G57" s="15" t="n"/>
      <c r="H57" s="15" t="n"/>
      <c r="I57" s="15" t="n"/>
      <c r="J57" s="12" t="n"/>
      <c r="K57" s="39">
        <f>L57-M57</f>
        <v/>
      </c>
      <c r="L57" s="39">
        <f>$O$4*(1-J57)</f>
        <v/>
      </c>
      <c r="M57" s="39">
        <f>$O$5+$O$6+$O$7+$O$8+$O$9+F57*$O$10+E57*$O$11+$O$12+G57*$O$13+H57*$O$14+I57*$O$13+$O$15*L57+$O$16</f>
        <v/>
      </c>
      <c r="P57" s="15">
        <f>IF(K57&lt;0,1,0)</f>
        <v/>
      </c>
    </row>
    <row r="58">
      <c r="A58" s="15" t="n"/>
      <c r="B58" s="14" t="n"/>
      <c r="C58" s="14" t="n"/>
      <c r="D58" s="14" t="n"/>
      <c r="E58" s="15" t="n"/>
      <c r="F58" s="15" t="n"/>
      <c r="G58" s="15" t="n"/>
      <c r="H58" s="15" t="n"/>
      <c r="I58" s="15" t="n"/>
      <c r="J58" s="12" t="n"/>
      <c r="K58" s="39">
        <f>L58-M58</f>
        <v/>
      </c>
      <c r="L58" s="39">
        <f>$O$4*(1-J58)</f>
        <v/>
      </c>
      <c r="M58" s="39">
        <f>$O$5+$O$6+$O$7+$O$8+$O$9+F58*$O$10+E58*$O$11+$O$12+G58*$O$13+H58*$O$14+I58*$O$13+$O$15*L58+$O$16</f>
        <v/>
      </c>
      <c r="P58" s="15">
        <f>IF(K58&lt;0,1,0)</f>
        <v/>
      </c>
    </row>
    <row r="59">
      <c r="A59" s="15" t="n"/>
      <c r="B59" s="14" t="n"/>
      <c r="C59" s="14" t="n"/>
      <c r="D59" s="14" t="n"/>
      <c r="E59" s="15" t="n"/>
      <c r="F59" s="15" t="n"/>
      <c r="G59" s="15" t="n"/>
      <c r="H59" s="15" t="n"/>
      <c r="I59" s="15" t="n"/>
      <c r="J59" s="12" t="n"/>
      <c r="K59" s="39">
        <f>L59-M59</f>
        <v/>
      </c>
      <c r="L59" s="39">
        <f>$O$4*(1-J59)</f>
        <v/>
      </c>
      <c r="M59" s="39">
        <f>$O$5+$O$6+$O$7+$O$8+$O$9+F59*$O$10+E59*$O$11+$O$12+G59*$O$13+H59*$O$14+I59*$O$13+$O$15*L59+$O$16</f>
        <v/>
      </c>
      <c r="P59" s="15">
        <f>IF(K59&lt;0,1,0)</f>
        <v/>
      </c>
    </row>
    <row r="60">
      <c r="A60" s="15" t="n"/>
      <c r="B60" s="14" t="n"/>
      <c r="C60" s="14" t="n"/>
      <c r="D60" s="14" t="n"/>
      <c r="E60" s="15" t="n"/>
      <c r="F60" s="15" t="n"/>
      <c r="G60" s="15" t="n"/>
      <c r="H60" s="15" t="n"/>
      <c r="I60" s="15" t="n"/>
      <c r="J60" s="12" t="n"/>
      <c r="K60" s="39">
        <f>L60-M60</f>
        <v/>
      </c>
      <c r="L60" s="39">
        <f>$O$4*(1-J60)</f>
        <v/>
      </c>
      <c r="M60" s="39">
        <f>$O$5+$O$6+$O$7+$O$8+$O$9+F60*$O$10+E60*$O$11+$O$12+G60*$O$13+H60*$O$14+I60*$O$13+$O$15*L60+$O$16</f>
        <v/>
      </c>
      <c r="P60" s="15">
        <f>IF(K60&lt;0,1,0)</f>
        <v/>
      </c>
    </row>
    <row r="61">
      <c r="A61" s="15" t="n"/>
      <c r="B61" s="14" t="n"/>
      <c r="C61" s="14" t="n"/>
      <c r="D61" s="14" t="n"/>
      <c r="E61" s="15" t="n"/>
      <c r="F61" s="15" t="n"/>
      <c r="G61" s="15" t="n"/>
      <c r="H61" s="15" t="n"/>
      <c r="I61" s="15" t="n"/>
      <c r="J61" s="12" t="n"/>
      <c r="K61" s="39">
        <f>L61-M61</f>
        <v/>
      </c>
      <c r="L61" s="39">
        <f>$O$4*(1-J61)</f>
        <v/>
      </c>
      <c r="M61" s="39">
        <f>$O$5+$O$6+$O$7+$O$8+$O$9+F61*$O$10+E61*$O$11+$O$12+G61*$O$13+H61*$O$14+I61*$O$13+$O$15*L61+$O$16</f>
        <v/>
      </c>
      <c r="P61" s="15">
        <f>IF(K61&lt;0,1,0)</f>
        <v/>
      </c>
    </row>
    <row r="62">
      <c r="A62" s="15" t="n"/>
      <c r="B62" s="14" t="n"/>
      <c r="C62" s="14" t="n"/>
      <c r="D62" s="14" t="n"/>
      <c r="E62" s="15" t="n"/>
      <c r="F62" s="15" t="n"/>
      <c r="G62" s="15" t="n"/>
      <c r="H62" s="15" t="n"/>
      <c r="I62" s="15" t="n"/>
      <c r="J62" s="12" t="n"/>
      <c r="K62" s="39">
        <f>L62-M62</f>
        <v/>
      </c>
      <c r="L62" s="39">
        <f>$O$4*(1-J62)</f>
        <v/>
      </c>
      <c r="M62" s="39">
        <f>$O$5+$O$6+$O$7+$O$8+$O$9+F62*$O$10+E62*$O$11+$O$12+G62*$O$13+H62*$O$14+I62*$O$13+$O$15*L62+$O$16</f>
        <v/>
      </c>
      <c r="P62" s="15">
        <f>IF(K62&lt;0,1,0)</f>
        <v/>
      </c>
    </row>
    <row r="63">
      <c r="A63" s="15" t="n"/>
      <c r="B63" s="14" t="n"/>
      <c r="C63" s="14" t="n"/>
      <c r="D63" s="14" t="n"/>
      <c r="E63" s="15" t="n"/>
      <c r="F63" s="15" t="n"/>
      <c r="G63" s="15" t="n"/>
      <c r="H63" s="15" t="n"/>
      <c r="I63" s="15" t="n"/>
      <c r="J63" s="12" t="n"/>
      <c r="K63" s="39">
        <f>L63-M63</f>
        <v/>
      </c>
      <c r="L63" s="39">
        <f>$O$4*(1-J63)</f>
        <v/>
      </c>
      <c r="M63" s="39">
        <f>$O$5+$O$6+$O$7+$O$8+$O$9+F63*$O$10+E63*$O$11+$O$12+G63*$O$13+H63*$O$14+I63*$O$13+$O$15*L63+$O$16</f>
        <v/>
      </c>
      <c r="P63" s="15">
        <f>IF(K63&lt;0,1,0)</f>
        <v/>
      </c>
    </row>
    <row r="64">
      <c r="A64" s="15" t="n"/>
      <c r="B64" s="14" t="n"/>
      <c r="C64" s="14" t="n"/>
      <c r="D64" s="14" t="n"/>
      <c r="E64" s="15" t="n"/>
      <c r="F64" s="15" t="n"/>
      <c r="G64" s="15" t="n"/>
      <c r="H64" s="15" t="n"/>
      <c r="I64" s="15" t="n"/>
      <c r="J64" s="12" t="n"/>
      <c r="K64" s="39">
        <f>L64-M64</f>
        <v/>
      </c>
      <c r="L64" s="39">
        <f>$O$4*(1-J64)</f>
        <v/>
      </c>
      <c r="M64" s="39">
        <f>$O$5+$O$6+$O$7+$O$8+$O$9+F64*$O$10+E64*$O$11+$O$12+G64*$O$13+H64*$O$14+I64*$O$13+$O$15*L64+$O$16</f>
        <v/>
      </c>
      <c r="P64" s="15">
        <f>IF(K64&lt;0,1,0)</f>
        <v/>
      </c>
    </row>
    <row r="65">
      <c r="A65" s="15" t="n"/>
      <c r="B65" s="14" t="n"/>
      <c r="C65" s="14" t="n"/>
      <c r="D65" s="14" t="n"/>
      <c r="E65" s="15" t="n"/>
      <c r="F65" s="15" t="n"/>
      <c r="G65" s="15" t="n"/>
      <c r="H65" s="15" t="n"/>
      <c r="I65" s="15" t="n"/>
      <c r="J65" s="12" t="n"/>
      <c r="K65" s="39">
        <f>L65-M65</f>
        <v/>
      </c>
      <c r="L65" s="39">
        <f>$O$4*(1-J65)</f>
        <v/>
      </c>
      <c r="M65" s="39">
        <f>$O$5+$O$6+$O$7+$O$8+$O$9+F65*$O$10+E65*$O$11+$O$12+G65*$O$13+H65*$O$14+I65*$O$13+$O$15*L65+$O$16</f>
        <v/>
      </c>
      <c r="P65" s="15">
        <f>IF(K65&lt;0,1,0)</f>
        <v/>
      </c>
    </row>
    <row r="66">
      <c r="A66" s="15" t="n"/>
      <c r="B66" s="14" t="n"/>
      <c r="C66" s="14" t="n"/>
      <c r="D66" s="14" t="n"/>
      <c r="E66" s="15" t="n"/>
      <c r="F66" s="15" t="n"/>
      <c r="G66" s="15" t="n"/>
      <c r="H66" s="15" t="n"/>
      <c r="I66" s="15" t="n"/>
      <c r="J66" s="12" t="n"/>
      <c r="K66" s="39">
        <f>L66-M66</f>
        <v/>
      </c>
      <c r="L66" s="39">
        <f>$O$4*(1-J66)</f>
        <v/>
      </c>
      <c r="M66" s="39">
        <f>$O$5+$O$6+$O$7+$O$8+$O$9+F66*$O$10+E66*$O$11+$O$12+G66*$O$13+H66*$O$14+I66*$O$13+$O$15*L66+$O$16</f>
        <v/>
      </c>
      <c r="P66" s="15">
        <f>IF(K66&lt;0,1,0)</f>
        <v/>
      </c>
    </row>
    <row r="67">
      <c r="A67" s="15" t="n"/>
      <c r="B67" s="14" t="n"/>
      <c r="C67" s="14" t="n"/>
      <c r="D67" s="14" t="n"/>
      <c r="E67" s="15" t="n"/>
      <c r="F67" s="15" t="n"/>
      <c r="G67" s="15" t="n"/>
      <c r="H67" s="15" t="n"/>
      <c r="I67" s="15" t="n"/>
      <c r="J67" s="12" t="n"/>
      <c r="K67" s="39">
        <f>L67-M67</f>
        <v/>
      </c>
      <c r="L67" s="39">
        <f>$O$4*(1-J67)</f>
        <v/>
      </c>
      <c r="M67" s="39">
        <f>$O$5+$O$6+$O$7+$O$8+$O$9+F67*$O$10+E67*$O$11+$O$12+G67*$O$13+H67*$O$14+I67*$O$13+$O$15*L67+$O$16</f>
        <v/>
      </c>
      <c r="P67" s="15">
        <f>IF(K67&lt;0,1,0)</f>
        <v/>
      </c>
    </row>
    <row r="68">
      <c r="A68" s="15" t="n"/>
      <c r="B68" s="14" t="n"/>
      <c r="C68" s="14" t="n"/>
      <c r="D68" s="14" t="n"/>
      <c r="E68" s="15" t="n"/>
      <c r="F68" s="15" t="n"/>
      <c r="G68" s="15" t="n"/>
      <c r="H68" s="15" t="n"/>
      <c r="I68" s="15" t="n"/>
      <c r="J68" s="12" t="n"/>
      <c r="K68" s="39">
        <f>L68-M68</f>
        <v/>
      </c>
      <c r="L68" s="39">
        <f>$O$4*(1-J68)</f>
        <v/>
      </c>
      <c r="M68" s="39">
        <f>$O$5+$O$6+$O$7+$O$8+$O$9+F68*$O$10+E68*$O$11+$O$12+G68*$O$13+H68*$O$14+I68*$O$13+$O$15*L68+$O$16</f>
        <v/>
      </c>
      <c r="P68" s="15">
        <f>IF(K68&lt;0,1,0)</f>
        <v/>
      </c>
    </row>
    <row r="69">
      <c r="A69" s="15" t="n"/>
      <c r="B69" s="14" t="n"/>
      <c r="C69" s="14" t="n"/>
      <c r="D69" s="14" t="n"/>
      <c r="E69" s="15" t="n"/>
      <c r="F69" s="15" t="n"/>
      <c r="G69" s="15" t="n"/>
      <c r="H69" s="15" t="n"/>
      <c r="I69" s="15" t="n"/>
      <c r="J69" s="12" t="n"/>
      <c r="K69" s="39">
        <f>L69-M69</f>
        <v/>
      </c>
      <c r="L69" s="39">
        <f>$O$4*(1-J69)</f>
        <v/>
      </c>
      <c r="M69" s="39">
        <f>$O$5+$O$6+$O$7+$O$8+$O$9+F69*$O$10+E69*$O$11+$O$12+G69*$O$13+H69*$O$14+I69*$O$13+$O$15*L69+$O$16</f>
        <v/>
      </c>
      <c r="P69" s="15">
        <f>IF(K69&lt;0,1,0)</f>
        <v/>
      </c>
    </row>
    <row r="70">
      <c r="A70" s="15" t="n"/>
      <c r="B70" s="14" t="n"/>
      <c r="C70" s="14" t="n"/>
      <c r="D70" s="14" t="n"/>
      <c r="E70" s="15" t="n"/>
      <c r="F70" s="15" t="n"/>
      <c r="G70" s="15" t="n"/>
      <c r="H70" s="15" t="n"/>
      <c r="I70" s="15" t="n"/>
      <c r="J70" s="12" t="n"/>
      <c r="K70" s="39">
        <f>L70-M70</f>
        <v/>
      </c>
      <c r="L70" s="39">
        <f>$O$4*(1-J70)</f>
        <v/>
      </c>
      <c r="M70" s="39">
        <f>$O$5+$O$6+$O$7+$O$8+$O$9+F70*$O$10+E70*$O$11+$O$12+G70*$O$13+H70*$O$14+I70*$O$13+$O$15*L70+$O$16</f>
        <v/>
      </c>
      <c r="P70" s="15">
        <f>IF(K70&lt;0,1,0)</f>
        <v/>
      </c>
    </row>
    <row r="71">
      <c r="A71" s="15" t="n"/>
      <c r="B71" s="14" t="n"/>
      <c r="C71" s="14" t="n"/>
      <c r="D71" s="14" t="n"/>
      <c r="E71" s="15" t="n"/>
      <c r="F71" s="15" t="n"/>
      <c r="G71" s="15" t="n"/>
      <c r="H71" s="15" t="n"/>
      <c r="I71" s="15" t="n"/>
      <c r="J71" s="12" t="n"/>
      <c r="K71" s="39">
        <f>L71-M71</f>
        <v/>
      </c>
      <c r="L71" s="39">
        <f>$O$4*(1-J71)</f>
        <v/>
      </c>
      <c r="M71" s="39">
        <f>$O$5+$O$6+$O$7+$O$8+$O$9+F71*$O$10+E71*$O$11+$O$12+G71*$O$13+H71*$O$14+I71*$O$13+$O$15*L71+$O$16</f>
        <v/>
      </c>
      <c r="P71" s="15">
        <f>IF(K71&lt;0,1,0)</f>
        <v/>
      </c>
    </row>
    <row r="72">
      <c r="A72" s="15" t="n"/>
      <c r="B72" s="14" t="n"/>
      <c r="C72" s="14" t="n"/>
      <c r="D72" s="14" t="n"/>
      <c r="E72" s="15" t="n"/>
      <c r="F72" s="15" t="n"/>
      <c r="G72" s="15" t="n"/>
      <c r="H72" s="15" t="n"/>
      <c r="I72" s="15" t="n"/>
      <c r="J72" s="12" t="n"/>
      <c r="K72" s="39">
        <f>L72-M72</f>
        <v/>
      </c>
      <c r="L72" s="39">
        <f>$O$4*(1-J72)</f>
        <v/>
      </c>
      <c r="M72" s="39">
        <f>$O$5+$O$6+$O$7+$O$8+$O$9+F72*$O$10+E72*$O$11+$O$12+G72*$O$13+H72*$O$14+I72*$O$13+$O$15*L72+$O$16</f>
        <v/>
      </c>
      <c r="P72" s="15">
        <f>IF(K72&lt;0,1,0)</f>
        <v/>
      </c>
    </row>
    <row r="73">
      <c r="A73" s="15" t="n"/>
      <c r="B73" s="14" t="n"/>
      <c r="C73" s="14" t="n"/>
      <c r="D73" s="14" t="n"/>
      <c r="E73" s="15" t="n"/>
      <c r="F73" s="15" t="n"/>
      <c r="G73" s="15" t="n"/>
      <c r="H73" s="15" t="n"/>
      <c r="I73" s="15" t="n"/>
      <c r="J73" s="12" t="n"/>
      <c r="K73" s="39">
        <f>L73-M73</f>
        <v/>
      </c>
      <c r="L73" s="39">
        <f>$O$4*(1-J73)</f>
        <v/>
      </c>
      <c r="M73" s="39">
        <f>$O$5+$O$6+$O$7+$O$8+$O$9+F73*$O$10+E73*$O$11+$O$12+G73*$O$13+H73*$O$14+I73*$O$13+$O$15*L73+$O$16</f>
        <v/>
      </c>
      <c r="P73" s="15">
        <f>IF(K73&lt;0,1,0)</f>
        <v/>
      </c>
    </row>
    <row r="74">
      <c r="A74" s="15" t="n"/>
      <c r="B74" s="14" t="n"/>
      <c r="C74" s="14" t="n"/>
      <c r="D74" s="14" t="n"/>
      <c r="E74" s="15" t="n"/>
      <c r="F74" s="15" t="n"/>
      <c r="G74" s="15" t="n"/>
      <c r="H74" s="15" t="n"/>
      <c r="I74" s="15" t="n"/>
      <c r="J74" s="12" t="n"/>
      <c r="K74" s="39">
        <f>L74-M74</f>
        <v/>
      </c>
      <c r="L74" s="39">
        <f>$O$4*(1-J74)</f>
        <v/>
      </c>
      <c r="M74" s="39">
        <f>$O$5+$O$6+$O$7+$O$8+$O$9+F74*$O$10+E74*$O$11+$O$12+G74*$O$13+H74*$O$14+I74*$O$13+$O$15*L74+$O$16</f>
        <v/>
      </c>
      <c r="P74" s="15">
        <f>IF(K74&lt;0,1,0)</f>
        <v/>
      </c>
    </row>
    <row r="75">
      <c r="A75" s="15" t="n"/>
      <c r="B75" s="14" t="n"/>
      <c r="C75" s="14" t="n"/>
      <c r="D75" s="14" t="n"/>
      <c r="E75" s="15" t="n"/>
      <c r="F75" s="15" t="n"/>
      <c r="G75" s="15" t="n"/>
      <c r="H75" s="15" t="n"/>
      <c r="I75" s="15" t="n"/>
      <c r="J75" s="12" t="n"/>
      <c r="K75" s="39">
        <f>L75-M75</f>
        <v/>
      </c>
      <c r="L75" s="39">
        <f>$O$4*(1-J75)</f>
        <v/>
      </c>
      <c r="M75" s="39">
        <f>$O$5+$O$6+$O$7+$O$8+$O$9+F75*$O$10+E75*$O$11+$O$12+G75*$O$13+H75*$O$14+I75*$O$13+$O$15*L75+$O$16</f>
        <v/>
      </c>
      <c r="P75" s="15">
        <f>IF(K75&lt;0,1,0)</f>
        <v/>
      </c>
    </row>
    <row r="76">
      <c r="A76" s="15" t="n"/>
      <c r="B76" s="14" t="n"/>
      <c r="C76" s="14" t="n"/>
      <c r="D76" s="14" t="n"/>
      <c r="E76" s="15" t="n"/>
      <c r="F76" s="15" t="n"/>
      <c r="G76" s="15" t="n"/>
      <c r="H76" s="15" t="n"/>
      <c r="I76" s="15" t="n"/>
      <c r="J76" s="12" t="n"/>
      <c r="K76" s="39">
        <f>L76-M76</f>
        <v/>
      </c>
      <c r="L76" s="39">
        <f>$O$4*(1-J76)</f>
        <v/>
      </c>
      <c r="M76" s="39">
        <f>$O$5+$O$6+$O$7+$O$8+$O$9+F76*$O$10+E76*$O$11+$O$12+G76*$O$13+H76*$O$14+I76*$O$13+$O$15*L76+$O$16</f>
        <v/>
      </c>
      <c r="P76" s="15">
        <f>IF(K76&lt;0,1,0)</f>
        <v/>
      </c>
    </row>
    <row r="77">
      <c r="A77" s="15" t="n"/>
      <c r="B77" s="14" t="n"/>
      <c r="C77" s="14" t="n"/>
      <c r="D77" s="14" t="n"/>
      <c r="E77" s="15" t="n"/>
      <c r="F77" s="15" t="n"/>
      <c r="G77" s="15" t="n"/>
      <c r="H77" s="15" t="n"/>
      <c r="I77" s="15" t="n"/>
      <c r="J77" s="12" t="n"/>
      <c r="K77" s="39">
        <f>L77-M77</f>
        <v/>
      </c>
      <c r="L77" s="39">
        <f>$O$4*(1-J77)</f>
        <v/>
      </c>
      <c r="M77" s="39">
        <f>$O$5+$O$6+$O$7+$O$8+$O$9+F77*$O$10+E77*$O$11+$O$12+G77*$O$13+H77*$O$14+I77*$O$13+$O$15*L77+$O$16</f>
        <v/>
      </c>
      <c r="P77" s="15">
        <f>IF(K77&lt;0,1,0)</f>
        <v/>
      </c>
    </row>
    <row r="78">
      <c r="A78" s="15" t="n"/>
      <c r="B78" s="14" t="n"/>
      <c r="C78" s="14" t="n"/>
      <c r="D78" s="14" t="n"/>
      <c r="E78" s="15" t="n"/>
      <c r="F78" s="15" t="n"/>
      <c r="G78" s="15" t="n"/>
      <c r="H78" s="15" t="n"/>
      <c r="I78" s="15" t="n"/>
      <c r="J78" s="12" t="n"/>
      <c r="K78" s="39">
        <f>L78-M78</f>
        <v/>
      </c>
      <c r="L78" s="39">
        <f>$O$4*(1-J78)</f>
        <v/>
      </c>
      <c r="M78" s="39">
        <f>$O$5+$O$6+$O$7+$O$8+$O$9+F78*$O$10+E78*$O$11+$O$12+G78*$O$13+H78*$O$14+I78*$O$13+$O$15*L78+$O$16</f>
        <v/>
      </c>
      <c r="P78" s="15">
        <f>IF(K78&lt;0,1,0)</f>
        <v/>
      </c>
    </row>
    <row r="79">
      <c r="A79" s="15" t="n"/>
      <c r="B79" s="14" t="n"/>
      <c r="C79" s="14" t="n"/>
      <c r="D79" s="14" t="n"/>
      <c r="E79" s="15" t="n"/>
      <c r="F79" s="15" t="n"/>
      <c r="G79" s="15" t="n"/>
      <c r="H79" s="15" t="n"/>
      <c r="I79" s="15" t="n"/>
      <c r="J79" s="12" t="n"/>
      <c r="K79" s="39">
        <f>L79-M79</f>
        <v/>
      </c>
      <c r="L79" s="39">
        <f>$O$4*(1-J79)</f>
        <v/>
      </c>
      <c r="M79" s="39">
        <f>$O$5+$O$6+$O$7+$O$8+$O$9+F79*$O$10+E79*$O$11+$O$12+G79*$O$13+H79*$O$14+I79*$O$13+$O$15*L79+$O$16</f>
        <v/>
      </c>
      <c r="P79" s="15">
        <f>IF(K79&lt;0,1,0)</f>
        <v/>
      </c>
    </row>
    <row r="80">
      <c r="A80" s="15" t="n"/>
      <c r="B80" s="14" t="n"/>
      <c r="C80" s="14" t="n"/>
      <c r="D80" s="14" t="n"/>
      <c r="E80" s="15" t="n"/>
      <c r="F80" s="15" t="n"/>
      <c r="G80" s="15" t="n"/>
      <c r="H80" s="15" t="n"/>
      <c r="I80" s="15" t="n"/>
      <c r="J80" s="12" t="n"/>
      <c r="K80" s="39">
        <f>L80-M80</f>
        <v/>
      </c>
      <c r="L80" s="39">
        <f>$O$4*(1-J80)</f>
        <v/>
      </c>
      <c r="M80" s="39">
        <f>$O$5+$O$6+$O$7+$O$8+$O$9+F80*$O$10+E80*$O$11+$O$12+G80*$O$13+H80*$O$14+I80*$O$13+$O$15*L80+$O$16</f>
        <v/>
      </c>
      <c r="P80" s="15">
        <f>IF(K80&lt;0,1,0)</f>
        <v/>
      </c>
    </row>
    <row r="81">
      <c r="A81" s="15" t="n"/>
      <c r="B81" s="14" t="n"/>
      <c r="C81" s="14" t="n"/>
      <c r="D81" s="14" t="n"/>
      <c r="E81" s="15" t="n"/>
      <c r="F81" s="15" t="n"/>
      <c r="G81" s="15" t="n"/>
      <c r="H81" s="15" t="n"/>
      <c r="I81" s="15" t="n"/>
      <c r="J81" s="12" t="n"/>
      <c r="K81" s="39">
        <f>L81-M81</f>
        <v/>
      </c>
      <c r="L81" s="39">
        <f>$O$4*(1-J81)</f>
        <v/>
      </c>
      <c r="M81" s="39">
        <f>$O$5+$O$6+$O$7+$O$8+$O$9+F81*$O$10+E81*$O$11+$O$12+G81*$O$13+H81*$O$14+I81*$O$13+$O$15*L81+$O$16</f>
        <v/>
      </c>
      <c r="P81" s="15">
        <f>IF(K81&lt;0,1,0)</f>
        <v/>
      </c>
    </row>
    <row r="82">
      <c r="A82" s="15" t="n"/>
      <c r="B82" s="14" t="n"/>
      <c r="C82" s="14" t="n"/>
      <c r="D82" s="14" t="n"/>
      <c r="E82" s="15" t="n"/>
      <c r="F82" s="15" t="n"/>
      <c r="G82" s="15" t="n"/>
      <c r="H82" s="15" t="n"/>
      <c r="I82" s="15" t="n"/>
      <c r="J82" s="12" t="n"/>
      <c r="K82" s="39">
        <f>L82-M82</f>
        <v/>
      </c>
      <c r="L82" s="39">
        <f>$O$4*(1-J82)</f>
        <v/>
      </c>
      <c r="M82" s="39">
        <f>$O$5+$O$6+$O$7+$O$8+$O$9+F82*$O$10+E82*$O$11+$O$12+G82*$O$13+H82*$O$14+I82*$O$13+$O$15*L82+$O$16</f>
        <v/>
      </c>
      <c r="P82" s="15">
        <f>IF(K82&lt;0,1,0)</f>
        <v/>
      </c>
    </row>
    <row r="83">
      <c r="A83" s="15" t="n"/>
      <c r="B83" s="14" t="n"/>
      <c r="C83" s="14" t="n"/>
      <c r="D83" s="14" t="n"/>
      <c r="E83" s="15" t="n"/>
      <c r="F83" s="15" t="n"/>
      <c r="G83" s="15" t="n"/>
      <c r="H83" s="15" t="n"/>
      <c r="I83" s="15" t="n"/>
      <c r="J83" s="12" t="n"/>
      <c r="K83" s="39">
        <f>L83-M83</f>
        <v/>
      </c>
      <c r="L83" s="39">
        <f>$O$4*(1-J83)</f>
        <v/>
      </c>
      <c r="M83" s="39">
        <f>$O$5+$O$6+$O$7+$O$8+$O$9+F83*$O$10+E83*$O$11+$O$12+G83*$O$13+H83*$O$14+I83*$O$13+$O$15*L83+$O$16</f>
        <v/>
      </c>
      <c r="P83" s="15">
        <f>IF(K83&lt;0,1,0)</f>
        <v/>
      </c>
    </row>
    <row r="84">
      <c r="A84" s="15" t="n"/>
      <c r="B84" s="14" t="n"/>
      <c r="C84" s="14" t="n"/>
      <c r="D84" s="14" t="n"/>
      <c r="E84" s="15" t="n"/>
      <c r="F84" s="15" t="n"/>
      <c r="G84" s="15" t="n"/>
      <c r="H84" s="15" t="n"/>
      <c r="I84" s="15" t="n"/>
      <c r="J84" s="12" t="n"/>
      <c r="K84" s="39">
        <f>L84-M84</f>
        <v/>
      </c>
      <c r="L84" s="39">
        <f>$O$4*(1-J84)</f>
        <v/>
      </c>
      <c r="M84" s="39">
        <f>$O$5+$O$6+$O$7+$O$8+$O$9+F84*$O$10+E84*$O$11+$O$12+G84*$O$13+H84*$O$14+I84*$O$13+$O$15*L84+$O$16</f>
        <v/>
      </c>
      <c r="P84" s="15">
        <f>IF(K84&lt;0,1,0)</f>
        <v/>
      </c>
    </row>
    <row r="85">
      <c r="A85" s="15" t="n"/>
      <c r="B85" s="14" t="n"/>
      <c r="C85" s="14" t="n"/>
      <c r="D85" s="14" t="n"/>
      <c r="E85" s="15" t="n"/>
      <c r="F85" s="15" t="n"/>
      <c r="G85" s="15" t="n"/>
      <c r="H85" s="15" t="n"/>
      <c r="I85" s="15" t="n"/>
      <c r="J85" s="12" t="n"/>
      <c r="K85" s="39">
        <f>L85-M85</f>
        <v/>
      </c>
      <c r="L85" s="39">
        <f>$O$4*(1-J85)</f>
        <v/>
      </c>
      <c r="M85" s="39">
        <f>$O$5+$O$6+$O$7+$O$8+$O$9+F85*$O$10+E85*$O$11+$O$12+G85*$O$13+H85*$O$14+I85*$O$13+$O$15*L85+$O$16</f>
        <v/>
      </c>
      <c r="P85" s="15">
        <f>IF(K85&lt;0,1,0)</f>
        <v/>
      </c>
    </row>
    <row r="86">
      <c r="A86" s="15" t="n"/>
      <c r="B86" s="14" t="n"/>
      <c r="C86" s="14" t="n"/>
      <c r="D86" s="14" t="n"/>
      <c r="E86" s="15" t="n"/>
      <c r="F86" s="15" t="n"/>
      <c r="G86" s="15" t="n"/>
      <c r="H86" s="15" t="n"/>
      <c r="I86" s="15" t="n"/>
      <c r="J86" s="12" t="n"/>
      <c r="K86" s="39">
        <f>L86-M86</f>
        <v/>
      </c>
      <c r="L86" s="39">
        <f>$O$4*(1-J86)</f>
        <v/>
      </c>
      <c r="M86" s="39">
        <f>$O$5+$O$6+$O$7+$O$8+$O$9+F86*$O$10+E86*$O$11+$O$12+G86*$O$13+H86*$O$14+I86*$O$13+$O$15*L86+$O$16</f>
        <v/>
      </c>
      <c r="P86" s="15">
        <f>IF(K86&lt;0,1,0)</f>
        <v/>
      </c>
    </row>
    <row r="87">
      <c r="A87" s="15" t="n"/>
      <c r="B87" s="14" t="n"/>
      <c r="C87" s="14" t="n"/>
      <c r="D87" s="14" t="n"/>
      <c r="E87" s="15" t="n"/>
      <c r="F87" s="15" t="n"/>
      <c r="G87" s="15" t="n"/>
      <c r="H87" s="15" t="n"/>
      <c r="I87" s="15" t="n"/>
      <c r="J87" s="12" t="n"/>
      <c r="K87" s="39">
        <f>L87-M87</f>
        <v/>
      </c>
      <c r="L87" s="39">
        <f>$O$4*(1-J87)</f>
        <v/>
      </c>
      <c r="M87" s="39">
        <f>$O$5+$O$6+$O$7+$O$8+$O$9+F87*$O$10+E87*$O$11+$O$12+G87*$O$13+H87*$O$14+I87*$O$13+$O$15*L87+$O$16</f>
        <v/>
      </c>
      <c r="P87" s="15">
        <f>IF(K87&lt;0,1,0)</f>
        <v/>
      </c>
    </row>
    <row r="88">
      <c r="A88" s="15" t="n"/>
      <c r="B88" s="14" t="n"/>
      <c r="C88" s="14" t="n"/>
      <c r="D88" s="14" t="n"/>
      <c r="E88" s="15" t="n"/>
      <c r="F88" s="15" t="n"/>
      <c r="G88" s="15" t="n"/>
      <c r="H88" s="15" t="n"/>
      <c r="I88" s="15" t="n"/>
      <c r="J88" s="12" t="n"/>
      <c r="K88" s="39">
        <f>L88-M88</f>
        <v/>
      </c>
      <c r="L88" s="39">
        <f>$O$4*(1-J88)</f>
        <v/>
      </c>
      <c r="M88" s="39">
        <f>$O$5+$O$6+$O$7+$O$8+$O$9+F88*$O$10+E88*$O$11+$O$12+G88*$O$13+H88*$O$14+I88*$O$13+$O$15*L88+$O$16</f>
        <v/>
      </c>
      <c r="P88" s="15">
        <f>IF(K88&lt;0,1,0)</f>
        <v/>
      </c>
    </row>
    <row r="89">
      <c r="A89" s="15" t="n"/>
      <c r="B89" s="14" t="n"/>
      <c r="C89" s="14" t="n"/>
      <c r="D89" s="14" t="n"/>
      <c r="E89" s="15" t="n"/>
      <c r="F89" s="15" t="n"/>
      <c r="G89" s="15" t="n"/>
      <c r="H89" s="15" t="n"/>
      <c r="I89" s="15" t="n"/>
      <c r="J89" s="12" t="n"/>
      <c r="K89" s="39">
        <f>L89-M89</f>
        <v/>
      </c>
      <c r="L89" s="39">
        <f>$O$4*(1-J89)</f>
        <v/>
      </c>
      <c r="M89" s="39">
        <f>$O$5+$O$6+$O$7+$O$8+$O$9+F89*$O$10+E89*$O$11+$O$12+G89*$O$13+H89*$O$14+I89*$O$13+$O$15*L89+$O$16</f>
        <v/>
      </c>
      <c r="P89" s="15">
        <f>IF(K89&lt;0,1,0)</f>
        <v/>
      </c>
    </row>
    <row r="90">
      <c r="A90" s="15" t="n"/>
      <c r="B90" s="14" t="n"/>
      <c r="C90" s="14" t="n"/>
      <c r="D90" s="14" t="n"/>
      <c r="E90" s="15" t="n"/>
      <c r="F90" s="15" t="n"/>
      <c r="G90" s="15" t="n"/>
      <c r="H90" s="15" t="n"/>
      <c r="I90" s="15" t="n"/>
      <c r="J90" s="12" t="n"/>
      <c r="K90" s="39">
        <f>L90-M90</f>
        <v/>
      </c>
      <c r="L90" s="39">
        <f>$O$4*(1-J90)</f>
        <v/>
      </c>
      <c r="M90" s="39">
        <f>$O$5+$O$6+$O$7+$O$8+$O$9+F90*$O$10+E90*$O$11+$O$12+G90*$O$13+H90*$O$14+I90*$O$13+$O$15*L90+$O$16</f>
        <v/>
      </c>
      <c r="P90" s="15">
        <f>IF(K90&lt;0,1,0)</f>
        <v/>
      </c>
    </row>
    <row r="91">
      <c r="A91" s="15" t="n"/>
      <c r="B91" s="14" t="n"/>
      <c r="C91" s="14" t="n"/>
      <c r="D91" s="14" t="n"/>
      <c r="E91" s="15" t="n"/>
      <c r="F91" s="15" t="n"/>
      <c r="G91" s="15" t="n"/>
      <c r="H91" s="15" t="n"/>
      <c r="I91" s="15" t="n"/>
      <c r="J91" s="12" t="n"/>
      <c r="K91" s="39">
        <f>L91-M91</f>
        <v/>
      </c>
      <c r="L91" s="39">
        <f>$O$4*(1-J91)</f>
        <v/>
      </c>
      <c r="M91" s="39">
        <f>$O$5+$O$6+$O$7+$O$8+$O$9+F91*$O$10+E91*$O$11+$O$12+G91*$O$13+H91*$O$14+I91*$O$13+$O$15*L91+$O$16</f>
        <v/>
      </c>
      <c r="P91" s="15">
        <f>IF(K91&lt;0,1,0)</f>
        <v/>
      </c>
    </row>
    <row r="92">
      <c r="A92" s="15" t="n"/>
      <c r="B92" s="14" t="n"/>
      <c r="C92" s="14" t="n"/>
      <c r="D92" s="14" t="n"/>
      <c r="E92" s="15" t="n"/>
      <c r="F92" s="15" t="n"/>
      <c r="G92" s="15" t="n"/>
      <c r="H92" s="15" t="n"/>
      <c r="I92" s="15" t="n"/>
      <c r="J92" s="12" t="n"/>
      <c r="K92" s="39">
        <f>L92-M92</f>
        <v/>
      </c>
      <c r="L92" s="39">
        <f>$O$4*(1-J92)</f>
        <v/>
      </c>
      <c r="M92" s="39">
        <f>$O$5+$O$6+$O$7+$O$8+$O$9+F92*$O$10+E92*$O$11+$O$12+G92*$O$13+H92*$O$14+I92*$O$13+$O$15*L92+$O$16</f>
        <v/>
      </c>
      <c r="P92" s="15">
        <f>IF(K92&lt;0,1,0)</f>
        <v/>
      </c>
    </row>
    <row r="93">
      <c r="A93" s="15" t="n"/>
      <c r="B93" s="14" t="n"/>
      <c r="C93" s="14" t="n"/>
      <c r="D93" s="14" t="n"/>
      <c r="E93" s="15" t="n"/>
      <c r="F93" s="15" t="n"/>
      <c r="G93" s="15" t="n"/>
      <c r="H93" s="15" t="n"/>
      <c r="I93" s="15" t="n"/>
      <c r="J93" s="12" t="n"/>
      <c r="K93" s="39">
        <f>L93-M93</f>
        <v/>
      </c>
      <c r="L93" s="39">
        <f>$O$4*(1-J93)</f>
        <v/>
      </c>
      <c r="M93" s="39">
        <f>$O$5+$O$6+$O$7+$O$8+$O$9+F93*$O$10+E93*$O$11+$O$12+G93*$O$13+H93*$O$14+I93*$O$13+$O$15*L93+$O$16</f>
        <v/>
      </c>
      <c r="P93" s="15">
        <f>IF(K93&lt;0,1,0)</f>
        <v/>
      </c>
    </row>
    <row r="94">
      <c r="A94" s="15" t="n"/>
      <c r="B94" s="14" t="n"/>
      <c r="C94" s="14" t="n"/>
      <c r="D94" s="14" t="n"/>
      <c r="E94" s="15" t="n"/>
      <c r="F94" s="15" t="n"/>
      <c r="G94" s="15" t="n"/>
      <c r="H94" s="15" t="n"/>
      <c r="I94" s="15" t="n"/>
      <c r="J94" s="12" t="n"/>
      <c r="K94" s="39">
        <f>L94-M94</f>
        <v/>
      </c>
      <c r="L94" s="39">
        <f>$O$4*(1-J94)</f>
        <v/>
      </c>
      <c r="M94" s="39">
        <f>$O$5+$O$6+$O$7+$O$8+$O$9+F94*$O$10+E94*$O$11+$O$12+G94*$O$13+H94*$O$14+I94*$O$13+$O$15*L94+$O$16</f>
        <v/>
      </c>
      <c r="P94" s="15">
        <f>IF(K94&lt;0,1,0)</f>
        <v/>
      </c>
    </row>
    <row r="95">
      <c r="A95" s="15" t="n"/>
      <c r="B95" s="14" t="n"/>
      <c r="C95" s="14" t="n"/>
      <c r="D95" s="14" t="n"/>
      <c r="E95" s="15" t="n"/>
      <c r="F95" s="15" t="n"/>
      <c r="G95" s="15" t="n"/>
      <c r="H95" s="15" t="n"/>
      <c r="I95" s="15" t="n"/>
      <c r="J95" s="12" t="n"/>
      <c r="K95" s="39">
        <f>L95-M95</f>
        <v/>
      </c>
      <c r="L95" s="39">
        <f>$O$4*(1-J95)</f>
        <v/>
      </c>
      <c r="M95" s="39">
        <f>$O$5+$O$6+$O$7+$O$8+$O$9+F95*$O$10+E95*$O$11+$O$12+G95*$O$13+H95*$O$14+I95*$O$13+$O$15*L95+$O$16</f>
        <v/>
      </c>
      <c r="P95" s="15">
        <f>IF(K95&lt;0,1,0)</f>
        <v/>
      </c>
    </row>
    <row r="96">
      <c r="A96" s="15" t="n"/>
      <c r="B96" s="14" t="n"/>
      <c r="C96" s="14" t="n"/>
      <c r="D96" s="14" t="n"/>
      <c r="E96" s="15" t="n"/>
      <c r="F96" s="15" t="n"/>
      <c r="G96" s="15" t="n"/>
      <c r="H96" s="15" t="n"/>
      <c r="I96" s="15" t="n"/>
      <c r="J96" s="12" t="n"/>
      <c r="K96" s="39">
        <f>L96-M96</f>
        <v/>
      </c>
      <c r="L96" s="39">
        <f>$O$4*(1-J96)</f>
        <v/>
      </c>
      <c r="M96" s="39">
        <f>$O$5+$O$6+$O$7+$O$8+$O$9+F96*$O$10+E96*$O$11+$O$12+G96*$O$13+H96*$O$14+I96*$O$13+$O$15*L96+$O$16</f>
        <v/>
      </c>
      <c r="P96" s="15">
        <f>IF(K96&lt;0,1,0)</f>
        <v/>
      </c>
    </row>
    <row r="97">
      <c r="A97" s="15" t="n"/>
      <c r="B97" s="14" t="n"/>
      <c r="C97" s="14" t="n"/>
      <c r="D97" s="14" t="n"/>
      <c r="E97" s="15" t="n"/>
      <c r="F97" s="15" t="n"/>
      <c r="G97" s="15" t="n"/>
      <c r="H97" s="15" t="n"/>
      <c r="I97" s="15" t="n"/>
      <c r="J97" s="12" t="n"/>
      <c r="K97" s="39">
        <f>L97-M97</f>
        <v/>
      </c>
      <c r="L97" s="39">
        <f>$O$4*(1-J97)</f>
        <v/>
      </c>
      <c r="M97" s="39">
        <f>$O$5+$O$6+$O$7+$O$8+$O$9+F97*$O$10+E97*$O$11+$O$12+G97*$O$13+H97*$O$14+I97*$O$13+$O$15*L97+$O$16</f>
        <v/>
      </c>
      <c r="P97" s="15">
        <f>IF(K97&lt;0,1,0)</f>
        <v/>
      </c>
    </row>
    <row r="98">
      <c r="A98" s="15" t="n"/>
      <c r="B98" s="14" t="n"/>
      <c r="C98" s="14" t="n"/>
      <c r="D98" s="14" t="n"/>
      <c r="E98" s="15" t="n"/>
      <c r="F98" s="15" t="n"/>
      <c r="G98" s="15" t="n"/>
      <c r="H98" s="15" t="n"/>
      <c r="I98" s="15" t="n"/>
      <c r="J98" s="12" t="n"/>
      <c r="K98" s="39">
        <f>L98-M98</f>
        <v/>
      </c>
      <c r="L98" s="39">
        <f>$O$4*(1-J98)</f>
        <v/>
      </c>
      <c r="M98" s="39">
        <f>$O$5+$O$6+$O$7+$O$8+$O$9+F98*$O$10+E98*$O$11+$O$12+G98*$O$13+H98*$O$14+I98*$O$13+$O$15*L98+$O$16</f>
        <v/>
      </c>
      <c r="P98" s="15">
        <f>IF(K98&lt;0,1,0)</f>
        <v/>
      </c>
    </row>
    <row r="99">
      <c r="A99" s="15" t="n"/>
      <c r="B99" s="14" t="n"/>
      <c r="C99" s="14" t="n"/>
      <c r="D99" s="14" t="n"/>
      <c r="E99" s="15" t="n"/>
      <c r="F99" s="15" t="n"/>
      <c r="G99" s="15" t="n"/>
      <c r="H99" s="15" t="n"/>
      <c r="I99" s="15" t="n"/>
      <c r="J99" s="12" t="n"/>
      <c r="K99" s="39">
        <f>L99-M99</f>
        <v/>
      </c>
      <c r="L99" s="39">
        <f>$O$4*(1-J99)</f>
        <v/>
      </c>
      <c r="M99" s="39">
        <f>$O$5+$O$6+$O$7+$O$8+$O$9+F99*$O$10+E99*$O$11+$O$12+G99*$O$13+H99*$O$14+I99*$O$13+$O$15*L99+$O$16</f>
        <v/>
      </c>
      <c r="P99" s="15">
        <f>IF(K99&lt;0,1,0)</f>
        <v/>
      </c>
    </row>
    <row r="100">
      <c r="A100" s="15" t="n"/>
      <c r="B100" s="14" t="n"/>
      <c r="C100" s="14" t="n"/>
      <c r="D100" s="14" t="n"/>
      <c r="E100" s="15" t="n"/>
      <c r="F100" s="15" t="n"/>
      <c r="G100" s="15" t="n"/>
      <c r="H100" s="15" t="n"/>
      <c r="I100" s="15" t="n"/>
      <c r="J100" s="12" t="n"/>
      <c r="K100" s="39">
        <f>L100-M100</f>
        <v/>
      </c>
      <c r="L100" s="39">
        <f>$O$4*(1-J100)</f>
        <v/>
      </c>
      <c r="M100" s="39">
        <f>$O$5+$O$6+$O$7+$O$8+$O$9+F100*$O$10+E100*$O$11+$O$12+G100*$O$13+H100*$O$14+I100*$O$13+$O$15*L100+$O$16</f>
        <v/>
      </c>
      <c r="P100" s="15">
        <f>IF(K100&lt;0,1,0)</f>
        <v/>
      </c>
    </row>
    <row r="101">
      <c r="A101" s="15" t="n"/>
      <c r="B101" s="14" t="n"/>
      <c r="C101" s="14" t="n"/>
      <c r="D101" s="14" t="n"/>
      <c r="E101" s="15" t="n"/>
      <c r="F101" s="15" t="n"/>
      <c r="G101" s="15" t="n"/>
      <c r="H101" s="15" t="n"/>
      <c r="I101" s="15" t="n"/>
      <c r="J101" s="12" t="n"/>
      <c r="K101" s="39">
        <f>L101-M101</f>
        <v/>
      </c>
      <c r="L101" s="39">
        <f>$O$4*(1-J101)</f>
        <v/>
      </c>
      <c r="M101" s="39">
        <f>$O$5+$O$6+$O$7+$O$8+$O$9+F101*$O$10+E101*$O$11+$O$12+G101*$O$13+H101*$O$14+I101*$O$13+$O$15*L101+$O$16</f>
        <v/>
      </c>
      <c r="P101" s="15">
        <f>IF(K101&lt;0,1,0)</f>
        <v/>
      </c>
    </row>
    <row r="102">
      <c r="A102" s="15" t="n"/>
      <c r="B102" s="14" t="n"/>
      <c r="C102" s="14" t="n"/>
      <c r="D102" s="14" t="n"/>
      <c r="E102" s="15" t="n"/>
      <c r="F102" s="15" t="n"/>
      <c r="G102" s="15" t="n"/>
      <c r="H102" s="15" t="n"/>
      <c r="I102" s="15" t="n"/>
      <c r="J102" s="12" t="n"/>
      <c r="K102" s="39">
        <f>L102-M102</f>
        <v/>
      </c>
      <c r="L102" s="39">
        <f>$O$4*(1-J102)</f>
        <v/>
      </c>
      <c r="M102" s="39">
        <f>$O$5+$O$6+$O$7+$O$8+$O$9+F102*$O$10+E102*$O$11+$O$12+G102*$O$13+H102*$O$14+I102*$O$13+$O$15*L102+$O$16</f>
        <v/>
      </c>
      <c r="P102" s="15">
        <f>IF(K102&lt;0,1,0)</f>
        <v/>
      </c>
    </row>
    <row r="103">
      <c r="A103" s="15" t="n"/>
      <c r="B103" s="14" t="n"/>
      <c r="C103" s="14" t="n"/>
      <c r="D103" s="14" t="n"/>
      <c r="E103" s="15" t="n"/>
      <c r="F103" s="15" t="n"/>
      <c r="G103" s="15" t="n"/>
      <c r="H103" s="15" t="n"/>
      <c r="I103" s="15" t="n"/>
      <c r="J103" s="12" t="n"/>
      <c r="K103" s="39">
        <f>L103-M103</f>
        <v/>
      </c>
      <c r="L103" s="39">
        <f>$O$4*(1-J103)</f>
        <v/>
      </c>
      <c r="M103" s="39">
        <f>$O$5+$O$6+$O$7+$O$8+$O$9+F103*$O$10+E103*$O$11+$O$12+G103*$O$13+H103*$O$14+I103*$O$13+$O$15*L103+$O$16</f>
        <v/>
      </c>
      <c r="P103" s="15">
        <f>IF(K103&lt;0,1,0)</f>
        <v/>
      </c>
    </row>
    <row r="104">
      <c r="A104" s="15" t="n"/>
      <c r="B104" s="14" t="n"/>
      <c r="C104" s="14" t="n"/>
      <c r="D104" s="14" t="n"/>
      <c r="E104" s="15" t="n"/>
      <c r="F104" s="15" t="n"/>
      <c r="G104" s="15" t="n"/>
      <c r="H104" s="15" t="n"/>
      <c r="I104" s="15" t="n"/>
      <c r="J104" s="12" t="n"/>
      <c r="K104" s="39">
        <f>L104-M104</f>
        <v/>
      </c>
      <c r="L104" s="39">
        <f>$O$4*(1-J104)</f>
        <v/>
      </c>
      <c r="M104" s="39">
        <f>$O$5+$O$6+$O$7+$O$8+$O$9+F104*$O$10+E104*$O$11+$O$12+G104*$O$13+H104*$O$14+I104*$O$13+$O$15*L104+$O$16</f>
        <v/>
      </c>
      <c r="P104" s="15">
        <f>IF(K104&lt;0,1,0)</f>
        <v/>
      </c>
    </row>
    <row r="105">
      <c r="A105" s="15" t="n"/>
      <c r="B105" s="14" t="n"/>
      <c r="C105" s="14" t="n"/>
      <c r="D105" s="14" t="n"/>
      <c r="E105" s="15" t="n"/>
      <c r="F105" s="15" t="n"/>
      <c r="G105" s="15" t="n"/>
      <c r="H105" s="15" t="n"/>
      <c r="I105" s="15" t="n"/>
      <c r="J105" s="12" t="n"/>
      <c r="K105" s="39">
        <f>L105-M105</f>
        <v/>
      </c>
      <c r="L105" s="39">
        <f>$O$4*(1-J105)</f>
        <v/>
      </c>
      <c r="M105" s="39">
        <f>$O$5+$O$6+$O$7+$O$8+$O$9+F105*$O$10+E105*$O$11+$O$12+G105*$O$13+H105*$O$14+I105*$O$13+$O$15*L105+$O$16</f>
        <v/>
      </c>
      <c r="P105" s="15">
        <f>IF(K105&lt;0,1,0)</f>
        <v/>
      </c>
    </row>
    <row r="106">
      <c r="A106" s="15" t="n"/>
      <c r="B106" s="14" t="n"/>
      <c r="C106" s="14" t="n"/>
      <c r="D106" s="14" t="n"/>
      <c r="E106" s="15" t="n"/>
      <c r="F106" s="15" t="n"/>
      <c r="G106" s="15" t="n"/>
      <c r="H106" s="15" t="n"/>
      <c r="I106" s="15" t="n"/>
      <c r="J106" s="12" t="n"/>
      <c r="K106" s="39" t="n"/>
    </row>
    <row r="107">
      <c r="A107" s="15" t="n"/>
      <c r="B107" s="14" t="n"/>
      <c r="C107" s="14" t="n"/>
      <c r="D107" s="14" t="n"/>
      <c r="E107" s="15" t="n"/>
      <c r="F107" s="15" t="n"/>
      <c r="G107" s="15" t="n"/>
      <c r="H107" s="15" t="n"/>
      <c r="I107" s="15" t="n"/>
      <c r="J107" s="12" t="n"/>
      <c r="K107" s="39" t="n"/>
    </row>
    <row r="108">
      <c r="A108" s="15" t="n"/>
      <c r="B108" s="14" t="n"/>
      <c r="C108" s="14" t="n"/>
      <c r="D108" s="14" t="n"/>
      <c r="E108" s="15" t="n"/>
      <c r="F108" s="15" t="n"/>
      <c r="G108" s="15" t="n"/>
      <c r="H108" s="15" t="n"/>
      <c r="I108" s="15" t="n"/>
      <c r="J108" s="12" t="n"/>
      <c r="K108" s="39" t="n"/>
    </row>
    <row r="109">
      <c r="A109" s="15" t="n"/>
      <c r="B109" s="14" t="n"/>
      <c r="C109" s="14" t="n"/>
      <c r="D109" s="14" t="n"/>
      <c r="E109" s="15" t="n"/>
      <c r="F109" s="15" t="n"/>
      <c r="G109" s="15" t="n"/>
      <c r="H109" s="15" t="n"/>
      <c r="I109" s="15" t="n"/>
      <c r="J109" s="12" t="n"/>
      <c r="K109" s="39" t="n"/>
    </row>
    <row r="110">
      <c r="A110" s="15" t="n"/>
      <c r="B110" s="14" t="n"/>
      <c r="C110" s="14" t="n"/>
      <c r="D110" s="14" t="n"/>
      <c r="E110" s="15" t="n"/>
      <c r="F110" s="15" t="n"/>
      <c r="G110" s="15" t="n"/>
      <c r="H110" s="15" t="n"/>
      <c r="I110" s="15" t="n"/>
      <c r="J110" s="12" t="n"/>
      <c r="K110" s="39" t="n"/>
    </row>
    <row r="111">
      <c r="A111" s="15" t="n"/>
      <c r="B111" s="14" t="n"/>
      <c r="C111" s="14" t="n"/>
      <c r="D111" s="14" t="n"/>
      <c r="E111" s="15" t="n"/>
      <c r="F111" s="15" t="n"/>
      <c r="G111" s="15" t="n"/>
      <c r="H111" s="15" t="n"/>
      <c r="I111" s="15" t="n"/>
      <c r="J111" s="12" t="n"/>
      <c r="K111" s="39" t="n"/>
    </row>
    <row r="112">
      <c r="A112" s="15" t="n"/>
      <c r="B112" s="14" t="n"/>
      <c r="C112" s="14" t="n"/>
      <c r="D112" s="14" t="n"/>
      <c r="E112" s="15" t="n"/>
      <c r="F112" s="15" t="n"/>
      <c r="G112" s="15" t="n"/>
      <c r="H112" s="15" t="n"/>
      <c r="I112" s="15" t="n"/>
      <c r="J112" s="12" t="n"/>
      <c r="K112" s="39" t="n"/>
    </row>
    <row r="113">
      <c r="A113" s="15" t="n"/>
      <c r="B113" s="14" t="n"/>
      <c r="C113" s="14" t="n"/>
      <c r="D113" s="14" t="n"/>
      <c r="E113" s="15" t="n"/>
      <c r="F113" s="15" t="n"/>
      <c r="G113" s="15" t="n"/>
      <c r="H113" s="15" t="n"/>
      <c r="I113" s="15" t="n"/>
      <c r="J113" s="12" t="n"/>
      <c r="K113" s="39" t="n"/>
    </row>
    <row r="114">
      <c r="A114" s="15" t="n"/>
      <c r="B114" s="14" t="n"/>
      <c r="C114" s="14" t="n"/>
      <c r="D114" s="14" t="n"/>
      <c r="E114" s="15" t="n"/>
      <c r="F114" s="15" t="n"/>
      <c r="G114" s="15" t="n"/>
      <c r="H114" s="15" t="n"/>
      <c r="I114" s="15" t="n"/>
      <c r="J114" s="12" t="n"/>
      <c r="K114" s="39" t="n"/>
    </row>
    <row r="115">
      <c r="A115" s="15" t="n"/>
      <c r="B115" s="14" t="n"/>
      <c r="C115" s="14" t="n"/>
      <c r="D115" s="14" t="n"/>
      <c r="E115" s="15" t="n"/>
      <c r="F115" s="15" t="n"/>
      <c r="G115" s="15" t="n"/>
      <c r="H115" s="15" t="n"/>
      <c r="I115" s="15" t="n"/>
      <c r="J115" s="12" t="n"/>
      <c r="K115" s="39" t="n"/>
    </row>
    <row r="116">
      <c r="A116" s="15" t="n"/>
      <c r="B116" s="14" t="n"/>
      <c r="C116" s="14" t="n"/>
      <c r="D116" s="14" t="n"/>
      <c r="E116" s="15" t="n"/>
      <c r="F116" s="15" t="n"/>
      <c r="G116" s="15" t="n"/>
      <c r="H116" s="15" t="n"/>
      <c r="I116" s="15" t="n"/>
      <c r="J116" s="12" t="n"/>
      <c r="K116" s="39" t="n"/>
    </row>
    <row r="117">
      <c r="A117" s="15" t="n"/>
      <c r="B117" s="14" t="n"/>
      <c r="C117" s="14" t="n"/>
      <c r="D117" s="14" t="n"/>
      <c r="E117" s="15" t="n"/>
      <c r="F117" s="15" t="n"/>
      <c r="G117" s="15" t="n"/>
      <c r="H117" s="15" t="n"/>
      <c r="I117" s="15" t="n"/>
      <c r="J117" s="12" t="n"/>
      <c r="K117" s="39" t="n"/>
    </row>
    <row r="118">
      <c r="A118" s="15" t="n"/>
      <c r="B118" s="14" t="n"/>
      <c r="C118" s="14" t="n"/>
      <c r="D118" s="14" t="n"/>
      <c r="E118" s="15" t="n"/>
      <c r="F118" s="15" t="n"/>
      <c r="G118" s="15" t="n"/>
      <c r="H118" s="15" t="n"/>
      <c r="I118" s="15" t="n"/>
      <c r="J118" s="12" t="n"/>
      <c r="K118" s="39" t="n"/>
    </row>
    <row r="119">
      <c r="A119" s="15" t="n"/>
      <c r="B119" s="14" t="n"/>
      <c r="C119" s="14" t="n"/>
      <c r="D119" s="14" t="n"/>
      <c r="E119" s="15" t="n"/>
      <c r="F119" s="15" t="n"/>
      <c r="G119" s="15" t="n"/>
      <c r="H119" s="15" t="n"/>
      <c r="I119" s="15" t="n"/>
      <c r="J119" s="12" t="n"/>
      <c r="K119" s="39" t="n"/>
    </row>
    <row r="120">
      <c r="A120" s="15" t="n"/>
      <c r="B120" s="14" t="n"/>
      <c r="C120" s="14" t="n"/>
      <c r="D120" s="14" t="n"/>
      <c r="E120" s="15" t="n"/>
      <c r="F120" s="15" t="n"/>
      <c r="G120" s="15" t="n"/>
      <c r="H120" s="15" t="n"/>
      <c r="I120" s="15" t="n"/>
      <c r="J120" s="12" t="n"/>
      <c r="K120" s="39" t="n"/>
    </row>
    <row r="121">
      <c r="A121" s="15" t="n"/>
      <c r="B121" s="14" t="n"/>
      <c r="C121" s="14" t="n"/>
      <c r="D121" s="14" t="n"/>
      <c r="E121" s="15" t="n"/>
      <c r="F121" s="15" t="n"/>
      <c r="G121" s="15" t="n"/>
      <c r="H121" s="15" t="n"/>
      <c r="I121" s="15" t="n"/>
      <c r="J121" s="12" t="n"/>
      <c r="K121" s="39" t="n"/>
    </row>
    <row r="122">
      <c r="A122" s="15" t="n"/>
      <c r="B122" s="14" t="n"/>
      <c r="C122" s="14" t="n"/>
      <c r="D122" s="14" t="n"/>
      <c r="E122" s="15" t="n"/>
      <c r="F122" s="15" t="n"/>
      <c r="G122" s="15" t="n"/>
      <c r="H122" s="15" t="n"/>
      <c r="I122" s="15" t="n"/>
      <c r="J122" s="12" t="n"/>
      <c r="K122" s="39" t="n"/>
    </row>
    <row r="123">
      <c r="A123" s="15" t="n"/>
      <c r="B123" s="14" t="n"/>
      <c r="C123" s="14" t="n"/>
      <c r="D123" s="14" t="n"/>
      <c r="E123" s="15" t="n"/>
      <c r="F123" s="15" t="n"/>
      <c r="G123" s="15" t="n"/>
      <c r="H123" s="15" t="n"/>
      <c r="I123" s="15" t="n"/>
      <c r="J123" s="12" t="n"/>
      <c r="K123" s="39" t="n"/>
    </row>
    <row r="124">
      <c r="A124" s="15" t="n"/>
      <c r="B124" s="14" t="n"/>
      <c r="C124" s="14" t="n"/>
      <c r="D124" s="14" t="n"/>
      <c r="E124" s="15" t="n"/>
      <c r="F124" s="15" t="n"/>
      <c r="G124" s="15" t="n"/>
      <c r="H124" s="15" t="n"/>
      <c r="I124" s="15" t="n"/>
      <c r="J124" s="12" t="n"/>
      <c r="K124" s="39" t="n"/>
    </row>
    <row r="125">
      <c r="A125" s="15" t="n"/>
      <c r="B125" s="14" t="n"/>
      <c r="C125" s="14" t="n"/>
      <c r="D125" s="14" t="n"/>
      <c r="E125" s="15" t="n"/>
      <c r="F125" s="15" t="n"/>
      <c r="G125" s="15" t="n"/>
      <c r="H125" s="15" t="n"/>
      <c r="I125" s="15" t="n"/>
      <c r="J125" s="12" t="n"/>
      <c r="K125" s="39" t="n"/>
    </row>
    <row r="126">
      <c r="A126" s="15" t="n"/>
      <c r="B126" s="14" t="n"/>
      <c r="C126" s="14" t="n"/>
      <c r="D126" s="14" t="n"/>
      <c r="E126" s="15" t="n"/>
      <c r="F126" s="15" t="n"/>
      <c r="G126" s="15" t="n"/>
      <c r="H126" s="15" t="n"/>
      <c r="I126" s="15" t="n"/>
      <c r="J126" s="12" t="n"/>
      <c r="K126" s="39" t="n"/>
    </row>
    <row r="127">
      <c r="A127" s="15" t="n"/>
      <c r="B127" s="14" t="n"/>
      <c r="C127" s="14" t="n"/>
      <c r="D127" s="14" t="n"/>
      <c r="E127" s="15" t="n"/>
      <c r="F127" s="15" t="n"/>
      <c r="G127" s="15" t="n"/>
      <c r="H127" s="15" t="n"/>
      <c r="I127" s="15" t="n"/>
      <c r="J127" s="12" t="n"/>
      <c r="K127" s="39" t="n"/>
    </row>
    <row r="128">
      <c r="A128" s="15" t="n"/>
      <c r="B128" s="14" t="n"/>
      <c r="C128" s="14" t="n"/>
      <c r="D128" s="14" t="n"/>
      <c r="E128" s="15" t="n"/>
      <c r="F128" s="15" t="n"/>
      <c r="G128" s="15" t="n"/>
      <c r="H128" s="15" t="n"/>
      <c r="I128" s="15" t="n"/>
      <c r="J128" s="12" t="n"/>
      <c r="K128" s="39" t="n"/>
    </row>
    <row r="129">
      <c r="A129" s="15" t="n"/>
      <c r="B129" s="14" t="n"/>
      <c r="C129" s="14" t="n"/>
      <c r="D129" s="14" t="n"/>
      <c r="E129" s="15" t="n"/>
      <c r="F129" s="15" t="n"/>
      <c r="G129" s="15" t="n"/>
      <c r="H129" s="15" t="n"/>
      <c r="I129" s="15" t="n"/>
      <c r="J129" s="12" t="n"/>
      <c r="K129" s="39" t="n"/>
    </row>
    <row r="130">
      <c r="A130" s="15" t="n"/>
      <c r="B130" s="14" t="n"/>
      <c r="C130" s="14" t="n"/>
      <c r="D130" s="14" t="n"/>
      <c r="E130" s="15" t="n"/>
      <c r="F130" s="15" t="n"/>
      <c r="G130" s="15" t="n"/>
      <c r="H130" s="15" t="n"/>
      <c r="I130" s="15" t="n"/>
      <c r="J130" s="12" t="n"/>
      <c r="K130" s="39" t="n"/>
    </row>
    <row r="131">
      <c r="A131" s="15" t="n"/>
      <c r="B131" s="14" t="n"/>
      <c r="C131" s="14" t="n"/>
      <c r="D131" s="14" t="n"/>
      <c r="E131" s="15" t="n"/>
      <c r="F131" s="15" t="n"/>
      <c r="G131" s="15" t="n"/>
      <c r="H131" s="15" t="n"/>
      <c r="I131" s="15" t="n"/>
      <c r="J131" s="12" t="n"/>
      <c r="K131" s="39" t="n"/>
    </row>
    <row r="132">
      <c r="A132" s="15" t="n"/>
      <c r="B132" s="14" t="n"/>
      <c r="C132" s="14" t="n"/>
      <c r="D132" s="14" t="n"/>
      <c r="E132" s="15" t="n"/>
      <c r="F132" s="15" t="n"/>
      <c r="G132" s="15" t="n"/>
      <c r="H132" s="15" t="n"/>
      <c r="I132" s="15" t="n"/>
      <c r="J132" s="12" t="n"/>
      <c r="K132" s="39" t="n"/>
    </row>
    <row r="133">
      <c r="A133" s="15" t="n"/>
      <c r="B133" s="14" t="n"/>
      <c r="C133" s="14" t="n"/>
      <c r="D133" s="14" t="n"/>
      <c r="E133" s="15" t="n"/>
      <c r="F133" s="15" t="n"/>
      <c r="G133" s="15" t="n"/>
      <c r="H133" s="15" t="n"/>
      <c r="I133" s="15" t="n"/>
      <c r="J133" s="12" t="n"/>
      <c r="K133" s="39" t="n"/>
    </row>
    <row r="134">
      <c r="A134" s="15" t="n"/>
      <c r="B134" s="14" t="n"/>
      <c r="C134" s="14" t="n"/>
      <c r="D134" s="14" t="n"/>
      <c r="E134" s="15" t="n"/>
      <c r="F134" s="15" t="n"/>
      <c r="G134" s="15" t="n"/>
      <c r="H134" s="15" t="n"/>
      <c r="I134" s="15" t="n"/>
      <c r="J134" s="12" t="n"/>
      <c r="K134" s="39" t="n"/>
    </row>
    <row r="135">
      <c r="A135" s="15" t="n"/>
      <c r="B135" s="14" t="n"/>
      <c r="C135" s="14" t="n"/>
      <c r="D135" s="14" t="n"/>
      <c r="E135" s="15" t="n"/>
      <c r="F135" s="15" t="n"/>
      <c r="G135" s="15" t="n"/>
      <c r="H135" s="15" t="n"/>
      <c r="I135" s="15" t="n"/>
      <c r="J135" s="12" t="n"/>
      <c r="K135" s="39" t="n"/>
    </row>
    <row r="136">
      <c r="A136" s="15" t="n"/>
      <c r="B136" s="14" t="n"/>
      <c r="C136" s="14" t="n"/>
      <c r="D136" s="14" t="n"/>
      <c r="E136" s="15" t="n"/>
      <c r="F136" s="15" t="n"/>
      <c r="G136" s="15" t="n"/>
      <c r="H136" s="15" t="n"/>
      <c r="I136" s="15" t="n"/>
      <c r="J136" s="12" t="n"/>
      <c r="K136" s="39" t="n"/>
    </row>
    <row r="137">
      <c r="A137" s="15" t="n"/>
      <c r="B137" s="14" t="n"/>
      <c r="C137" s="14" t="n"/>
      <c r="D137" s="14" t="n"/>
      <c r="E137" s="15" t="n"/>
      <c r="F137" s="15" t="n"/>
      <c r="G137" s="15" t="n"/>
      <c r="H137" s="15" t="n"/>
      <c r="I137" s="15" t="n"/>
      <c r="J137" s="12" t="n"/>
      <c r="K137" s="39" t="n"/>
    </row>
    <row r="138">
      <c r="A138" s="15" t="n"/>
      <c r="B138" s="14" t="n"/>
      <c r="C138" s="14" t="n"/>
      <c r="D138" s="14" t="n"/>
      <c r="E138" s="15" t="n"/>
      <c r="F138" s="15" t="n"/>
      <c r="G138" s="15" t="n"/>
      <c r="H138" s="15" t="n"/>
      <c r="I138" s="15" t="n"/>
      <c r="J138" s="12" t="n"/>
      <c r="K138" s="39" t="n"/>
    </row>
    <row r="139">
      <c r="A139" s="15" t="n"/>
      <c r="B139" s="14" t="n"/>
      <c r="C139" s="14" t="n"/>
      <c r="D139" s="14" t="n"/>
      <c r="E139" s="15" t="n"/>
      <c r="F139" s="15" t="n"/>
      <c r="G139" s="15" t="n"/>
      <c r="H139" s="15" t="n"/>
      <c r="I139" s="15" t="n"/>
      <c r="J139" s="12" t="n"/>
      <c r="K139" s="39" t="n"/>
    </row>
    <row r="140">
      <c r="A140" s="15" t="n"/>
      <c r="B140" s="14" t="n"/>
      <c r="C140" s="14" t="n"/>
      <c r="D140" s="14" t="n"/>
      <c r="E140" s="15" t="n"/>
      <c r="F140" s="15" t="n"/>
      <c r="G140" s="15" t="n"/>
      <c r="H140" s="15" t="n"/>
      <c r="I140" s="15" t="n"/>
      <c r="J140" s="12" t="n"/>
      <c r="K140" s="39" t="n"/>
    </row>
    <row r="141">
      <c r="A141" s="15" t="n"/>
      <c r="B141" s="14" t="n"/>
      <c r="C141" s="14" t="n"/>
      <c r="D141" s="14" t="n"/>
      <c r="E141" s="15" t="n"/>
      <c r="F141" s="15" t="n"/>
      <c r="G141" s="15" t="n"/>
      <c r="H141" s="15" t="n"/>
      <c r="I141" s="15" t="n"/>
      <c r="J141" s="12" t="n"/>
      <c r="K141" s="39" t="n"/>
    </row>
    <row r="142">
      <c r="A142" s="15" t="n"/>
      <c r="B142" s="14" t="n"/>
      <c r="C142" s="14" t="n"/>
      <c r="D142" s="14" t="n"/>
      <c r="E142" s="15" t="n"/>
      <c r="F142" s="15" t="n"/>
      <c r="G142" s="15" t="n"/>
      <c r="H142" s="15" t="n"/>
      <c r="I142" s="15" t="n"/>
      <c r="J142" s="12" t="n"/>
      <c r="K142" s="39" t="n"/>
    </row>
    <row r="143">
      <c r="A143" s="15" t="n"/>
      <c r="B143" s="14" t="n"/>
      <c r="C143" s="14" t="n"/>
      <c r="D143" s="14" t="n"/>
      <c r="E143" s="15" t="n"/>
      <c r="F143" s="15" t="n"/>
      <c r="G143" s="15" t="n"/>
      <c r="H143" s="15" t="n"/>
      <c r="I143" s="15" t="n"/>
      <c r="J143" s="12" t="n"/>
      <c r="K143" s="39" t="n"/>
    </row>
    <row r="144">
      <c r="A144" s="15" t="n"/>
      <c r="B144" s="14" t="n"/>
      <c r="C144" s="14" t="n"/>
      <c r="D144" s="14" t="n"/>
      <c r="E144" s="15" t="n"/>
      <c r="F144" s="15" t="n"/>
      <c r="G144" s="15" t="n"/>
      <c r="H144" s="15" t="n"/>
      <c r="I144" s="15" t="n"/>
      <c r="J144" s="12" t="n"/>
      <c r="K144" s="39" t="n"/>
    </row>
    <row r="145">
      <c r="A145" s="15" t="n"/>
      <c r="B145" s="14" t="n"/>
      <c r="C145" s="14" t="n"/>
      <c r="D145" s="14" t="n"/>
      <c r="E145" s="15" t="n"/>
      <c r="F145" s="15" t="n"/>
      <c r="G145" s="15" t="n"/>
      <c r="H145" s="15" t="n"/>
      <c r="I145" s="15" t="n"/>
      <c r="J145" s="12" t="n"/>
      <c r="K145" s="39" t="n"/>
    </row>
    <row r="146">
      <c r="A146" s="15" t="n"/>
      <c r="B146" s="14" t="n"/>
      <c r="C146" s="14" t="n"/>
      <c r="D146" s="14" t="n"/>
      <c r="E146" s="15" t="n"/>
      <c r="F146" s="15" t="n"/>
      <c r="G146" s="15" t="n"/>
      <c r="H146" s="15" t="n"/>
      <c r="I146" s="15" t="n"/>
      <c r="J146" s="12" t="n"/>
      <c r="K146" s="39" t="n"/>
    </row>
    <row r="147">
      <c r="A147" s="15" t="n"/>
      <c r="B147" s="14" t="n"/>
      <c r="C147" s="14" t="n"/>
      <c r="D147" s="14" t="n"/>
      <c r="E147" s="15" t="n"/>
      <c r="F147" s="15" t="n"/>
      <c r="G147" s="15" t="n"/>
      <c r="H147" s="15" t="n"/>
      <c r="I147" s="15" t="n"/>
      <c r="J147" s="12" t="n"/>
      <c r="K147" s="39" t="n"/>
    </row>
    <row r="148">
      <c r="A148" s="15" t="n"/>
      <c r="B148" s="14" t="n"/>
      <c r="C148" s="14" t="n"/>
      <c r="D148" s="14" t="n"/>
      <c r="E148" s="15" t="n"/>
      <c r="F148" s="15" t="n"/>
      <c r="G148" s="15" t="n"/>
      <c r="H148" s="15" t="n"/>
      <c r="I148" s="15" t="n"/>
      <c r="J148" s="12" t="n"/>
      <c r="K148" s="39" t="n"/>
    </row>
    <row r="149">
      <c r="A149" s="15" t="n"/>
      <c r="B149" s="14" t="n"/>
      <c r="C149" s="14" t="n"/>
      <c r="D149" s="14" t="n"/>
      <c r="E149" s="15" t="n"/>
      <c r="F149" s="15" t="n"/>
      <c r="G149" s="15" t="n"/>
      <c r="H149" s="15" t="n"/>
      <c r="I149" s="15" t="n"/>
      <c r="J149" s="12" t="n"/>
      <c r="K149" s="39" t="n"/>
    </row>
    <row r="150">
      <c r="A150" s="15" t="n"/>
      <c r="B150" s="14" t="n"/>
      <c r="C150" s="14" t="n"/>
      <c r="D150" s="14" t="n"/>
      <c r="E150" s="15" t="n"/>
      <c r="F150" s="15" t="n"/>
      <c r="G150" s="15" t="n"/>
      <c r="H150" s="15" t="n"/>
      <c r="I150" s="15" t="n"/>
      <c r="J150" s="12" t="n"/>
      <c r="K150" s="39" t="n"/>
    </row>
    <row r="151">
      <c r="A151" s="15" t="n"/>
      <c r="B151" s="14" t="n"/>
      <c r="C151" s="14" t="n"/>
      <c r="D151" s="14" t="n"/>
      <c r="E151" s="15" t="n"/>
      <c r="F151" s="15" t="n"/>
      <c r="G151" s="15" t="n"/>
      <c r="H151" s="15" t="n"/>
      <c r="I151" s="15" t="n"/>
      <c r="J151" s="12" t="n"/>
      <c r="K151" s="39" t="n"/>
    </row>
    <row r="152">
      <c r="A152" s="15" t="n"/>
      <c r="B152" s="14" t="n"/>
      <c r="C152" s="14" t="n"/>
      <c r="D152" s="14" t="n"/>
      <c r="E152" s="15" t="n"/>
      <c r="F152" s="15" t="n"/>
      <c r="G152" s="15" t="n"/>
      <c r="H152" s="15" t="n"/>
      <c r="I152" s="15" t="n"/>
      <c r="J152" s="12" t="n"/>
      <c r="K152" s="39" t="n"/>
    </row>
    <row r="153">
      <c r="A153" s="15" t="n"/>
      <c r="B153" s="14" t="n"/>
      <c r="C153" s="14" t="n"/>
      <c r="D153" s="14" t="n"/>
      <c r="E153" s="15" t="n"/>
      <c r="F153" s="15" t="n"/>
      <c r="G153" s="15" t="n"/>
      <c r="H153" s="15" t="n"/>
      <c r="I153" s="15" t="n"/>
      <c r="J153" s="12" t="n"/>
      <c r="K153" s="39" t="n"/>
    </row>
    <row r="154">
      <c r="A154" s="15" t="n"/>
      <c r="B154" s="14" t="n"/>
      <c r="C154" s="14" t="n"/>
      <c r="D154" s="14" t="n"/>
      <c r="E154" s="15" t="n"/>
      <c r="F154" s="15" t="n"/>
      <c r="G154" s="15" t="n"/>
      <c r="H154" s="15" t="n"/>
      <c r="I154" s="15" t="n"/>
      <c r="J154" s="12" t="n"/>
      <c r="K154" s="39" t="n"/>
    </row>
    <row r="155">
      <c r="A155" s="15" t="n"/>
      <c r="B155" s="14" t="n"/>
      <c r="C155" s="14" t="n"/>
      <c r="D155" s="14" t="n"/>
      <c r="E155" s="15" t="n"/>
      <c r="F155" s="15" t="n"/>
      <c r="G155" s="15" t="n"/>
      <c r="H155" s="15" t="n"/>
      <c r="I155" s="15" t="n"/>
      <c r="J155" s="12" t="n"/>
      <c r="K155" s="39" t="n"/>
    </row>
    <row r="156">
      <c r="A156" s="15" t="n"/>
      <c r="B156" s="14" t="n"/>
      <c r="C156" s="14" t="n"/>
      <c r="D156" s="14" t="n"/>
      <c r="E156" s="15" t="n"/>
      <c r="F156" s="15" t="n"/>
      <c r="G156" s="15" t="n"/>
      <c r="H156" s="15" t="n"/>
      <c r="I156" s="15" t="n"/>
      <c r="J156" s="12" t="n"/>
      <c r="K156" s="39" t="n"/>
    </row>
    <row r="157">
      <c r="A157" s="15" t="n"/>
      <c r="B157" s="14" t="n"/>
      <c r="C157" s="14" t="n"/>
      <c r="D157" s="14" t="n"/>
      <c r="E157" s="15" t="n"/>
      <c r="F157" s="15" t="n"/>
      <c r="G157" s="15" t="n"/>
      <c r="H157" s="15" t="n"/>
      <c r="I157" s="15" t="n"/>
      <c r="J157" s="12" t="n"/>
      <c r="K157" s="39" t="n"/>
    </row>
    <row r="158">
      <c r="A158" s="15" t="n"/>
      <c r="B158" s="14" t="n"/>
      <c r="C158" s="14" t="n"/>
      <c r="D158" s="14" t="n"/>
      <c r="E158" s="15" t="n"/>
      <c r="F158" s="15" t="n"/>
      <c r="G158" s="15" t="n"/>
      <c r="H158" s="15" t="n"/>
      <c r="I158" s="15" t="n"/>
      <c r="J158" s="12" t="n"/>
      <c r="K158" s="39" t="n"/>
    </row>
    <row r="159">
      <c r="A159" s="15" t="n"/>
      <c r="B159" s="14" t="n"/>
      <c r="C159" s="14" t="n"/>
      <c r="D159" s="14" t="n"/>
      <c r="E159" s="15" t="n"/>
      <c r="F159" s="15" t="n"/>
      <c r="G159" s="15" t="n"/>
      <c r="H159" s="15" t="n"/>
      <c r="I159" s="15" t="n"/>
      <c r="J159" s="12" t="n"/>
      <c r="K159" s="39" t="n"/>
    </row>
    <row r="160">
      <c r="A160" s="15" t="n"/>
      <c r="B160" s="14" t="n"/>
      <c r="C160" s="14" t="n"/>
      <c r="D160" s="14" t="n"/>
      <c r="E160" s="15" t="n"/>
      <c r="F160" s="15" t="n"/>
      <c r="G160" s="15" t="n"/>
      <c r="H160" s="15" t="n"/>
      <c r="I160" s="15" t="n"/>
      <c r="J160" s="12" t="n"/>
      <c r="K160" s="39" t="n"/>
    </row>
    <row r="161">
      <c r="A161" s="15" t="n"/>
      <c r="B161" s="14" t="n"/>
      <c r="C161" s="14" t="n"/>
      <c r="D161" s="14" t="n"/>
      <c r="E161" s="15" t="n"/>
      <c r="F161" s="15" t="n"/>
      <c r="G161" s="15" t="n"/>
      <c r="H161" s="15" t="n"/>
      <c r="I161" s="15" t="n"/>
      <c r="J161" s="12" t="n"/>
      <c r="K161" s="39" t="n"/>
    </row>
    <row r="162">
      <c r="A162" s="15" t="n"/>
      <c r="B162" s="14" t="n"/>
      <c r="C162" s="14" t="n"/>
      <c r="D162" s="14" t="n"/>
      <c r="E162" s="15" t="n"/>
      <c r="F162" s="15" t="n"/>
      <c r="G162" s="15" t="n"/>
      <c r="H162" s="15" t="n"/>
      <c r="I162" s="15" t="n"/>
      <c r="J162" s="12" t="n"/>
      <c r="K162" s="39" t="n"/>
    </row>
    <row r="163">
      <c r="A163" s="15" t="n"/>
      <c r="B163" s="14" t="n"/>
      <c r="C163" s="14" t="n"/>
      <c r="D163" s="14" t="n"/>
      <c r="E163" s="15" t="n"/>
      <c r="F163" s="15" t="n"/>
      <c r="G163" s="15" t="n"/>
      <c r="H163" s="15" t="n"/>
      <c r="I163" s="15" t="n"/>
      <c r="J163" s="12" t="n"/>
      <c r="K163" s="39" t="n"/>
    </row>
    <row r="164">
      <c r="A164" s="15" t="n"/>
      <c r="B164" s="14" t="n"/>
      <c r="C164" s="14" t="n"/>
      <c r="D164" s="14" t="n"/>
      <c r="E164" s="15" t="n"/>
      <c r="F164" s="15" t="n"/>
      <c r="G164" s="15" t="n"/>
      <c r="H164" s="15" t="n"/>
      <c r="I164" s="15" t="n"/>
      <c r="J164" s="12" t="n"/>
      <c r="K164" s="39" t="n"/>
    </row>
    <row r="165">
      <c r="A165" s="15" t="n"/>
      <c r="B165" s="14" t="n"/>
      <c r="C165" s="14" t="n"/>
      <c r="D165" s="14" t="n"/>
      <c r="E165" s="15" t="n"/>
      <c r="F165" s="15" t="n"/>
      <c r="G165" s="15" t="n"/>
      <c r="H165" s="15" t="n"/>
      <c r="I165" s="15" t="n"/>
      <c r="J165" s="12" t="n"/>
      <c r="K165" s="39" t="n"/>
    </row>
    <row r="166">
      <c r="A166" s="15" t="n"/>
      <c r="B166" s="14" t="n"/>
      <c r="C166" s="14" t="n"/>
      <c r="D166" s="14" t="n"/>
      <c r="E166" s="15" t="n"/>
      <c r="F166" s="15" t="n"/>
      <c r="G166" s="15" t="n"/>
      <c r="H166" s="15" t="n"/>
      <c r="I166" s="15" t="n"/>
      <c r="J166" s="12" t="n"/>
      <c r="K166" s="39" t="n"/>
    </row>
    <row r="167">
      <c r="A167" s="15" t="n"/>
      <c r="B167" s="14" t="n"/>
      <c r="C167" s="14" t="n"/>
      <c r="D167" s="14" t="n"/>
      <c r="E167" s="15" t="n"/>
      <c r="F167" s="15" t="n"/>
      <c r="G167" s="15" t="n"/>
      <c r="H167" s="15" t="n"/>
      <c r="I167" s="15" t="n"/>
      <c r="J167" s="12" t="n"/>
      <c r="K167" s="39" t="n"/>
    </row>
    <row r="168">
      <c r="A168" s="15" t="n"/>
      <c r="B168" s="14" t="n"/>
      <c r="C168" s="14" t="n"/>
      <c r="D168" s="14" t="n"/>
      <c r="E168" s="15" t="n"/>
      <c r="F168" s="15" t="n"/>
      <c r="G168" s="15" t="n"/>
      <c r="H168" s="15" t="n"/>
      <c r="I168" s="15" t="n"/>
      <c r="J168" s="12" t="n"/>
      <c r="K168" s="39" t="n"/>
    </row>
    <row r="169">
      <c r="A169" s="15" t="n"/>
      <c r="B169" s="14" t="n"/>
      <c r="C169" s="14" t="n"/>
      <c r="D169" s="14" t="n"/>
      <c r="E169" s="15" t="n"/>
      <c r="F169" s="15" t="n"/>
      <c r="G169" s="15" t="n"/>
      <c r="H169" s="15" t="n"/>
      <c r="I169" s="15" t="n"/>
      <c r="J169" s="12" t="n"/>
      <c r="K169" s="39" t="n"/>
    </row>
    <row r="170">
      <c r="A170" s="15" t="n"/>
      <c r="B170" s="14" t="n"/>
      <c r="C170" s="14" t="n"/>
      <c r="D170" s="14" t="n"/>
      <c r="E170" s="15" t="n"/>
      <c r="F170" s="15" t="n"/>
      <c r="G170" s="15" t="n"/>
      <c r="H170" s="15" t="n"/>
      <c r="I170" s="15" t="n"/>
      <c r="J170" s="12" t="n"/>
      <c r="K170" s="39" t="n"/>
    </row>
    <row r="171">
      <c r="A171" s="15" t="n"/>
      <c r="B171" s="14" t="n"/>
      <c r="C171" s="14" t="n"/>
      <c r="D171" s="14" t="n"/>
      <c r="E171" s="15" t="n"/>
      <c r="F171" s="15" t="n"/>
      <c r="G171" s="15" t="n"/>
      <c r="H171" s="15" t="n"/>
      <c r="I171" s="15" t="n"/>
      <c r="J171" s="12" t="n"/>
      <c r="K171" s="39" t="n"/>
    </row>
    <row r="172">
      <c r="A172" s="15" t="n"/>
      <c r="B172" s="14" t="n"/>
      <c r="C172" s="14" t="n"/>
      <c r="D172" s="14" t="n"/>
      <c r="E172" s="15" t="n"/>
      <c r="F172" s="15" t="n"/>
      <c r="G172" s="15" t="n"/>
      <c r="H172" s="15" t="n"/>
      <c r="I172" s="15" t="n"/>
      <c r="J172" s="12" t="n"/>
      <c r="K172" s="39" t="n"/>
    </row>
    <row r="173">
      <c r="A173" s="15" t="n"/>
      <c r="B173" s="14" t="n"/>
      <c r="C173" s="14" t="n"/>
      <c r="D173" s="14" t="n"/>
      <c r="E173" s="15" t="n"/>
      <c r="F173" s="15" t="n"/>
      <c r="G173" s="15" t="n"/>
      <c r="H173" s="15" t="n"/>
      <c r="I173" s="15" t="n"/>
      <c r="J173" s="12" t="n"/>
      <c r="K173" s="39" t="n"/>
    </row>
    <row r="174">
      <c r="A174" s="15" t="n"/>
      <c r="B174" s="14" t="n"/>
      <c r="C174" s="14" t="n"/>
      <c r="D174" s="14" t="n"/>
      <c r="E174" s="15" t="n"/>
      <c r="F174" s="15" t="n"/>
      <c r="G174" s="15" t="n"/>
      <c r="H174" s="15" t="n"/>
      <c r="I174" s="15" t="n"/>
      <c r="J174" s="12" t="n"/>
      <c r="K174" s="39" t="n"/>
    </row>
    <row r="175">
      <c r="A175" s="15" t="n"/>
      <c r="B175" s="14" t="n"/>
      <c r="C175" s="14" t="n"/>
      <c r="D175" s="14" t="n"/>
      <c r="E175" s="15" t="n"/>
      <c r="F175" s="15" t="n"/>
      <c r="G175" s="15" t="n"/>
      <c r="H175" s="15" t="n"/>
      <c r="I175" s="15" t="n"/>
      <c r="J175" s="12" t="n"/>
      <c r="K175" s="39" t="n"/>
    </row>
    <row r="176">
      <c r="A176" s="15" t="n"/>
      <c r="B176" s="14" t="n"/>
      <c r="C176" s="14" t="n"/>
      <c r="D176" s="14" t="n"/>
      <c r="E176" s="15" t="n"/>
      <c r="F176" s="15" t="n"/>
      <c r="G176" s="15" t="n"/>
      <c r="H176" s="15" t="n"/>
      <c r="I176" s="15" t="n"/>
      <c r="J176" s="12" t="n"/>
      <c r="K176" s="39" t="n"/>
    </row>
    <row r="177">
      <c r="A177" s="15" t="n"/>
      <c r="B177" s="14" t="n"/>
      <c r="C177" s="14" t="n"/>
      <c r="D177" s="14" t="n"/>
      <c r="E177" s="15" t="n"/>
      <c r="F177" s="15" t="n"/>
      <c r="G177" s="15" t="n"/>
      <c r="H177" s="15" t="n"/>
      <c r="I177" s="15" t="n"/>
      <c r="J177" s="12" t="n"/>
      <c r="K177" s="39" t="n"/>
    </row>
    <row r="178">
      <c r="A178" s="15" t="n"/>
      <c r="B178" s="14" t="n"/>
      <c r="C178" s="14" t="n"/>
      <c r="D178" s="14" t="n"/>
      <c r="E178" s="15" t="n"/>
      <c r="F178" s="15" t="n"/>
      <c r="G178" s="15" t="n"/>
      <c r="H178" s="15" t="n"/>
      <c r="I178" s="15" t="n"/>
      <c r="J178" s="12" t="n"/>
      <c r="K178" s="39" t="n"/>
    </row>
    <row r="179">
      <c r="A179" s="15" t="n"/>
      <c r="B179" s="14" t="n"/>
      <c r="C179" s="14" t="n"/>
      <c r="D179" s="14" t="n"/>
      <c r="E179" s="15" t="n"/>
      <c r="F179" s="15" t="n"/>
      <c r="G179" s="15" t="n"/>
      <c r="H179" s="15" t="n"/>
      <c r="I179" s="15" t="n"/>
      <c r="J179" s="12" t="n"/>
      <c r="K179" s="39" t="n"/>
    </row>
    <row r="180">
      <c r="A180" s="15" t="n"/>
      <c r="B180" s="14" t="n"/>
      <c r="C180" s="14" t="n"/>
      <c r="D180" s="14" t="n"/>
      <c r="E180" s="15" t="n"/>
      <c r="F180" s="15" t="n"/>
      <c r="G180" s="15" t="n"/>
      <c r="H180" s="15" t="n"/>
      <c r="I180" s="15" t="n"/>
      <c r="J180" s="12" t="n"/>
      <c r="K180" s="39" t="n"/>
    </row>
    <row r="181">
      <c r="A181" s="15" t="n"/>
      <c r="B181" s="14" t="n"/>
      <c r="C181" s="14" t="n"/>
      <c r="D181" s="14" t="n"/>
      <c r="E181" s="15" t="n"/>
      <c r="F181" s="15" t="n"/>
      <c r="G181" s="15" t="n"/>
      <c r="H181" s="15" t="n"/>
      <c r="I181" s="15" t="n"/>
      <c r="J181" s="12" t="n"/>
      <c r="K181" s="39" t="n"/>
    </row>
    <row r="182">
      <c r="A182" s="15" t="n"/>
      <c r="B182" s="14" t="n"/>
      <c r="C182" s="14" t="n"/>
      <c r="D182" s="14" t="n"/>
      <c r="E182" s="15" t="n"/>
      <c r="F182" s="15" t="n"/>
      <c r="G182" s="15" t="n"/>
      <c r="H182" s="15" t="n"/>
      <c r="I182" s="15" t="n"/>
      <c r="J182" s="12" t="n"/>
      <c r="K182" s="39" t="n"/>
    </row>
    <row r="183">
      <c r="A183" s="15" t="n"/>
      <c r="B183" s="14" t="n"/>
      <c r="C183" s="14" t="n"/>
      <c r="D183" s="14" t="n"/>
      <c r="E183" s="15" t="n"/>
      <c r="F183" s="15" t="n"/>
      <c r="G183" s="15" t="n"/>
      <c r="H183" s="15" t="n"/>
      <c r="I183" s="15" t="n"/>
      <c r="J183" s="12" t="n"/>
      <c r="K183" s="39" t="n"/>
    </row>
    <row r="184">
      <c r="A184" s="15" t="n"/>
      <c r="B184" s="14" t="n"/>
      <c r="C184" s="14" t="n"/>
      <c r="D184" s="14" t="n"/>
      <c r="E184" s="15" t="n"/>
      <c r="F184" s="15" t="n"/>
      <c r="G184" s="15" t="n"/>
      <c r="H184" s="15" t="n"/>
      <c r="I184" s="15" t="n"/>
      <c r="J184" s="12" t="n"/>
      <c r="K184" s="39" t="n"/>
    </row>
    <row r="185">
      <c r="A185" s="15" t="n"/>
      <c r="B185" s="14" t="n"/>
      <c r="C185" s="14" t="n"/>
      <c r="D185" s="14" t="n"/>
      <c r="E185" s="15" t="n"/>
      <c r="F185" s="15" t="n"/>
      <c r="G185" s="15" t="n"/>
      <c r="H185" s="15" t="n"/>
      <c r="I185" s="15" t="n"/>
      <c r="J185" s="12" t="n"/>
      <c r="K185" s="39" t="n"/>
    </row>
    <row r="186">
      <c r="A186" s="15" t="n"/>
      <c r="B186" s="14" t="n"/>
      <c r="C186" s="14" t="n"/>
      <c r="D186" s="14" t="n"/>
      <c r="E186" s="15" t="n"/>
      <c r="F186" s="15" t="n"/>
      <c r="G186" s="15" t="n"/>
      <c r="H186" s="15" t="n"/>
      <c r="I186" s="15" t="n"/>
      <c r="J186" s="12" t="n"/>
      <c r="K186" s="39" t="n"/>
    </row>
    <row r="187">
      <c r="A187" s="15" t="n"/>
      <c r="B187" s="14" t="n"/>
      <c r="C187" s="14" t="n"/>
      <c r="D187" s="14" t="n"/>
      <c r="E187" s="15" t="n"/>
      <c r="F187" s="15" t="n"/>
      <c r="G187" s="15" t="n"/>
      <c r="H187" s="15" t="n"/>
      <c r="I187" s="15" t="n"/>
      <c r="J187" s="12" t="n"/>
      <c r="K187" s="39" t="n"/>
    </row>
    <row r="188">
      <c r="A188" s="15" t="n"/>
      <c r="B188" s="14" t="n"/>
      <c r="C188" s="14" t="n"/>
      <c r="D188" s="14" t="n"/>
      <c r="E188" s="15" t="n"/>
      <c r="F188" s="15" t="n"/>
      <c r="G188" s="15" t="n"/>
      <c r="H188" s="15" t="n"/>
      <c r="I188" s="15" t="n"/>
      <c r="J188" s="12" t="n"/>
      <c r="K188" s="39" t="n"/>
    </row>
    <row r="189">
      <c r="A189" s="15" t="n"/>
      <c r="B189" s="14" t="n"/>
      <c r="C189" s="14" t="n"/>
      <c r="D189" s="14" t="n"/>
      <c r="E189" s="15" t="n"/>
      <c r="F189" s="15" t="n"/>
      <c r="G189" s="15" t="n"/>
      <c r="H189" s="15" t="n"/>
      <c r="I189" s="15" t="n"/>
      <c r="J189" s="12" t="n"/>
      <c r="K189" s="39" t="n"/>
    </row>
    <row r="190">
      <c r="A190" s="15" t="n"/>
      <c r="B190" s="14" t="n"/>
      <c r="C190" s="14" t="n"/>
      <c r="D190" s="14" t="n"/>
      <c r="E190" s="15" t="n"/>
      <c r="F190" s="15" t="n"/>
      <c r="G190" s="15" t="n"/>
      <c r="H190" s="15" t="n"/>
      <c r="I190" s="15" t="n"/>
      <c r="J190" s="12" t="n"/>
      <c r="K190" s="39" t="n"/>
    </row>
    <row r="191">
      <c r="A191" s="15" t="n"/>
      <c r="B191" s="14" t="n"/>
      <c r="C191" s="14" t="n"/>
      <c r="D191" s="14" t="n"/>
      <c r="E191" s="15" t="n"/>
      <c r="F191" s="15" t="n"/>
      <c r="G191" s="15" t="n"/>
      <c r="H191" s="15" t="n"/>
      <c r="I191" s="15" t="n"/>
      <c r="J191" s="12" t="n"/>
      <c r="K191" s="39" t="n"/>
    </row>
    <row r="192">
      <c r="A192" s="15" t="n"/>
      <c r="B192" s="14" t="n"/>
      <c r="C192" s="14" t="n"/>
      <c r="D192" s="14" t="n"/>
      <c r="E192" s="15" t="n"/>
      <c r="F192" s="15" t="n"/>
      <c r="G192" s="15" t="n"/>
      <c r="H192" s="15" t="n"/>
      <c r="I192" s="15" t="n"/>
      <c r="J192" s="12" t="n"/>
      <c r="K192" s="39" t="n"/>
    </row>
    <row r="193">
      <c r="A193" s="15" t="n"/>
      <c r="B193" s="14" t="n"/>
      <c r="C193" s="14" t="n"/>
      <c r="D193" s="14" t="n"/>
      <c r="E193" s="15" t="n"/>
      <c r="F193" s="15" t="n"/>
      <c r="G193" s="15" t="n"/>
      <c r="H193" s="15" t="n"/>
      <c r="I193" s="15" t="n"/>
      <c r="J193" s="12" t="n"/>
      <c r="K193" s="39" t="n"/>
    </row>
    <row r="194">
      <c r="A194" s="15" t="n"/>
      <c r="B194" s="14" t="n"/>
      <c r="C194" s="14" t="n"/>
      <c r="D194" s="14" t="n"/>
      <c r="E194" s="15" t="n"/>
      <c r="F194" s="15" t="n"/>
      <c r="G194" s="15" t="n"/>
      <c r="H194" s="15" t="n"/>
      <c r="I194" s="15" t="n"/>
      <c r="J194" s="12" t="n"/>
      <c r="K194" s="39" t="n"/>
    </row>
    <row r="195">
      <c r="A195" s="15" t="n"/>
      <c r="B195" s="14" t="n"/>
      <c r="C195" s="14" t="n"/>
      <c r="D195" s="14" t="n"/>
      <c r="E195" s="15" t="n"/>
      <c r="F195" s="15" t="n"/>
      <c r="G195" s="15" t="n"/>
      <c r="H195" s="15" t="n"/>
      <c r="I195" s="15" t="n"/>
      <c r="J195" s="12" t="n"/>
      <c r="K195" s="39" t="n"/>
    </row>
    <row r="196">
      <c r="A196" s="15" t="n"/>
      <c r="B196" s="14" t="n"/>
      <c r="C196" s="14" t="n"/>
      <c r="D196" s="14" t="n"/>
      <c r="E196" s="15" t="n"/>
      <c r="F196" s="15" t="n"/>
      <c r="G196" s="15" t="n"/>
      <c r="H196" s="15" t="n"/>
      <c r="I196" s="15" t="n"/>
      <c r="J196" s="12" t="n"/>
      <c r="K196" s="39" t="n"/>
    </row>
    <row r="197">
      <c r="A197" s="15" t="n"/>
      <c r="B197" s="14" t="n"/>
      <c r="C197" s="14" t="n"/>
      <c r="D197" s="14" t="n"/>
      <c r="E197" s="15" t="n"/>
      <c r="F197" s="15" t="n"/>
      <c r="G197" s="15" t="n"/>
      <c r="H197" s="15" t="n"/>
      <c r="I197" s="15" t="n"/>
      <c r="J197" s="12" t="n"/>
      <c r="K197" s="39" t="n"/>
    </row>
    <row r="198">
      <c r="A198" s="15" t="n"/>
      <c r="B198" s="14" t="n"/>
      <c r="C198" s="14" t="n"/>
      <c r="D198" s="14" t="n"/>
      <c r="E198" s="15" t="n"/>
      <c r="F198" s="15" t="n"/>
      <c r="G198" s="15" t="n"/>
      <c r="H198" s="15" t="n"/>
      <c r="I198" s="15" t="n"/>
      <c r="J198" s="12" t="n"/>
      <c r="K198" s="39" t="n"/>
    </row>
    <row r="199">
      <c r="A199" s="15" t="n"/>
      <c r="B199" s="14" t="n"/>
      <c r="C199" s="14" t="n"/>
      <c r="D199" s="14" t="n"/>
      <c r="E199" s="15" t="n"/>
      <c r="F199" s="15" t="n"/>
      <c r="G199" s="15" t="n"/>
      <c r="H199" s="15" t="n"/>
      <c r="I199" s="15" t="n"/>
      <c r="J199" s="12" t="n"/>
      <c r="K199" s="39" t="n"/>
    </row>
    <row r="200">
      <c r="A200" s="15" t="n"/>
      <c r="B200" s="14" t="n"/>
      <c r="C200" s="14" t="n"/>
      <c r="D200" s="14" t="n"/>
      <c r="E200" s="15" t="n"/>
      <c r="F200" s="15" t="n"/>
      <c r="G200" s="15" t="n"/>
      <c r="H200" s="15" t="n"/>
      <c r="I200" s="15" t="n"/>
      <c r="J200" s="12" t="n"/>
      <c r="K200" s="39" t="n"/>
    </row>
    <row r="201">
      <c r="A201" s="15" t="n"/>
      <c r="B201" s="14" t="n"/>
      <c r="C201" s="14" t="n"/>
      <c r="D201" s="14" t="n"/>
      <c r="E201" s="15" t="n"/>
      <c r="F201" s="15" t="n"/>
      <c r="G201" s="15" t="n"/>
      <c r="H201" s="15" t="n"/>
      <c r="I201" s="15" t="n"/>
      <c r="J201" s="12" t="n"/>
      <c r="K201" s="39" t="n"/>
    </row>
    <row r="202">
      <c r="A202" s="15" t="n"/>
      <c r="B202" s="14" t="n"/>
      <c r="C202" s="14" t="n"/>
      <c r="D202" s="14" t="n"/>
      <c r="E202" s="15" t="n"/>
      <c r="F202" s="15" t="n"/>
      <c r="G202" s="15" t="n"/>
      <c r="H202" s="15" t="n"/>
      <c r="I202" s="15" t="n"/>
      <c r="J202" s="12" t="n"/>
      <c r="K202" s="39" t="n"/>
    </row>
    <row r="203">
      <c r="A203" s="15" t="n"/>
      <c r="B203" s="14" t="n"/>
      <c r="C203" s="14" t="n"/>
      <c r="D203" s="14" t="n"/>
      <c r="E203" s="15" t="n"/>
      <c r="F203" s="15" t="n"/>
      <c r="G203" s="15" t="n"/>
      <c r="H203" s="15" t="n"/>
      <c r="I203" s="15" t="n"/>
      <c r="J203" s="12" t="n"/>
      <c r="K203" s="39" t="n"/>
    </row>
    <row r="204">
      <c r="A204" s="15" t="n"/>
      <c r="B204" s="14" t="n"/>
      <c r="C204" s="14" t="n"/>
      <c r="D204" s="14" t="n"/>
      <c r="E204" s="15" t="n"/>
      <c r="F204" s="15" t="n"/>
      <c r="G204" s="15" t="n"/>
      <c r="H204" s="15" t="n"/>
      <c r="I204" s="15" t="n"/>
      <c r="J204" s="12" t="n"/>
      <c r="K204" s="39" t="n"/>
    </row>
    <row r="205">
      <c r="A205" s="15" t="n"/>
      <c r="B205" s="14" t="n"/>
      <c r="C205" s="14" t="n"/>
      <c r="D205" s="14" t="n"/>
      <c r="E205" s="15" t="n"/>
      <c r="F205" s="15" t="n"/>
      <c r="G205" s="15" t="n"/>
      <c r="H205" s="15" t="n"/>
      <c r="I205" s="15" t="n"/>
      <c r="J205" s="12" t="n"/>
      <c r="K205" s="39" t="n"/>
    </row>
    <row r="206">
      <c r="A206" s="15" t="n"/>
      <c r="B206" s="14" t="n"/>
      <c r="C206" s="14" t="n"/>
      <c r="D206" s="14" t="n"/>
      <c r="E206" s="15" t="n"/>
      <c r="F206" s="15" t="n"/>
      <c r="G206" s="15" t="n"/>
      <c r="H206" s="15" t="n"/>
      <c r="I206" s="15" t="n"/>
      <c r="J206" s="12" t="n"/>
      <c r="K206" s="39" t="n"/>
    </row>
    <row r="207">
      <c r="A207" s="15" t="n"/>
      <c r="B207" s="14" t="n"/>
      <c r="C207" s="14" t="n"/>
      <c r="D207" s="14" t="n"/>
      <c r="E207" s="15" t="n"/>
      <c r="F207" s="15" t="n"/>
      <c r="G207" s="15" t="n"/>
      <c r="H207" s="15" t="n"/>
      <c r="I207" s="15" t="n"/>
      <c r="J207" s="12" t="n"/>
      <c r="K207" s="39" t="n"/>
    </row>
    <row r="208">
      <c r="A208" s="15" t="n"/>
      <c r="B208" s="14" t="n"/>
      <c r="C208" s="14" t="n"/>
      <c r="D208" s="14" t="n"/>
      <c r="E208" s="15" t="n"/>
      <c r="F208" s="15" t="n"/>
      <c r="G208" s="15" t="n"/>
      <c r="H208" s="15" t="n"/>
      <c r="I208" s="15" t="n"/>
      <c r="J208" s="12" t="n"/>
      <c r="K208" s="39" t="n"/>
    </row>
    <row r="209">
      <c r="A209" s="15" t="n"/>
      <c r="B209" s="14" t="n"/>
      <c r="C209" s="14" t="n"/>
      <c r="D209" s="14" t="n"/>
      <c r="E209" s="15" t="n"/>
      <c r="F209" s="15" t="n"/>
      <c r="G209" s="15" t="n"/>
      <c r="H209" s="15" t="n"/>
      <c r="I209" s="15" t="n"/>
      <c r="J209" s="12" t="n"/>
      <c r="K209" s="39" t="n"/>
    </row>
    <row r="210">
      <c r="A210" s="15" t="n"/>
      <c r="B210" s="14" t="n"/>
      <c r="C210" s="14" t="n"/>
      <c r="D210" s="14" t="n"/>
      <c r="E210" s="15" t="n"/>
      <c r="F210" s="15" t="n"/>
      <c r="G210" s="15" t="n"/>
      <c r="H210" s="15" t="n"/>
      <c r="I210" s="15" t="n"/>
      <c r="J210" s="12" t="n"/>
      <c r="K210" s="39" t="n"/>
    </row>
    <row r="211">
      <c r="A211" s="15" t="n"/>
      <c r="B211" s="14" t="n"/>
      <c r="C211" s="14" t="n"/>
      <c r="D211" s="14" t="n"/>
      <c r="E211" s="15" t="n"/>
      <c r="F211" s="15" t="n"/>
      <c r="G211" s="15" t="n"/>
      <c r="H211" s="15" t="n"/>
      <c r="I211" s="15" t="n"/>
      <c r="J211" s="12" t="n"/>
      <c r="K211" s="39" t="n"/>
    </row>
    <row r="212">
      <c r="A212" s="15" t="n"/>
      <c r="B212" s="14" t="n"/>
      <c r="C212" s="14" t="n"/>
      <c r="D212" s="14" t="n"/>
      <c r="E212" s="15" t="n"/>
      <c r="F212" s="15" t="n"/>
      <c r="G212" s="15" t="n"/>
      <c r="H212" s="15" t="n"/>
      <c r="I212" s="15" t="n"/>
      <c r="J212" s="12" t="n"/>
      <c r="K212" s="39" t="n"/>
    </row>
    <row r="213">
      <c r="A213" s="15" t="n"/>
      <c r="B213" s="14" t="n"/>
      <c r="C213" s="14" t="n"/>
      <c r="D213" s="14" t="n"/>
      <c r="E213" s="15" t="n"/>
      <c r="F213" s="15" t="n"/>
      <c r="G213" s="15" t="n"/>
      <c r="H213" s="15" t="n"/>
      <c r="I213" s="15" t="n"/>
      <c r="J213" s="12" t="n"/>
      <c r="K213" s="39" t="n"/>
    </row>
    <row r="214">
      <c r="A214" s="15" t="n"/>
      <c r="B214" s="14" t="n"/>
      <c r="C214" s="14" t="n"/>
      <c r="D214" s="14" t="n"/>
      <c r="E214" s="15" t="n"/>
      <c r="F214" s="15" t="n"/>
      <c r="G214" s="15" t="n"/>
      <c r="H214" s="15" t="n"/>
      <c r="I214" s="15" t="n"/>
      <c r="J214" s="12" t="n"/>
      <c r="K214" s="39" t="n"/>
    </row>
    <row r="215">
      <c r="A215" s="15" t="n"/>
      <c r="B215" s="14" t="n"/>
      <c r="C215" s="14" t="n"/>
      <c r="D215" s="14" t="n"/>
      <c r="E215" s="15" t="n"/>
      <c r="F215" s="15" t="n"/>
      <c r="G215" s="15" t="n"/>
      <c r="H215" s="15" t="n"/>
      <c r="I215" s="15" t="n"/>
      <c r="J215" s="12" t="n"/>
      <c r="K215" s="39" t="n"/>
    </row>
    <row r="216">
      <c r="A216" s="15" t="n"/>
      <c r="B216" s="14" t="n"/>
      <c r="C216" s="14" t="n"/>
      <c r="D216" s="14" t="n"/>
      <c r="E216" s="15" t="n"/>
      <c r="F216" s="15" t="n"/>
      <c r="G216" s="15" t="n"/>
      <c r="H216" s="15" t="n"/>
      <c r="I216" s="15" t="n"/>
      <c r="J216" s="12" t="n"/>
      <c r="K216" s="39" t="n"/>
    </row>
    <row r="217">
      <c r="A217" s="15" t="n"/>
      <c r="B217" s="14" t="n"/>
      <c r="C217" s="14" t="n"/>
      <c r="D217" s="14" t="n"/>
      <c r="E217" s="15" t="n"/>
      <c r="F217" s="15" t="n"/>
      <c r="G217" s="15" t="n"/>
      <c r="H217" s="15" t="n"/>
      <c r="I217" s="15" t="n"/>
      <c r="J217" s="12" t="n"/>
      <c r="K217" s="39" t="n"/>
    </row>
    <row r="218">
      <c r="A218" s="15" t="n"/>
      <c r="B218" s="14" t="n"/>
      <c r="C218" s="14" t="n"/>
      <c r="D218" s="14" t="n"/>
      <c r="E218" s="15" t="n"/>
      <c r="F218" s="15" t="n"/>
      <c r="G218" s="15" t="n"/>
      <c r="H218" s="15" t="n"/>
      <c r="I218" s="15" t="n"/>
      <c r="J218" s="12" t="n"/>
      <c r="K218" s="39" t="n"/>
    </row>
    <row r="219">
      <c r="A219" s="15" t="n"/>
      <c r="B219" s="14" t="n"/>
      <c r="C219" s="14" t="n"/>
      <c r="D219" s="14" t="n"/>
      <c r="E219" s="15" t="n"/>
      <c r="F219" s="15" t="n"/>
      <c r="G219" s="15" t="n"/>
      <c r="H219" s="15" t="n"/>
      <c r="I219" s="15" t="n"/>
      <c r="J219" s="12" t="n"/>
      <c r="K219" s="39" t="n"/>
    </row>
    <row r="220">
      <c r="A220" s="15" t="n"/>
      <c r="B220" s="14" t="n"/>
      <c r="C220" s="14" t="n"/>
      <c r="D220" s="14" t="n"/>
      <c r="E220" s="15" t="n"/>
      <c r="F220" s="15" t="n"/>
      <c r="G220" s="15" t="n"/>
      <c r="H220" s="15" t="n"/>
      <c r="I220" s="15" t="n"/>
      <c r="J220" s="12" t="n"/>
      <c r="K220" s="39" t="n"/>
    </row>
    <row r="221">
      <c r="A221" s="15" t="n"/>
      <c r="B221" s="14" t="n"/>
      <c r="C221" s="14" t="n"/>
      <c r="D221" s="14" t="n"/>
      <c r="E221" s="15" t="n"/>
      <c r="F221" s="15" t="n"/>
      <c r="G221" s="15" t="n"/>
      <c r="H221" s="15" t="n"/>
      <c r="I221" s="15" t="n"/>
      <c r="J221" s="12" t="n"/>
      <c r="K221" s="39" t="n"/>
    </row>
    <row r="222">
      <c r="A222" s="15" t="n"/>
      <c r="B222" s="14" t="n"/>
      <c r="C222" s="14" t="n"/>
      <c r="D222" s="14" t="n"/>
      <c r="E222" s="15" t="n"/>
      <c r="F222" s="15" t="n"/>
      <c r="G222" s="15" t="n"/>
      <c r="H222" s="15" t="n"/>
      <c r="I222" s="15" t="n"/>
      <c r="J222" s="12" t="n"/>
      <c r="K222" s="39" t="n"/>
    </row>
    <row r="223">
      <c r="A223" s="15" t="n"/>
      <c r="B223" s="14" t="n"/>
      <c r="C223" s="14" t="n"/>
      <c r="D223" s="14" t="n"/>
      <c r="E223" s="15" t="n"/>
      <c r="F223" s="15" t="n"/>
      <c r="G223" s="15" t="n"/>
      <c r="H223" s="15" t="n"/>
      <c r="I223" s="15" t="n"/>
      <c r="J223" s="12" t="n"/>
      <c r="K223" s="39" t="n"/>
    </row>
    <row r="224">
      <c r="A224" s="15" t="n"/>
      <c r="B224" s="14" t="n"/>
      <c r="C224" s="14" t="n"/>
      <c r="D224" s="14" t="n"/>
      <c r="E224" s="15" t="n"/>
      <c r="F224" s="15" t="n"/>
      <c r="G224" s="15" t="n"/>
      <c r="H224" s="15" t="n"/>
      <c r="I224" s="15" t="n"/>
      <c r="J224" s="12" t="n"/>
      <c r="K224" s="39" t="n"/>
    </row>
    <row r="225">
      <c r="A225" s="15" t="n"/>
      <c r="B225" s="14" t="n"/>
      <c r="C225" s="14" t="n"/>
      <c r="D225" s="14" t="n"/>
      <c r="E225" s="15" t="n"/>
      <c r="F225" s="15" t="n"/>
      <c r="G225" s="15" t="n"/>
      <c r="H225" s="15" t="n"/>
      <c r="I225" s="15" t="n"/>
      <c r="J225" s="12" t="n"/>
      <c r="K225" s="39" t="n"/>
    </row>
    <row r="226">
      <c r="A226" s="15" t="n"/>
      <c r="B226" s="14" t="n"/>
      <c r="C226" s="14" t="n"/>
      <c r="D226" s="14" t="n"/>
      <c r="E226" s="15" t="n"/>
      <c r="F226" s="15" t="n"/>
      <c r="G226" s="15" t="n"/>
      <c r="H226" s="15" t="n"/>
      <c r="I226" s="15" t="n"/>
      <c r="J226" s="12" t="n"/>
      <c r="K226" s="39" t="n"/>
    </row>
    <row r="227">
      <c r="A227" s="15" t="n"/>
      <c r="B227" s="14" t="n"/>
      <c r="C227" s="14" t="n"/>
      <c r="D227" s="14" t="n"/>
      <c r="E227" s="15" t="n"/>
      <c r="F227" s="15" t="n"/>
      <c r="G227" s="15" t="n"/>
      <c r="H227" s="15" t="n"/>
      <c r="I227" s="15" t="n"/>
      <c r="J227" s="12" t="n"/>
      <c r="K227" s="39" t="n"/>
    </row>
    <row r="228">
      <c r="A228" s="15" t="n"/>
      <c r="B228" s="14" t="n"/>
      <c r="C228" s="14" t="n"/>
      <c r="D228" s="14" t="n"/>
      <c r="E228" s="15" t="n"/>
      <c r="F228" s="15" t="n"/>
      <c r="G228" s="15" t="n"/>
      <c r="H228" s="15" t="n"/>
      <c r="I228" s="15" t="n"/>
      <c r="J228" s="12" t="n"/>
      <c r="K228" s="39" t="n"/>
    </row>
    <row r="229">
      <c r="A229" s="15" t="n"/>
      <c r="B229" s="14" t="n"/>
      <c r="C229" s="14" t="n"/>
      <c r="D229" s="14" t="n"/>
      <c r="E229" s="15" t="n"/>
      <c r="F229" s="15" t="n"/>
      <c r="G229" s="15" t="n"/>
      <c r="H229" s="15" t="n"/>
      <c r="I229" s="15" t="n"/>
      <c r="J229" s="12" t="n"/>
      <c r="K229" s="39" t="n"/>
    </row>
    <row r="230">
      <c r="A230" s="15" t="n"/>
      <c r="B230" s="14" t="n"/>
      <c r="C230" s="14" t="n"/>
      <c r="D230" s="14" t="n"/>
      <c r="E230" s="15" t="n"/>
      <c r="F230" s="15" t="n"/>
      <c r="G230" s="15" t="n"/>
      <c r="H230" s="15" t="n"/>
      <c r="I230" s="15" t="n"/>
      <c r="J230" s="12" t="n"/>
      <c r="K230" s="39" t="n"/>
    </row>
    <row r="231">
      <c r="A231" s="15" t="n"/>
      <c r="B231" s="14" t="n"/>
      <c r="C231" s="14" t="n"/>
      <c r="D231" s="14" t="n"/>
      <c r="E231" s="15" t="n"/>
      <c r="F231" s="15" t="n"/>
      <c r="G231" s="15" t="n"/>
      <c r="H231" s="15" t="n"/>
      <c r="I231" s="15" t="n"/>
      <c r="J231" s="12" t="n"/>
      <c r="K231" s="39" t="n"/>
    </row>
    <row r="232">
      <c r="A232" s="15" t="n"/>
      <c r="B232" s="14" t="n"/>
      <c r="C232" s="14" t="n"/>
      <c r="D232" s="14" t="n"/>
      <c r="E232" s="15" t="n"/>
      <c r="F232" s="15" t="n"/>
      <c r="G232" s="15" t="n"/>
      <c r="H232" s="15" t="n"/>
      <c r="I232" s="15" t="n"/>
      <c r="J232" s="12" t="n"/>
      <c r="K232" s="39" t="n"/>
    </row>
    <row r="233">
      <c r="A233" s="15" t="n"/>
      <c r="B233" s="14" t="n"/>
      <c r="C233" s="14" t="n"/>
      <c r="D233" s="14" t="n"/>
      <c r="E233" s="15" t="n"/>
      <c r="F233" s="15" t="n"/>
      <c r="G233" s="15" t="n"/>
      <c r="H233" s="15" t="n"/>
      <c r="I233" s="15" t="n"/>
      <c r="J233" s="12" t="n"/>
      <c r="K233" s="39" t="n"/>
    </row>
    <row r="234">
      <c r="A234" s="15" t="n"/>
      <c r="B234" s="14" t="n"/>
      <c r="C234" s="14" t="n"/>
      <c r="D234" s="14" t="n"/>
      <c r="E234" s="15" t="n"/>
      <c r="F234" s="15" t="n"/>
      <c r="G234" s="15" t="n"/>
      <c r="H234" s="15" t="n"/>
      <c r="I234" s="15" t="n"/>
      <c r="J234" s="12" t="n"/>
      <c r="K234" s="39" t="n"/>
    </row>
    <row r="235">
      <c r="A235" s="15" t="n"/>
      <c r="B235" s="14" t="n"/>
      <c r="C235" s="14" t="n"/>
      <c r="D235" s="14" t="n"/>
      <c r="E235" s="15" t="n"/>
      <c r="F235" s="15" t="n"/>
      <c r="G235" s="15" t="n"/>
      <c r="H235" s="15" t="n"/>
      <c r="I235" s="15" t="n"/>
      <c r="J235" s="12" t="n"/>
      <c r="K235" s="39" t="n"/>
    </row>
    <row r="236">
      <c r="A236" s="15" t="n"/>
      <c r="B236" s="14" t="n"/>
      <c r="C236" s="14" t="n"/>
      <c r="D236" s="14" t="n"/>
      <c r="E236" s="15" t="n"/>
      <c r="F236" s="15" t="n"/>
      <c r="G236" s="15" t="n"/>
      <c r="H236" s="15" t="n"/>
      <c r="I236" s="15" t="n"/>
      <c r="J236" s="12" t="n"/>
      <c r="K236" s="39" t="n"/>
    </row>
    <row r="237">
      <c r="A237" s="15" t="n"/>
      <c r="B237" s="14" t="n"/>
      <c r="C237" s="14" t="n"/>
      <c r="D237" s="14" t="n"/>
      <c r="E237" s="15" t="n"/>
      <c r="F237" s="15" t="n"/>
      <c r="G237" s="15" t="n"/>
      <c r="H237" s="15" t="n"/>
      <c r="I237" s="15" t="n"/>
      <c r="J237" s="12" t="n"/>
      <c r="K237" s="39" t="n"/>
    </row>
    <row r="238">
      <c r="A238" s="15" t="n"/>
      <c r="B238" s="14" t="n"/>
      <c r="C238" s="14" t="n"/>
      <c r="D238" s="14" t="n"/>
      <c r="E238" s="15" t="n"/>
      <c r="F238" s="15" t="n"/>
      <c r="G238" s="15" t="n"/>
      <c r="H238" s="15" t="n"/>
      <c r="I238" s="15" t="n"/>
      <c r="J238" s="12" t="n"/>
      <c r="K238" s="39" t="n"/>
    </row>
    <row r="239">
      <c r="A239" s="15" t="n"/>
      <c r="B239" s="14" t="n"/>
      <c r="C239" s="14" t="n"/>
      <c r="D239" s="14" t="n"/>
      <c r="E239" s="15" t="n"/>
      <c r="F239" s="15" t="n"/>
      <c r="G239" s="15" t="n"/>
      <c r="H239" s="15" t="n"/>
      <c r="I239" s="15" t="n"/>
      <c r="J239" s="12" t="n"/>
      <c r="K239" s="39" t="n"/>
    </row>
    <row r="240">
      <c r="A240" s="15" t="n"/>
      <c r="B240" s="14" t="n"/>
      <c r="C240" s="14" t="n"/>
      <c r="D240" s="14" t="n"/>
      <c r="E240" s="15" t="n"/>
      <c r="F240" s="15" t="n"/>
      <c r="G240" s="15" t="n"/>
      <c r="H240" s="15" t="n"/>
      <c r="I240" s="15" t="n"/>
      <c r="J240" s="12" t="n"/>
      <c r="K240" s="39" t="n"/>
    </row>
    <row r="241">
      <c r="A241" s="15" t="n"/>
      <c r="B241" s="14" t="n"/>
      <c r="C241" s="14" t="n"/>
      <c r="D241" s="14" t="n"/>
      <c r="E241" s="15" t="n"/>
      <c r="F241" s="15" t="n"/>
      <c r="G241" s="15" t="n"/>
      <c r="H241" s="15" t="n"/>
      <c r="I241" s="15" t="n"/>
      <c r="J241" s="12" t="n"/>
      <c r="K241" s="39" t="n"/>
    </row>
    <row r="242">
      <c r="A242" s="15" t="n"/>
      <c r="B242" s="14" t="n"/>
      <c r="C242" s="14" t="n"/>
      <c r="D242" s="14" t="n"/>
      <c r="E242" s="15" t="n"/>
      <c r="F242" s="15" t="n"/>
      <c r="G242" s="15" t="n"/>
      <c r="H242" s="15" t="n"/>
      <c r="I242" s="15" t="n"/>
      <c r="J242" s="12" t="n"/>
      <c r="K242" s="39" t="n"/>
    </row>
    <row r="243">
      <c r="A243" s="15" t="n"/>
      <c r="B243" s="14" t="n"/>
      <c r="C243" s="14" t="n"/>
      <c r="D243" s="14" t="n"/>
      <c r="E243" s="15" t="n"/>
      <c r="F243" s="15" t="n"/>
      <c r="G243" s="15" t="n"/>
      <c r="H243" s="15" t="n"/>
      <c r="I243" s="15" t="n"/>
      <c r="J243" s="12" t="n"/>
      <c r="K243" s="39" t="n"/>
    </row>
    <row r="244">
      <c r="A244" s="15" t="n"/>
      <c r="B244" s="14" t="n"/>
      <c r="C244" s="14" t="n"/>
      <c r="D244" s="14" t="n"/>
      <c r="E244" s="15" t="n"/>
      <c r="F244" s="15" t="n"/>
      <c r="G244" s="15" t="n"/>
      <c r="H244" s="15" t="n"/>
      <c r="I244" s="15" t="n"/>
      <c r="J244" s="12" t="n"/>
      <c r="K244" s="39" t="n"/>
    </row>
    <row r="245">
      <c r="A245" s="15" t="n"/>
      <c r="B245" s="14" t="n"/>
      <c r="C245" s="14" t="n"/>
      <c r="D245" s="14" t="n"/>
      <c r="E245" s="15" t="n"/>
      <c r="F245" s="15" t="n"/>
      <c r="G245" s="15" t="n"/>
      <c r="H245" s="15" t="n"/>
      <c r="I245" s="15" t="n"/>
      <c r="J245" s="12" t="n"/>
      <c r="K245" s="39" t="n"/>
    </row>
    <row r="246">
      <c r="A246" s="15" t="n"/>
      <c r="B246" s="14" t="n"/>
      <c r="C246" s="14" t="n"/>
      <c r="D246" s="14" t="n"/>
      <c r="E246" s="15" t="n"/>
      <c r="F246" s="15" t="n"/>
      <c r="G246" s="15" t="n"/>
      <c r="H246" s="15" t="n"/>
      <c r="I246" s="15" t="n"/>
      <c r="J246" s="12" t="n"/>
      <c r="K246" s="39" t="n"/>
    </row>
    <row r="247">
      <c r="A247" s="15" t="n"/>
      <c r="B247" s="14" t="n"/>
      <c r="C247" s="14" t="n"/>
      <c r="D247" s="14" t="n"/>
      <c r="E247" s="15" t="n"/>
      <c r="F247" s="15" t="n"/>
      <c r="G247" s="15" t="n"/>
      <c r="H247" s="15" t="n"/>
      <c r="I247" s="15" t="n"/>
      <c r="J247" s="12" t="n"/>
      <c r="K247" s="39" t="n"/>
    </row>
    <row r="248">
      <c r="A248" s="15" t="n"/>
      <c r="B248" s="14" t="n"/>
      <c r="C248" s="14" t="n"/>
      <c r="D248" s="14" t="n"/>
      <c r="E248" s="15" t="n"/>
      <c r="F248" s="15" t="n"/>
      <c r="G248" s="15" t="n"/>
      <c r="H248" s="15" t="n"/>
      <c r="I248" s="15" t="n"/>
      <c r="J248" s="12" t="n"/>
      <c r="K248" s="39" t="n"/>
    </row>
    <row r="249">
      <c r="A249" s="15" t="n"/>
      <c r="B249" s="14" t="n"/>
      <c r="C249" s="14" t="n"/>
      <c r="D249" s="14" t="n"/>
      <c r="E249" s="15" t="n"/>
      <c r="F249" s="15" t="n"/>
      <c r="G249" s="15" t="n"/>
      <c r="H249" s="15" t="n"/>
      <c r="I249" s="15" t="n"/>
      <c r="J249" s="12" t="n"/>
      <c r="K249" s="39" t="n"/>
    </row>
    <row r="250">
      <c r="A250" s="15" t="n"/>
      <c r="B250" s="14" t="n"/>
      <c r="C250" s="14" t="n"/>
      <c r="D250" s="14" t="n"/>
      <c r="E250" s="15" t="n"/>
      <c r="F250" s="15" t="n"/>
      <c r="G250" s="15" t="n"/>
      <c r="H250" s="15" t="n"/>
      <c r="I250" s="15" t="n"/>
      <c r="J250" s="12" t="n"/>
      <c r="K250" s="39" t="n"/>
    </row>
    <row r="251">
      <c r="A251" s="15" t="n"/>
      <c r="B251" s="14" t="n"/>
      <c r="C251" s="14" t="n"/>
      <c r="D251" s="14" t="n"/>
      <c r="E251" s="15" t="n"/>
      <c r="F251" s="15" t="n"/>
      <c r="G251" s="15" t="n"/>
      <c r="H251" s="15" t="n"/>
      <c r="I251" s="15" t="n"/>
      <c r="J251" s="12" t="n"/>
      <c r="K251" s="39" t="n"/>
    </row>
    <row r="252">
      <c r="A252" s="15" t="n"/>
      <c r="B252" s="14" t="n"/>
      <c r="C252" s="14" t="n"/>
      <c r="D252" s="14" t="n"/>
      <c r="E252" s="15" t="n"/>
      <c r="F252" s="15" t="n"/>
      <c r="G252" s="15" t="n"/>
      <c r="H252" s="15" t="n"/>
      <c r="I252" s="15" t="n"/>
      <c r="J252" s="12" t="n"/>
      <c r="K252" s="39" t="n"/>
    </row>
    <row r="253">
      <c r="A253" s="15" t="n"/>
      <c r="B253" s="14" t="n"/>
      <c r="C253" s="14" t="n"/>
      <c r="D253" s="14" t="n"/>
      <c r="E253" s="15" t="n"/>
      <c r="F253" s="15" t="n"/>
      <c r="G253" s="15" t="n"/>
      <c r="H253" s="15" t="n"/>
      <c r="I253" s="15" t="n"/>
      <c r="J253" s="12" t="n"/>
      <c r="K253" s="39" t="n"/>
    </row>
    <row r="254">
      <c r="A254" s="15" t="n"/>
      <c r="B254" s="14" t="n"/>
      <c r="C254" s="14" t="n"/>
      <c r="D254" s="14" t="n"/>
      <c r="E254" s="15" t="n"/>
      <c r="F254" s="15" t="n"/>
      <c r="G254" s="15" t="n"/>
      <c r="H254" s="15" t="n"/>
      <c r="I254" s="15" t="n"/>
      <c r="J254" s="12" t="n"/>
      <c r="K254" s="39" t="n"/>
    </row>
    <row r="255">
      <c r="A255" s="15" t="n"/>
      <c r="B255" s="14" t="n"/>
      <c r="C255" s="14" t="n"/>
      <c r="D255" s="14" t="n"/>
      <c r="E255" s="15" t="n"/>
      <c r="F255" s="15" t="n"/>
      <c r="G255" s="15" t="n"/>
      <c r="H255" s="15" t="n"/>
      <c r="I255" s="15" t="n"/>
      <c r="J255" s="12" t="n"/>
      <c r="K255" s="39" t="n"/>
    </row>
    <row r="256">
      <c r="A256" s="15" t="n"/>
      <c r="B256" s="14" t="n"/>
      <c r="C256" s="14" t="n"/>
      <c r="D256" s="14" t="n"/>
      <c r="E256" s="15" t="n"/>
      <c r="F256" s="15" t="n"/>
      <c r="G256" s="15" t="n"/>
      <c r="H256" s="15" t="n"/>
      <c r="I256" s="15" t="n"/>
      <c r="J256" s="12" t="n"/>
      <c r="K256" s="39" t="n"/>
    </row>
    <row r="257">
      <c r="A257" s="15" t="n"/>
      <c r="B257" s="14" t="n"/>
      <c r="C257" s="14" t="n"/>
      <c r="D257" s="14" t="n"/>
      <c r="E257" s="15" t="n"/>
      <c r="F257" s="15" t="n"/>
      <c r="G257" s="15" t="n"/>
      <c r="H257" s="15" t="n"/>
      <c r="I257" s="15" t="n"/>
      <c r="J257" s="12" t="n"/>
      <c r="K257" s="39" t="n"/>
    </row>
    <row r="258">
      <c r="A258" s="15" t="n"/>
      <c r="B258" s="14" t="n"/>
      <c r="C258" s="14" t="n"/>
      <c r="D258" s="14" t="n"/>
      <c r="E258" s="15" t="n"/>
      <c r="F258" s="15" t="n"/>
      <c r="G258" s="15" t="n"/>
      <c r="H258" s="15" t="n"/>
      <c r="I258" s="15" t="n"/>
      <c r="J258" s="12" t="n"/>
      <c r="K258" s="39" t="n"/>
    </row>
    <row r="259">
      <c r="A259" s="15" t="n"/>
      <c r="B259" s="14" t="n"/>
      <c r="C259" s="14" t="n"/>
      <c r="D259" s="14" t="n"/>
      <c r="E259" s="15" t="n"/>
      <c r="F259" s="15" t="n"/>
      <c r="G259" s="15" t="n"/>
      <c r="H259" s="15" t="n"/>
      <c r="I259" s="15" t="n"/>
      <c r="J259" s="12" t="n"/>
      <c r="K259" s="39" t="n"/>
    </row>
    <row r="260">
      <c r="A260" s="15" t="n"/>
      <c r="B260" s="14" t="n"/>
      <c r="C260" s="14" t="n"/>
      <c r="D260" s="14" t="n"/>
      <c r="E260" s="15" t="n"/>
      <c r="F260" s="15" t="n"/>
      <c r="G260" s="15" t="n"/>
      <c r="H260" s="15" t="n"/>
      <c r="I260" s="15" t="n"/>
      <c r="J260" s="12" t="n"/>
      <c r="K260" s="39" t="n"/>
    </row>
    <row r="261">
      <c r="A261" s="15" t="n"/>
      <c r="B261" s="14" t="n"/>
      <c r="C261" s="14" t="n"/>
      <c r="D261" s="14" t="n"/>
      <c r="E261" s="15" t="n"/>
      <c r="F261" s="15" t="n"/>
      <c r="G261" s="15" t="n"/>
      <c r="H261" s="15" t="n"/>
      <c r="I261" s="15" t="n"/>
      <c r="J261" s="12" t="n"/>
      <c r="K261" s="39" t="n"/>
    </row>
    <row r="262">
      <c r="A262" s="15" t="n"/>
      <c r="B262" s="14" t="n"/>
      <c r="C262" s="14" t="n"/>
      <c r="D262" s="14" t="n"/>
      <c r="E262" s="15" t="n"/>
      <c r="F262" s="15" t="n"/>
      <c r="G262" s="15" t="n"/>
      <c r="H262" s="15" t="n"/>
      <c r="I262" s="15" t="n"/>
      <c r="J262" s="12" t="n"/>
      <c r="K262" s="39" t="n"/>
    </row>
    <row r="263">
      <c r="A263" s="15" t="n"/>
      <c r="B263" s="14" t="n"/>
      <c r="C263" s="14" t="n"/>
      <c r="D263" s="14" t="n"/>
      <c r="E263" s="15" t="n"/>
      <c r="F263" s="15" t="n"/>
      <c r="G263" s="15" t="n"/>
      <c r="H263" s="15" t="n"/>
      <c r="I263" s="15" t="n"/>
      <c r="J263" s="12" t="n"/>
      <c r="K263" s="39" t="n"/>
    </row>
    <row r="264">
      <c r="A264" s="15" t="n"/>
      <c r="B264" s="14" t="n"/>
      <c r="C264" s="14" t="n"/>
      <c r="D264" s="14" t="n"/>
      <c r="E264" s="15" t="n"/>
      <c r="F264" s="15" t="n"/>
      <c r="G264" s="15" t="n"/>
      <c r="H264" s="15" t="n"/>
      <c r="I264" s="15" t="n"/>
      <c r="J264" s="12" t="n"/>
      <c r="K264" s="39" t="n"/>
    </row>
    <row r="265">
      <c r="A265" s="15" t="n"/>
      <c r="B265" s="14" t="n"/>
      <c r="C265" s="14" t="n"/>
      <c r="D265" s="14" t="n"/>
      <c r="E265" s="15" t="n"/>
      <c r="F265" s="15" t="n"/>
      <c r="G265" s="15" t="n"/>
      <c r="H265" s="15" t="n"/>
      <c r="I265" s="15" t="n"/>
      <c r="J265" s="12" t="n"/>
      <c r="K265" s="39" t="n"/>
    </row>
    <row r="266">
      <c r="A266" s="15" t="n"/>
      <c r="B266" s="14" t="n"/>
      <c r="C266" s="14" t="n"/>
      <c r="D266" s="14" t="n"/>
      <c r="E266" s="15" t="n"/>
      <c r="F266" s="15" t="n"/>
      <c r="G266" s="15" t="n"/>
      <c r="H266" s="15" t="n"/>
      <c r="I266" s="15" t="n"/>
      <c r="J266" s="12" t="n"/>
      <c r="K266" s="39" t="n"/>
    </row>
    <row r="267">
      <c r="A267" s="15" t="n"/>
      <c r="B267" s="14" t="n"/>
      <c r="C267" s="14" t="n"/>
      <c r="D267" s="14" t="n"/>
      <c r="E267" s="15" t="n"/>
      <c r="F267" s="15" t="n"/>
      <c r="G267" s="15" t="n"/>
      <c r="H267" s="15" t="n"/>
      <c r="I267" s="15" t="n"/>
      <c r="J267" s="12" t="n"/>
      <c r="K267" s="39" t="n"/>
    </row>
    <row r="268">
      <c r="A268" s="15" t="n"/>
      <c r="B268" s="14" t="n"/>
      <c r="C268" s="14" t="n"/>
      <c r="D268" s="14" t="n"/>
      <c r="E268" s="15" t="n"/>
      <c r="F268" s="15" t="n"/>
      <c r="G268" s="15" t="n"/>
      <c r="H268" s="15" t="n"/>
      <c r="I268" s="15" t="n"/>
      <c r="J268" s="12" t="n"/>
      <c r="K268" s="39" t="n"/>
    </row>
    <row r="269">
      <c r="A269" s="15" t="n"/>
      <c r="B269" s="14" t="n"/>
      <c r="C269" s="14" t="n"/>
      <c r="D269" s="14" t="n"/>
      <c r="E269" s="15" t="n"/>
      <c r="F269" s="15" t="n"/>
      <c r="G269" s="15" t="n"/>
      <c r="H269" s="15" t="n"/>
      <c r="I269" s="15" t="n"/>
      <c r="J269" s="12" t="n"/>
      <c r="K269" s="39" t="n"/>
    </row>
    <row r="270">
      <c r="A270" s="15" t="n"/>
      <c r="B270" s="14" t="n"/>
      <c r="C270" s="14" t="n"/>
      <c r="D270" s="14" t="n"/>
      <c r="E270" s="15" t="n"/>
      <c r="F270" s="15" t="n"/>
      <c r="G270" s="15" t="n"/>
      <c r="H270" s="15" t="n"/>
      <c r="I270" s="15" t="n"/>
      <c r="J270" s="12" t="n"/>
      <c r="K270" s="39" t="n"/>
    </row>
    <row r="271">
      <c r="A271" s="15" t="n"/>
      <c r="B271" s="14" t="n"/>
      <c r="C271" s="14" t="n"/>
      <c r="D271" s="14" t="n"/>
      <c r="E271" s="15" t="n"/>
      <c r="F271" s="15" t="n"/>
      <c r="G271" s="15" t="n"/>
      <c r="H271" s="15" t="n"/>
      <c r="I271" s="15" t="n"/>
      <c r="J271" s="12" t="n"/>
      <c r="K271" s="39" t="n"/>
    </row>
    <row r="272">
      <c r="A272" s="15" t="n"/>
      <c r="B272" s="14" t="n"/>
      <c r="C272" s="14" t="n"/>
      <c r="D272" s="14" t="n"/>
      <c r="E272" s="15" t="n"/>
      <c r="F272" s="15" t="n"/>
      <c r="G272" s="15" t="n"/>
      <c r="H272" s="15" t="n"/>
      <c r="I272" s="15" t="n"/>
      <c r="J272" s="12" t="n"/>
      <c r="K272" s="39" t="n"/>
    </row>
    <row r="273">
      <c r="A273" s="15" t="n"/>
      <c r="B273" s="14" t="n"/>
      <c r="C273" s="14" t="n"/>
      <c r="D273" s="14" t="n"/>
      <c r="E273" s="15" t="n"/>
      <c r="F273" s="15" t="n"/>
      <c r="G273" s="15" t="n"/>
      <c r="H273" s="15" t="n"/>
      <c r="I273" s="15" t="n"/>
      <c r="J273" s="12" t="n"/>
      <c r="K273" s="39" t="n"/>
    </row>
    <row r="274">
      <c r="A274" s="15" t="n"/>
      <c r="B274" s="14" t="n"/>
      <c r="C274" s="14" t="n"/>
      <c r="D274" s="14" t="n"/>
      <c r="E274" s="15" t="n"/>
      <c r="F274" s="15" t="n"/>
      <c r="G274" s="15" t="n"/>
      <c r="H274" s="15" t="n"/>
      <c r="I274" s="15" t="n"/>
      <c r="J274" s="12" t="n"/>
      <c r="K274" s="39" t="n"/>
    </row>
    <row r="275">
      <c r="A275" s="15" t="n"/>
      <c r="B275" s="14" t="n"/>
      <c r="C275" s="14" t="n"/>
      <c r="D275" s="14" t="n"/>
      <c r="E275" s="15" t="n"/>
      <c r="F275" s="15" t="n"/>
      <c r="G275" s="15" t="n"/>
      <c r="H275" s="15" t="n"/>
      <c r="I275" s="15" t="n"/>
      <c r="J275" s="12" t="n"/>
      <c r="K275" s="39" t="n"/>
    </row>
    <row r="276">
      <c r="A276" s="15" t="n"/>
      <c r="B276" s="14" t="n"/>
      <c r="C276" s="14" t="n"/>
      <c r="D276" s="14" t="n"/>
      <c r="E276" s="15" t="n"/>
      <c r="F276" s="15" t="n"/>
      <c r="G276" s="15" t="n"/>
      <c r="H276" s="15" t="n"/>
      <c r="I276" s="15" t="n"/>
      <c r="J276" s="12" t="n"/>
      <c r="K276" s="39" t="n"/>
    </row>
    <row r="277">
      <c r="A277" s="15" t="n"/>
      <c r="B277" s="14" t="n"/>
      <c r="C277" s="14" t="n"/>
      <c r="D277" s="14" t="n"/>
      <c r="E277" s="15" t="n"/>
      <c r="F277" s="15" t="n"/>
      <c r="G277" s="15" t="n"/>
      <c r="H277" s="15" t="n"/>
      <c r="I277" s="15" t="n"/>
      <c r="J277" s="12" t="n"/>
      <c r="K277" s="39" t="n"/>
    </row>
    <row r="278">
      <c r="A278" s="15" t="n"/>
      <c r="B278" s="14" t="n"/>
      <c r="C278" s="14" t="n"/>
      <c r="D278" s="14" t="n"/>
      <c r="E278" s="15" t="n"/>
      <c r="F278" s="15" t="n"/>
      <c r="G278" s="15" t="n"/>
      <c r="H278" s="15" t="n"/>
      <c r="I278" s="15" t="n"/>
      <c r="J278" s="12" t="n"/>
      <c r="K278" s="39" t="n"/>
    </row>
    <row r="279">
      <c r="A279" s="15" t="n"/>
      <c r="B279" s="14" t="n"/>
      <c r="C279" s="14" t="n"/>
      <c r="D279" s="14" t="n"/>
      <c r="E279" s="15" t="n"/>
      <c r="F279" s="15" t="n"/>
      <c r="G279" s="15" t="n"/>
      <c r="H279" s="15" t="n"/>
      <c r="I279" s="15" t="n"/>
      <c r="J279" s="12" t="n"/>
      <c r="K279" s="39" t="n"/>
    </row>
    <row r="280">
      <c r="A280" s="15" t="n"/>
      <c r="B280" s="14" t="n"/>
      <c r="C280" s="14" t="n"/>
      <c r="D280" s="14" t="n"/>
      <c r="E280" s="15" t="n"/>
      <c r="F280" s="15" t="n"/>
      <c r="G280" s="15" t="n"/>
      <c r="H280" s="15" t="n"/>
      <c r="I280" s="15" t="n"/>
      <c r="J280" s="12" t="n"/>
      <c r="K280" s="39" t="n"/>
    </row>
    <row r="281">
      <c r="A281" s="15" t="n"/>
      <c r="B281" s="14" t="n"/>
      <c r="C281" s="14" t="n"/>
      <c r="D281" s="14" t="n"/>
      <c r="E281" s="15" t="n"/>
      <c r="F281" s="15" t="n"/>
      <c r="G281" s="15" t="n"/>
      <c r="H281" s="15" t="n"/>
      <c r="I281" s="15" t="n"/>
      <c r="J281" s="12" t="n"/>
      <c r="K281" s="39" t="n"/>
    </row>
    <row r="282">
      <c r="A282" s="15" t="n"/>
      <c r="B282" s="14" t="n"/>
      <c r="C282" s="14" t="n"/>
      <c r="D282" s="14" t="n"/>
      <c r="E282" s="15" t="n"/>
      <c r="F282" s="15" t="n"/>
      <c r="G282" s="15" t="n"/>
      <c r="H282" s="15" t="n"/>
      <c r="I282" s="15" t="n"/>
      <c r="J282" s="12" t="n"/>
      <c r="K282" s="39" t="n"/>
    </row>
    <row r="283">
      <c r="A283" s="15" t="n"/>
      <c r="B283" s="14" t="n"/>
      <c r="C283" s="14" t="n"/>
      <c r="D283" s="14" t="n"/>
      <c r="E283" s="15" t="n"/>
      <c r="F283" s="15" t="n"/>
      <c r="G283" s="15" t="n"/>
      <c r="H283" s="15" t="n"/>
      <c r="I283" s="15" t="n"/>
      <c r="J283" s="12" t="n"/>
      <c r="K283" s="39" t="n"/>
    </row>
    <row r="284">
      <c r="A284" s="15" t="n"/>
      <c r="B284" s="14" t="n"/>
      <c r="C284" s="14" t="n"/>
      <c r="D284" s="14" t="n"/>
      <c r="E284" s="15" t="n"/>
      <c r="F284" s="15" t="n"/>
      <c r="G284" s="15" t="n"/>
      <c r="H284" s="15" t="n"/>
      <c r="I284" s="15" t="n"/>
      <c r="J284" s="12" t="n"/>
      <c r="K284" s="39" t="n"/>
    </row>
    <row r="285">
      <c r="A285" s="15" t="n"/>
      <c r="B285" s="14" t="n"/>
      <c r="C285" s="14" t="n"/>
      <c r="D285" s="14" t="n"/>
      <c r="E285" s="15" t="n"/>
      <c r="F285" s="15" t="n"/>
      <c r="G285" s="15" t="n"/>
      <c r="H285" s="15" t="n"/>
      <c r="I285" s="15" t="n"/>
      <c r="J285" s="12" t="n"/>
      <c r="K285" s="39" t="n"/>
    </row>
    <row r="286">
      <c r="A286" s="15" t="n"/>
      <c r="B286" s="14" t="n"/>
      <c r="C286" s="14" t="n"/>
      <c r="D286" s="14" t="n"/>
      <c r="E286" s="15" t="n"/>
      <c r="F286" s="15" t="n"/>
      <c r="G286" s="15" t="n"/>
      <c r="H286" s="15" t="n"/>
      <c r="I286" s="15" t="n"/>
      <c r="J286" s="12" t="n"/>
      <c r="K286" s="39" t="n"/>
    </row>
    <row r="287">
      <c r="A287" s="15" t="n"/>
      <c r="B287" s="14" t="n"/>
      <c r="C287" s="14" t="n"/>
      <c r="D287" s="14" t="n"/>
      <c r="E287" s="15" t="n"/>
      <c r="F287" s="15" t="n"/>
      <c r="G287" s="15" t="n"/>
      <c r="H287" s="15" t="n"/>
      <c r="I287" s="15" t="n"/>
      <c r="J287" s="12" t="n"/>
      <c r="K287" s="39" t="n"/>
    </row>
    <row r="288">
      <c r="A288" s="15" t="n"/>
      <c r="B288" s="14" t="n"/>
      <c r="C288" s="14" t="n"/>
      <c r="D288" s="14" t="n"/>
      <c r="E288" s="15" t="n"/>
      <c r="F288" s="15" t="n"/>
      <c r="G288" s="15" t="n"/>
      <c r="H288" s="15" t="n"/>
      <c r="I288" s="15" t="n"/>
      <c r="J288" s="12" t="n"/>
      <c r="K288" s="39" t="n"/>
    </row>
    <row r="289">
      <c r="A289" s="15" t="n"/>
      <c r="B289" s="14" t="n"/>
      <c r="C289" s="14" t="n"/>
      <c r="D289" s="14" t="n"/>
      <c r="E289" s="15" t="n"/>
      <c r="F289" s="15" t="n"/>
      <c r="G289" s="15" t="n"/>
      <c r="H289" s="15" t="n"/>
      <c r="I289" s="15" t="n"/>
      <c r="J289" s="12" t="n"/>
      <c r="K289" s="39" t="n"/>
    </row>
    <row r="290">
      <c r="A290" s="15" t="n"/>
      <c r="B290" s="14" t="n"/>
      <c r="C290" s="14" t="n"/>
      <c r="D290" s="14" t="n"/>
      <c r="E290" s="15" t="n"/>
      <c r="F290" s="15" t="n"/>
      <c r="G290" s="15" t="n"/>
      <c r="H290" s="15" t="n"/>
      <c r="I290" s="15" t="n"/>
      <c r="J290" s="12" t="n"/>
      <c r="K290" s="39" t="n"/>
    </row>
    <row r="291">
      <c r="A291" s="15" t="n"/>
      <c r="B291" s="14" t="n"/>
      <c r="C291" s="14" t="n"/>
      <c r="D291" s="14" t="n"/>
      <c r="E291" s="15" t="n"/>
      <c r="F291" s="15" t="n"/>
      <c r="G291" s="15" t="n"/>
      <c r="H291" s="15" t="n"/>
      <c r="I291" s="15" t="n"/>
      <c r="J291" s="12" t="n"/>
      <c r="K291" s="39" t="n"/>
    </row>
    <row r="292">
      <c r="A292" s="15" t="n"/>
      <c r="B292" s="14" t="n"/>
      <c r="C292" s="14" t="n"/>
      <c r="D292" s="14" t="n"/>
      <c r="E292" s="15" t="n"/>
      <c r="F292" s="15" t="n"/>
      <c r="G292" s="15" t="n"/>
      <c r="H292" s="15" t="n"/>
      <c r="I292" s="15" t="n"/>
      <c r="J292" s="12" t="n"/>
      <c r="K292" s="39" t="n"/>
    </row>
    <row r="293">
      <c r="A293" s="15" t="n"/>
      <c r="B293" s="14" t="n"/>
      <c r="C293" s="14" t="n"/>
      <c r="D293" s="14" t="n"/>
      <c r="E293" s="15" t="n"/>
      <c r="F293" s="15" t="n"/>
      <c r="G293" s="15" t="n"/>
      <c r="H293" s="15" t="n"/>
      <c r="I293" s="15" t="n"/>
      <c r="J293" s="12" t="n"/>
      <c r="K293" s="39" t="n"/>
    </row>
    <row r="294">
      <c r="A294" s="15" t="n"/>
      <c r="B294" s="14" t="n"/>
      <c r="C294" s="14" t="n"/>
      <c r="D294" s="14" t="n"/>
      <c r="E294" s="15" t="n"/>
      <c r="F294" s="15" t="n"/>
      <c r="G294" s="15" t="n"/>
      <c r="H294" s="15" t="n"/>
      <c r="I294" s="15" t="n"/>
      <c r="J294" s="12" t="n"/>
      <c r="K294" s="39" t="n"/>
    </row>
    <row r="295">
      <c r="A295" s="15" t="n"/>
      <c r="B295" s="14" t="n"/>
      <c r="C295" s="14" t="n"/>
      <c r="D295" s="14" t="n"/>
      <c r="E295" s="15" t="n"/>
      <c r="F295" s="15" t="n"/>
      <c r="G295" s="15" t="n"/>
      <c r="H295" s="15" t="n"/>
      <c r="I295" s="15" t="n"/>
      <c r="J295" s="12" t="n"/>
      <c r="K295" s="39" t="n"/>
    </row>
    <row r="296">
      <c r="A296" s="15" t="n"/>
      <c r="B296" s="14" t="n"/>
      <c r="C296" s="14" t="n"/>
      <c r="D296" s="14" t="n"/>
      <c r="E296" s="15" t="n"/>
      <c r="F296" s="15" t="n"/>
      <c r="G296" s="15" t="n"/>
      <c r="H296" s="15" t="n"/>
      <c r="I296" s="15" t="n"/>
      <c r="J296" s="12" t="n"/>
      <c r="K296" s="39" t="n"/>
    </row>
    <row r="297">
      <c r="A297" s="15" t="n"/>
      <c r="B297" s="14" t="n"/>
      <c r="C297" s="14" t="n"/>
      <c r="D297" s="14" t="n"/>
      <c r="E297" s="15" t="n"/>
      <c r="F297" s="15" t="n"/>
      <c r="G297" s="15" t="n"/>
      <c r="H297" s="15" t="n"/>
      <c r="I297" s="15" t="n"/>
      <c r="J297" s="12" t="n"/>
      <c r="K297" s="39" t="n"/>
    </row>
    <row r="298">
      <c r="A298" s="15" t="n"/>
      <c r="B298" s="14" t="n"/>
      <c r="C298" s="14" t="n"/>
      <c r="D298" s="14" t="n"/>
      <c r="E298" s="15" t="n"/>
      <c r="F298" s="15" t="n"/>
      <c r="G298" s="15" t="n"/>
      <c r="H298" s="15" t="n"/>
      <c r="I298" s="15" t="n"/>
      <c r="J298" s="12" t="n"/>
      <c r="K298" s="39" t="n"/>
    </row>
    <row r="299">
      <c r="A299" s="15" t="n"/>
      <c r="B299" s="14" t="n"/>
      <c r="C299" s="14" t="n"/>
      <c r="D299" s="14" t="n"/>
      <c r="E299" s="15" t="n"/>
      <c r="F299" s="15" t="n"/>
      <c r="G299" s="15" t="n"/>
      <c r="H299" s="15" t="n"/>
      <c r="I299" s="15" t="n"/>
      <c r="J299" s="12" t="n"/>
      <c r="K299" s="39" t="n"/>
    </row>
    <row r="300">
      <c r="A300" s="15" t="n"/>
      <c r="B300" s="14" t="n"/>
      <c r="C300" s="14" t="n"/>
      <c r="D300" s="14" t="n"/>
      <c r="E300" s="15" t="n"/>
      <c r="F300" s="15" t="n"/>
      <c r="G300" s="15" t="n"/>
      <c r="H300" s="15" t="n"/>
      <c r="I300" s="15" t="n"/>
      <c r="J300" s="12" t="n"/>
      <c r="K300" s="39" t="n"/>
    </row>
    <row r="301">
      <c r="A301" s="15" t="n"/>
      <c r="B301" s="14" t="n"/>
      <c r="C301" s="14" t="n"/>
      <c r="D301" s="14" t="n"/>
      <c r="E301" s="15" t="n"/>
      <c r="F301" s="15" t="n"/>
      <c r="G301" s="15" t="n"/>
      <c r="H301" s="15" t="n"/>
      <c r="I301" s="15" t="n"/>
      <c r="J301" s="12" t="n"/>
      <c r="K301" s="39" t="n"/>
    </row>
    <row r="302">
      <c r="A302" s="15" t="n"/>
      <c r="B302" s="14" t="n"/>
      <c r="C302" s="14" t="n"/>
      <c r="D302" s="14" t="n"/>
      <c r="E302" s="15" t="n"/>
      <c r="F302" s="15" t="n"/>
      <c r="G302" s="15" t="n"/>
      <c r="H302" s="15" t="n"/>
      <c r="I302" s="15" t="n"/>
      <c r="J302" s="12" t="n"/>
      <c r="K302" s="39" t="n"/>
    </row>
    <row r="303">
      <c r="A303" s="15" t="n"/>
      <c r="B303" s="14" t="n"/>
      <c r="C303" s="14" t="n"/>
      <c r="D303" s="14" t="n"/>
      <c r="E303" s="15" t="n"/>
      <c r="F303" s="15" t="n"/>
      <c r="G303" s="15" t="n"/>
      <c r="H303" s="15" t="n"/>
      <c r="I303" s="15" t="n"/>
      <c r="J303" s="12" t="n"/>
      <c r="K303" s="39" t="n"/>
    </row>
    <row r="304">
      <c r="A304" s="15" t="n"/>
      <c r="B304" s="14" t="n"/>
      <c r="C304" s="14" t="n"/>
      <c r="D304" s="14" t="n"/>
      <c r="E304" s="15" t="n"/>
      <c r="F304" s="15" t="n"/>
      <c r="G304" s="15" t="n"/>
      <c r="H304" s="15" t="n"/>
      <c r="I304" s="15" t="n"/>
      <c r="J304" s="12" t="n"/>
      <c r="K304" s="39" t="n"/>
    </row>
    <row r="305">
      <c r="A305" s="15" t="n"/>
      <c r="B305" s="14" t="n"/>
      <c r="C305" s="14" t="n"/>
      <c r="D305" s="14" t="n"/>
      <c r="E305" s="15" t="n"/>
      <c r="F305" s="15" t="n"/>
      <c r="G305" s="15" t="n"/>
      <c r="H305" s="15" t="n"/>
      <c r="I305" s="15" t="n"/>
      <c r="J305" s="12" t="n"/>
      <c r="K305" s="39" t="n"/>
    </row>
    <row r="306">
      <c r="A306" s="15" t="n"/>
      <c r="B306" s="14" t="n"/>
      <c r="C306" s="14" t="n"/>
      <c r="D306" s="14" t="n"/>
      <c r="E306" s="15" t="n"/>
      <c r="F306" s="15" t="n"/>
      <c r="G306" s="15" t="n"/>
      <c r="H306" s="15" t="n"/>
      <c r="I306" s="15" t="n"/>
      <c r="J306" s="12" t="n"/>
      <c r="K306" s="39" t="n"/>
    </row>
    <row r="307">
      <c r="A307" s="15" t="n"/>
      <c r="B307" s="14" t="n"/>
      <c r="C307" s="14" t="n"/>
      <c r="D307" s="14" t="n"/>
      <c r="E307" s="15" t="n"/>
      <c r="F307" s="15" t="n"/>
      <c r="G307" s="15" t="n"/>
      <c r="H307" s="15" t="n"/>
      <c r="I307" s="15" t="n"/>
      <c r="J307" s="12" t="n"/>
      <c r="K307" s="39" t="n"/>
    </row>
    <row r="308">
      <c r="A308" s="15" t="n"/>
      <c r="B308" s="14" t="n"/>
      <c r="C308" s="14" t="n"/>
      <c r="D308" s="14" t="n"/>
      <c r="E308" s="15" t="n"/>
      <c r="F308" s="15" t="n"/>
      <c r="G308" s="15" t="n"/>
      <c r="H308" s="15" t="n"/>
      <c r="I308" s="15" t="n"/>
      <c r="J308" s="12" t="n"/>
      <c r="K308" s="39" t="n"/>
    </row>
    <row r="309">
      <c r="A309" s="15" t="n"/>
      <c r="B309" s="14" t="n"/>
      <c r="C309" s="14" t="n"/>
      <c r="D309" s="14" t="n"/>
      <c r="E309" s="15" t="n"/>
      <c r="F309" s="15" t="n"/>
      <c r="G309" s="15" t="n"/>
      <c r="H309" s="15" t="n"/>
      <c r="I309" s="15" t="n"/>
      <c r="J309" s="12" t="n"/>
      <c r="K309" s="39" t="n"/>
    </row>
    <row r="310">
      <c r="A310" s="15" t="n"/>
      <c r="B310" s="14" t="n"/>
      <c r="C310" s="14" t="n"/>
      <c r="D310" s="14" t="n"/>
      <c r="E310" s="15" t="n"/>
      <c r="F310" s="15" t="n"/>
      <c r="G310" s="15" t="n"/>
      <c r="H310" s="15" t="n"/>
      <c r="I310" s="15" t="n"/>
      <c r="J310" s="12" t="n"/>
      <c r="K310" s="39" t="n"/>
    </row>
    <row r="311">
      <c r="A311" s="15" t="n"/>
      <c r="B311" s="14" t="n"/>
      <c r="C311" s="14" t="n"/>
      <c r="D311" s="14" t="n"/>
      <c r="E311" s="15" t="n"/>
      <c r="F311" s="15" t="n"/>
      <c r="G311" s="15" t="n"/>
      <c r="H311" s="15" t="n"/>
      <c r="I311" s="15" t="n"/>
      <c r="J311" s="12" t="n"/>
      <c r="K311" s="39" t="n"/>
    </row>
    <row r="312">
      <c r="A312" s="15" t="n"/>
      <c r="B312" s="14" t="n"/>
      <c r="C312" s="14" t="n"/>
      <c r="D312" s="14" t="n"/>
      <c r="E312" s="15" t="n"/>
      <c r="F312" s="15" t="n"/>
      <c r="G312" s="15" t="n"/>
      <c r="H312" s="15" t="n"/>
      <c r="I312" s="15" t="n"/>
      <c r="J312" s="12" t="n"/>
      <c r="K312" s="39" t="n"/>
    </row>
    <row r="313">
      <c r="A313" s="15" t="n"/>
      <c r="B313" s="14" t="n"/>
      <c r="C313" s="14" t="n"/>
      <c r="D313" s="14" t="n"/>
      <c r="E313" s="15" t="n"/>
      <c r="F313" s="15" t="n"/>
      <c r="G313" s="15" t="n"/>
      <c r="H313" s="15" t="n"/>
      <c r="I313" s="15" t="n"/>
      <c r="J313" s="12" t="n"/>
      <c r="K313" s="39" t="n"/>
    </row>
    <row r="314">
      <c r="A314" s="15" t="n"/>
      <c r="B314" s="14" t="n"/>
      <c r="C314" s="14" t="n"/>
      <c r="D314" s="14" t="n"/>
      <c r="E314" s="15" t="n"/>
      <c r="F314" s="15" t="n"/>
      <c r="G314" s="15" t="n"/>
      <c r="H314" s="15" t="n"/>
      <c r="I314" s="15" t="n"/>
      <c r="J314" s="12" t="n"/>
      <c r="K314" s="39" t="n"/>
    </row>
    <row r="315">
      <c r="A315" s="15" t="n"/>
      <c r="B315" s="14" t="n"/>
      <c r="C315" s="14" t="n"/>
      <c r="D315" s="14" t="n"/>
      <c r="E315" s="15" t="n"/>
      <c r="F315" s="15" t="n"/>
      <c r="G315" s="15" t="n"/>
      <c r="H315" s="15" t="n"/>
      <c r="I315" s="15" t="n"/>
      <c r="J315" s="12" t="n"/>
      <c r="K315" s="39" t="n"/>
    </row>
    <row r="316">
      <c r="A316" s="15" t="n"/>
      <c r="B316" s="14" t="n"/>
      <c r="C316" s="14" t="n"/>
      <c r="D316" s="14" t="n"/>
      <c r="E316" s="15" t="n"/>
      <c r="F316" s="15" t="n"/>
      <c r="G316" s="15" t="n"/>
      <c r="H316" s="15" t="n"/>
      <c r="I316" s="15" t="n"/>
      <c r="J316" s="12" t="n"/>
      <c r="K316" s="39" t="n"/>
    </row>
    <row r="317">
      <c r="A317" s="15" t="n"/>
      <c r="B317" s="14" t="n"/>
      <c r="C317" s="14" t="n"/>
      <c r="D317" s="14" t="n"/>
      <c r="E317" s="15" t="n"/>
      <c r="F317" s="15" t="n"/>
      <c r="G317" s="15" t="n"/>
      <c r="H317" s="15" t="n"/>
      <c r="I317" s="15" t="n"/>
      <c r="J317" s="12" t="n"/>
      <c r="K317" s="39" t="n"/>
    </row>
    <row r="318">
      <c r="A318" s="15" t="n"/>
      <c r="B318" s="14" t="n"/>
      <c r="C318" s="14" t="n"/>
      <c r="D318" s="14" t="n"/>
      <c r="E318" s="15" t="n"/>
      <c r="F318" s="15" t="n"/>
      <c r="G318" s="15" t="n"/>
      <c r="H318" s="15" t="n"/>
      <c r="I318" s="15" t="n"/>
      <c r="J318" s="12" t="n"/>
      <c r="K318" s="39" t="n"/>
    </row>
    <row r="319">
      <c r="A319" s="15" t="n"/>
      <c r="B319" s="14" t="n"/>
      <c r="C319" s="14" t="n"/>
      <c r="D319" s="14" t="n"/>
      <c r="E319" s="15" t="n"/>
      <c r="F319" s="15" t="n"/>
      <c r="G319" s="15" t="n"/>
      <c r="H319" s="15" t="n"/>
      <c r="I319" s="15" t="n"/>
      <c r="J319" s="12" t="n"/>
      <c r="K319" s="39" t="n"/>
    </row>
    <row r="320">
      <c r="A320" s="15" t="n"/>
      <c r="B320" s="14" t="n"/>
      <c r="C320" s="14" t="n"/>
      <c r="D320" s="14" t="n"/>
      <c r="E320" s="15" t="n"/>
      <c r="F320" s="15" t="n"/>
      <c r="G320" s="15" t="n"/>
      <c r="H320" s="15" t="n"/>
      <c r="I320" s="15" t="n"/>
      <c r="J320" s="12" t="n"/>
      <c r="K320" s="39" t="n"/>
    </row>
    <row r="321">
      <c r="A321" s="15" t="n"/>
      <c r="B321" s="14" t="n"/>
      <c r="C321" s="14" t="n"/>
      <c r="D321" s="14" t="n"/>
      <c r="E321" s="15" t="n"/>
      <c r="F321" s="15" t="n"/>
      <c r="G321" s="15" t="n"/>
      <c r="H321" s="15" t="n"/>
      <c r="I321" s="15" t="n"/>
      <c r="J321" s="12" t="n"/>
      <c r="K321" s="39" t="n"/>
    </row>
    <row r="322">
      <c r="A322" s="15" t="n"/>
      <c r="B322" s="14" t="n"/>
      <c r="C322" s="14" t="n"/>
      <c r="D322" s="14" t="n"/>
      <c r="E322" s="15" t="n"/>
      <c r="F322" s="15" t="n"/>
      <c r="G322" s="15" t="n"/>
      <c r="H322" s="15" t="n"/>
      <c r="I322" s="15" t="n"/>
      <c r="J322" s="12" t="n"/>
      <c r="K322" s="39" t="n"/>
    </row>
    <row r="323">
      <c r="A323" s="15" t="n"/>
      <c r="B323" s="14" t="n"/>
      <c r="C323" s="14" t="n"/>
      <c r="D323" s="14" t="n"/>
      <c r="E323" s="15" t="n"/>
      <c r="F323" s="15" t="n"/>
      <c r="G323" s="15" t="n"/>
      <c r="H323" s="15" t="n"/>
      <c r="I323" s="15" t="n"/>
      <c r="J323" s="12" t="n"/>
      <c r="K323" s="39" t="n"/>
    </row>
    <row r="324">
      <c r="A324" s="15" t="n"/>
      <c r="B324" s="14" t="n"/>
      <c r="C324" s="14" t="n"/>
      <c r="D324" s="14" t="n"/>
      <c r="E324" s="15" t="n"/>
      <c r="F324" s="15" t="n"/>
      <c r="G324" s="15" t="n"/>
      <c r="H324" s="15" t="n"/>
      <c r="I324" s="15" t="n"/>
      <c r="J324" s="12" t="n"/>
      <c r="K324" s="39" t="n"/>
    </row>
    <row r="325">
      <c r="A325" s="15" t="n"/>
      <c r="B325" s="14" t="n"/>
      <c r="C325" s="14" t="n"/>
      <c r="D325" s="14" t="n"/>
      <c r="E325" s="15" t="n"/>
      <c r="F325" s="15" t="n"/>
      <c r="G325" s="15" t="n"/>
      <c r="H325" s="15" t="n"/>
      <c r="I325" s="15" t="n"/>
      <c r="J325" s="12" t="n"/>
      <c r="K325" s="39" t="n"/>
    </row>
    <row r="326">
      <c r="A326" s="15" t="n"/>
      <c r="B326" s="14" t="n"/>
      <c r="C326" s="14" t="n"/>
      <c r="D326" s="14" t="n"/>
      <c r="E326" s="15" t="n"/>
      <c r="F326" s="15" t="n"/>
      <c r="G326" s="15" t="n"/>
      <c r="H326" s="15" t="n"/>
      <c r="I326" s="15" t="n"/>
      <c r="J326" s="12" t="n"/>
      <c r="K326" s="39" t="n"/>
    </row>
    <row r="327">
      <c r="A327" s="15" t="n"/>
      <c r="B327" s="14" t="n"/>
      <c r="C327" s="14" t="n"/>
      <c r="D327" s="14" t="n"/>
      <c r="E327" s="15" t="n"/>
      <c r="F327" s="15" t="n"/>
      <c r="G327" s="15" t="n"/>
      <c r="H327" s="15" t="n"/>
      <c r="I327" s="15" t="n"/>
      <c r="J327" s="12" t="n"/>
      <c r="K327" s="39" t="n"/>
    </row>
    <row r="328">
      <c r="A328" s="15" t="n"/>
      <c r="B328" s="14" t="n"/>
      <c r="C328" s="14" t="n"/>
      <c r="D328" s="14" t="n"/>
      <c r="E328" s="15" t="n"/>
      <c r="F328" s="15" t="n"/>
      <c r="G328" s="15" t="n"/>
      <c r="H328" s="15" t="n"/>
      <c r="I328" s="15" t="n"/>
      <c r="J328" s="12" t="n"/>
      <c r="K328" s="39" t="n"/>
    </row>
    <row r="329">
      <c r="A329" s="15" t="n"/>
      <c r="B329" s="14" t="n"/>
      <c r="C329" s="14" t="n"/>
      <c r="D329" s="14" t="n"/>
      <c r="E329" s="15" t="n"/>
      <c r="F329" s="15" t="n"/>
      <c r="G329" s="15" t="n"/>
      <c r="H329" s="15" t="n"/>
      <c r="I329" s="15" t="n"/>
      <c r="J329" s="12" t="n"/>
      <c r="K329" s="39" t="n"/>
    </row>
    <row r="330">
      <c r="A330" s="15" t="n"/>
      <c r="B330" s="14" t="n"/>
      <c r="C330" s="14" t="n"/>
      <c r="D330" s="14" t="n"/>
      <c r="E330" s="15" t="n"/>
      <c r="F330" s="15" t="n"/>
      <c r="G330" s="15" t="n"/>
      <c r="H330" s="15" t="n"/>
      <c r="I330" s="15" t="n"/>
      <c r="J330" s="12" t="n"/>
      <c r="K330" s="39" t="n"/>
    </row>
    <row r="331">
      <c r="A331" s="15" t="n"/>
      <c r="B331" s="14" t="n"/>
      <c r="C331" s="14" t="n"/>
      <c r="D331" s="14" t="n"/>
      <c r="E331" s="15" t="n"/>
      <c r="F331" s="15" t="n"/>
      <c r="G331" s="15" t="n"/>
      <c r="H331" s="15" t="n"/>
      <c r="I331" s="15" t="n"/>
      <c r="J331" s="12" t="n"/>
      <c r="K331" s="39" t="n"/>
    </row>
    <row r="332">
      <c r="A332" s="15" t="n"/>
      <c r="B332" s="14" t="n"/>
      <c r="C332" s="14" t="n"/>
      <c r="D332" s="14" t="n"/>
      <c r="E332" s="15" t="n"/>
      <c r="F332" s="15" t="n"/>
      <c r="G332" s="15" t="n"/>
      <c r="H332" s="15" t="n"/>
      <c r="I332" s="15" t="n"/>
      <c r="J332" s="12" t="n"/>
      <c r="K332" s="39" t="n"/>
    </row>
    <row r="333">
      <c r="A333" s="15" t="n"/>
      <c r="B333" s="14" t="n"/>
      <c r="C333" s="14" t="n"/>
      <c r="D333" s="14" t="n"/>
      <c r="E333" s="15" t="n"/>
      <c r="F333" s="15" t="n"/>
      <c r="G333" s="15" t="n"/>
      <c r="H333" s="15" t="n"/>
      <c r="I333" s="15" t="n"/>
      <c r="J333" s="12" t="n"/>
      <c r="K333" s="39" t="n"/>
    </row>
    <row r="334">
      <c r="A334" s="15" t="n"/>
      <c r="B334" s="14" t="n"/>
      <c r="C334" s="14" t="n"/>
      <c r="D334" s="14" t="n"/>
      <c r="E334" s="15" t="n"/>
      <c r="F334" s="15" t="n"/>
      <c r="G334" s="15" t="n"/>
      <c r="H334" s="15" t="n"/>
      <c r="I334" s="15" t="n"/>
      <c r="J334" s="12" t="n"/>
      <c r="K334" s="39" t="n"/>
    </row>
    <row r="335">
      <c r="A335" s="15" t="n"/>
      <c r="B335" s="14" t="n"/>
      <c r="C335" s="14" t="n"/>
      <c r="D335" s="14" t="n"/>
      <c r="E335" s="15" t="n"/>
      <c r="F335" s="15" t="n"/>
      <c r="G335" s="15" t="n"/>
      <c r="H335" s="15" t="n"/>
      <c r="I335" s="15" t="n"/>
      <c r="J335" s="12" t="n"/>
      <c r="K335" s="39" t="n"/>
    </row>
    <row r="336">
      <c r="A336" s="15" t="n"/>
      <c r="B336" s="14" t="n"/>
      <c r="C336" s="14" t="n"/>
      <c r="D336" s="14" t="n"/>
      <c r="E336" s="15" t="n"/>
      <c r="F336" s="15" t="n"/>
      <c r="G336" s="15" t="n"/>
      <c r="H336" s="15" t="n"/>
      <c r="I336" s="15" t="n"/>
      <c r="J336" s="12" t="n"/>
      <c r="K336" s="39" t="n"/>
    </row>
    <row r="337">
      <c r="A337" s="15" t="n"/>
      <c r="B337" s="14" t="n"/>
      <c r="C337" s="14" t="n"/>
      <c r="D337" s="14" t="n"/>
      <c r="E337" s="15" t="n"/>
      <c r="F337" s="15" t="n"/>
      <c r="G337" s="15" t="n"/>
      <c r="H337" s="15" t="n"/>
      <c r="I337" s="15" t="n"/>
      <c r="J337" s="12" t="n"/>
      <c r="K337" s="39" t="n"/>
    </row>
    <row r="338">
      <c r="A338" s="15" t="n"/>
      <c r="B338" s="14" t="n"/>
      <c r="C338" s="14" t="n"/>
      <c r="D338" s="14" t="n"/>
      <c r="E338" s="15" t="n"/>
      <c r="F338" s="15" t="n"/>
      <c r="G338" s="15" t="n"/>
      <c r="H338" s="15" t="n"/>
      <c r="I338" s="15" t="n"/>
      <c r="J338" s="12" t="n"/>
      <c r="K338" s="39" t="n"/>
    </row>
    <row r="339">
      <c r="A339" s="15" t="n"/>
      <c r="B339" s="14" t="n"/>
      <c r="C339" s="14" t="n"/>
      <c r="D339" s="14" t="n"/>
      <c r="E339" s="15" t="n"/>
      <c r="F339" s="15" t="n"/>
      <c r="G339" s="15" t="n"/>
      <c r="H339" s="15" t="n"/>
      <c r="I339" s="15" t="n"/>
      <c r="J339" s="12" t="n"/>
      <c r="K339" s="39" t="n"/>
    </row>
    <row r="340">
      <c r="A340" s="15" t="n"/>
      <c r="B340" s="14" t="n"/>
      <c r="C340" s="14" t="n"/>
      <c r="D340" s="14" t="n"/>
      <c r="E340" s="15" t="n"/>
      <c r="F340" s="15" t="n"/>
      <c r="G340" s="15" t="n"/>
      <c r="H340" s="15" t="n"/>
      <c r="I340" s="15" t="n"/>
      <c r="J340" s="12" t="n"/>
      <c r="K340" s="39" t="n"/>
    </row>
    <row r="341">
      <c r="A341" s="15" t="n"/>
      <c r="B341" s="14" t="n"/>
      <c r="C341" s="14" t="n"/>
      <c r="D341" s="14" t="n"/>
      <c r="E341" s="15" t="n"/>
      <c r="F341" s="15" t="n"/>
      <c r="G341" s="15" t="n"/>
      <c r="H341" s="15" t="n"/>
      <c r="I341" s="15" t="n"/>
      <c r="J341" s="12" t="n"/>
      <c r="K341" s="39" t="n"/>
    </row>
    <row r="342">
      <c r="A342" s="15" t="n"/>
      <c r="B342" s="14" t="n"/>
      <c r="C342" s="14" t="n"/>
      <c r="D342" s="14" t="n"/>
      <c r="E342" s="15" t="n"/>
      <c r="F342" s="15" t="n"/>
      <c r="G342" s="15" t="n"/>
      <c r="H342" s="15" t="n"/>
      <c r="I342" s="15" t="n"/>
      <c r="J342" s="12" t="n"/>
      <c r="K342" s="39" t="n"/>
    </row>
    <row r="343">
      <c r="A343" s="15" t="n"/>
      <c r="B343" s="14" t="n"/>
      <c r="C343" s="14" t="n"/>
      <c r="D343" s="14" t="n"/>
      <c r="E343" s="15" t="n"/>
      <c r="F343" s="15" t="n"/>
      <c r="G343" s="15" t="n"/>
      <c r="H343" s="15" t="n"/>
      <c r="I343" s="15" t="n"/>
      <c r="J343" s="12" t="n"/>
      <c r="K343" s="39" t="n"/>
    </row>
    <row r="344">
      <c r="A344" s="15" t="n"/>
      <c r="B344" s="14" t="n"/>
      <c r="C344" s="14" t="n"/>
      <c r="D344" s="14" t="n"/>
      <c r="E344" s="15" t="n"/>
      <c r="F344" s="15" t="n"/>
      <c r="G344" s="15" t="n"/>
      <c r="H344" s="15" t="n"/>
      <c r="I344" s="15" t="n"/>
      <c r="J344" s="12" t="n"/>
      <c r="K344" s="39" t="n"/>
    </row>
    <row r="345">
      <c r="A345" s="15" t="n"/>
      <c r="B345" s="14" t="n"/>
      <c r="C345" s="14" t="n"/>
      <c r="D345" s="14" t="n"/>
      <c r="E345" s="15" t="n"/>
      <c r="F345" s="15" t="n"/>
      <c r="G345" s="15" t="n"/>
      <c r="H345" s="15" t="n"/>
      <c r="I345" s="15" t="n"/>
      <c r="J345" s="12" t="n"/>
      <c r="K345" s="39" t="n"/>
    </row>
    <row r="346">
      <c r="A346" s="15" t="n"/>
      <c r="B346" s="14" t="n"/>
      <c r="C346" s="14" t="n"/>
      <c r="D346" s="14" t="n"/>
      <c r="E346" s="15" t="n"/>
      <c r="F346" s="15" t="n"/>
      <c r="G346" s="15" t="n"/>
      <c r="H346" s="15" t="n"/>
      <c r="I346" s="15" t="n"/>
      <c r="J346" s="12" t="n"/>
      <c r="K346" s="39" t="n"/>
    </row>
    <row r="347">
      <c r="A347" s="15" t="n"/>
      <c r="B347" s="14" t="n"/>
      <c r="C347" s="14" t="n"/>
      <c r="D347" s="14" t="n"/>
      <c r="E347" s="15" t="n"/>
      <c r="F347" s="15" t="n"/>
      <c r="G347" s="15" t="n"/>
      <c r="H347" s="15" t="n"/>
      <c r="I347" s="15" t="n"/>
      <c r="J347" s="12" t="n"/>
      <c r="K347" s="39" t="n"/>
    </row>
    <row r="348">
      <c r="A348" s="15" t="n"/>
      <c r="B348" s="14" t="n"/>
      <c r="C348" s="14" t="n"/>
      <c r="D348" s="14" t="n"/>
      <c r="E348" s="15" t="n"/>
      <c r="F348" s="15" t="n"/>
      <c r="G348" s="15" t="n"/>
      <c r="H348" s="15" t="n"/>
      <c r="I348" s="15" t="n"/>
      <c r="J348" s="12" t="n"/>
      <c r="K348" s="39" t="n"/>
    </row>
    <row r="349">
      <c r="A349" s="15" t="n"/>
      <c r="B349" s="14" t="n"/>
      <c r="C349" s="14" t="n"/>
      <c r="D349" s="14" t="n"/>
      <c r="E349" s="15" t="n"/>
      <c r="F349" s="15" t="n"/>
      <c r="G349" s="15" t="n"/>
      <c r="H349" s="15" t="n"/>
      <c r="I349" s="15" t="n"/>
      <c r="J349" s="12" t="n"/>
      <c r="K349" s="39" t="n"/>
    </row>
    <row r="350">
      <c r="A350" s="15" t="n"/>
      <c r="B350" s="14" t="n"/>
      <c r="C350" s="14" t="n"/>
      <c r="D350" s="14" t="n"/>
      <c r="E350" s="15" t="n"/>
      <c r="F350" s="15" t="n"/>
      <c r="G350" s="15" t="n"/>
      <c r="H350" s="15" t="n"/>
      <c r="I350" s="15" t="n"/>
      <c r="J350" s="12" t="n"/>
      <c r="K350" s="39" t="n"/>
    </row>
    <row r="351">
      <c r="A351" s="15" t="n"/>
      <c r="B351" s="14" t="n"/>
      <c r="C351" s="14" t="n"/>
      <c r="D351" s="14" t="n"/>
      <c r="E351" s="15" t="n"/>
      <c r="F351" s="15" t="n"/>
      <c r="G351" s="15" t="n"/>
      <c r="H351" s="15" t="n"/>
      <c r="I351" s="15" t="n"/>
      <c r="J351" s="12" t="n"/>
      <c r="K351" s="39" t="n"/>
    </row>
    <row r="352">
      <c r="A352" s="15" t="n"/>
      <c r="B352" s="14" t="n"/>
      <c r="C352" s="14" t="n"/>
      <c r="D352" s="14" t="n"/>
      <c r="E352" s="15" t="n"/>
      <c r="F352" s="15" t="n"/>
      <c r="G352" s="15" t="n"/>
      <c r="H352" s="15" t="n"/>
      <c r="I352" s="15" t="n"/>
      <c r="J352" s="12" t="n"/>
      <c r="K352" s="39" t="n"/>
    </row>
    <row r="353">
      <c r="A353" s="15" t="n"/>
      <c r="B353" s="14" t="n"/>
      <c r="C353" s="14" t="n"/>
      <c r="D353" s="14" t="n"/>
      <c r="E353" s="15" t="n"/>
      <c r="F353" s="15" t="n"/>
      <c r="G353" s="15" t="n"/>
      <c r="H353" s="15" t="n"/>
      <c r="I353" s="15" t="n"/>
      <c r="J353" s="12" t="n"/>
      <c r="K353" s="39" t="n"/>
    </row>
    <row r="354">
      <c r="A354" s="15" t="n"/>
      <c r="B354" s="14" t="n"/>
      <c r="C354" s="14" t="n"/>
      <c r="D354" s="14" t="n"/>
      <c r="E354" s="15" t="n"/>
      <c r="F354" s="15" t="n"/>
      <c r="G354" s="15" t="n"/>
      <c r="H354" s="15" t="n"/>
      <c r="I354" s="15" t="n"/>
      <c r="J354" s="12" t="n"/>
      <c r="K354" s="39" t="n"/>
    </row>
    <row r="355">
      <c r="A355" s="15" t="n"/>
      <c r="B355" s="14" t="n"/>
      <c r="C355" s="14" t="n"/>
      <c r="D355" s="14" t="n"/>
      <c r="E355" s="15" t="n"/>
      <c r="F355" s="15" t="n"/>
      <c r="G355" s="15" t="n"/>
      <c r="H355" s="15" t="n"/>
      <c r="I355" s="15" t="n"/>
      <c r="J355" s="12" t="n"/>
      <c r="K355" s="39" t="n"/>
    </row>
    <row r="356">
      <c r="A356" s="15" t="n"/>
      <c r="B356" s="14" t="n"/>
      <c r="C356" s="14" t="n"/>
      <c r="D356" s="14" t="n"/>
      <c r="E356" s="15" t="n"/>
      <c r="F356" s="15" t="n"/>
      <c r="G356" s="15" t="n"/>
      <c r="H356" s="15" t="n"/>
      <c r="I356" s="15" t="n"/>
      <c r="J356" s="12" t="n"/>
      <c r="K356" s="39" t="n"/>
    </row>
    <row r="357">
      <c r="A357" s="15" t="n"/>
      <c r="B357" s="14" t="n"/>
      <c r="C357" s="14" t="n"/>
      <c r="D357" s="14" t="n"/>
      <c r="E357" s="15" t="n"/>
      <c r="F357" s="15" t="n"/>
      <c r="G357" s="15" t="n"/>
      <c r="H357" s="15" t="n"/>
      <c r="I357" s="15" t="n"/>
      <c r="J357" s="12" t="n"/>
      <c r="K357" s="39" t="n"/>
    </row>
    <row r="358">
      <c r="A358" s="15" t="n"/>
      <c r="B358" s="14" t="n"/>
      <c r="C358" s="14" t="n"/>
      <c r="D358" s="14" t="n"/>
      <c r="E358" s="15" t="n"/>
      <c r="F358" s="15" t="n"/>
      <c r="G358" s="15" t="n"/>
      <c r="H358" s="15" t="n"/>
      <c r="I358" s="15" t="n"/>
      <c r="J358" s="12" t="n"/>
      <c r="K358" s="39" t="n"/>
    </row>
    <row r="359">
      <c r="A359" s="15" t="n"/>
      <c r="B359" s="14" t="n"/>
      <c r="C359" s="14" t="n"/>
      <c r="D359" s="14" t="n"/>
      <c r="E359" s="15" t="n"/>
      <c r="F359" s="15" t="n"/>
      <c r="G359" s="15" t="n"/>
      <c r="H359" s="15" t="n"/>
      <c r="I359" s="15" t="n"/>
      <c r="J359" s="12" t="n"/>
      <c r="K359" s="39" t="n"/>
    </row>
    <row r="360">
      <c r="A360" s="15" t="n"/>
      <c r="B360" s="14" t="n"/>
      <c r="C360" s="14" t="n"/>
      <c r="D360" s="14" t="n"/>
      <c r="E360" s="15" t="n"/>
      <c r="F360" s="15" t="n"/>
      <c r="G360" s="15" t="n"/>
      <c r="H360" s="15" t="n"/>
      <c r="I360" s="15" t="n"/>
      <c r="J360" s="12" t="n"/>
      <c r="K360" s="39" t="n"/>
    </row>
    <row r="361">
      <c r="A361" s="15" t="n"/>
      <c r="B361" s="14" t="n"/>
      <c r="C361" s="14" t="n"/>
      <c r="D361" s="14" t="n"/>
      <c r="E361" s="15" t="n"/>
      <c r="F361" s="15" t="n"/>
      <c r="G361" s="15" t="n"/>
      <c r="H361" s="15" t="n"/>
      <c r="I361" s="15" t="n"/>
      <c r="J361" s="12" t="n"/>
      <c r="K361" s="39" t="n"/>
    </row>
    <row r="362">
      <c r="A362" s="15" t="n"/>
      <c r="B362" s="14" t="n"/>
      <c r="C362" s="14" t="n"/>
      <c r="D362" s="14" t="n"/>
      <c r="E362" s="15" t="n"/>
      <c r="F362" s="15" t="n"/>
      <c r="G362" s="15" t="n"/>
      <c r="H362" s="15" t="n"/>
      <c r="I362" s="15" t="n"/>
      <c r="J362" s="12" t="n"/>
      <c r="K362" s="39" t="n"/>
    </row>
    <row r="363">
      <c r="A363" s="15" t="n"/>
      <c r="B363" s="14" t="n"/>
      <c r="C363" s="14" t="n"/>
      <c r="D363" s="14" t="n"/>
      <c r="E363" s="15" t="n"/>
      <c r="F363" s="15" t="n"/>
      <c r="G363" s="15" t="n"/>
      <c r="H363" s="15" t="n"/>
      <c r="I363" s="15" t="n"/>
      <c r="J363" s="12" t="n"/>
      <c r="K363" s="39" t="n"/>
    </row>
    <row r="364">
      <c r="A364" s="15" t="n"/>
      <c r="B364" s="14" t="n"/>
      <c r="C364" s="14" t="n"/>
      <c r="D364" s="14" t="n"/>
      <c r="E364" s="15" t="n"/>
      <c r="F364" s="15" t="n"/>
      <c r="G364" s="15" t="n"/>
      <c r="H364" s="15" t="n"/>
      <c r="I364" s="15" t="n"/>
      <c r="J364" s="12" t="n"/>
      <c r="K364" s="39" t="n"/>
    </row>
    <row r="365">
      <c r="A365" s="15" t="n"/>
      <c r="B365" s="14" t="n"/>
      <c r="C365" s="14" t="n"/>
      <c r="D365" s="14" t="n"/>
      <c r="E365" s="15" t="n"/>
      <c r="F365" s="15" t="n"/>
      <c r="G365" s="15" t="n"/>
      <c r="H365" s="15" t="n"/>
      <c r="I365" s="15" t="n"/>
      <c r="J365" s="12" t="n"/>
      <c r="K365" s="39" t="n"/>
    </row>
    <row r="366">
      <c r="A366" s="15" t="n"/>
      <c r="B366" s="14" t="n"/>
      <c r="C366" s="14" t="n"/>
      <c r="D366" s="14" t="n"/>
      <c r="E366" s="15" t="n"/>
      <c r="F366" s="15" t="n"/>
      <c r="G366" s="15" t="n"/>
      <c r="H366" s="15" t="n"/>
      <c r="I366" s="15" t="n"/>
      <c r="J366" s="12" t="n"/>
      <c r="K366" s="39" t="n"/>
    </row>
    <row r="367">
      <c r="A367" s="15" t="n"/>
      <c r="B367" s="14" t="n"/>
      <c r="C367" s="14" t="n"/>
      <c r="D367" s="14" t="n"/>
      <c r="E367" s="15" t="n"/>
      <c r="F367" s="15" t="n"/>
      <c r="G367" s="15" t="n"/>
      <c r="H367" s="15" t="n"/>
      <c r="I367" s="15" t="n"/>
      <c r="J367" s="12" t="n"/>
      <c r="K367" s="39" t="n"/>
    </row>
    <row r="368">
      <c r="A368" s="15" t="n"/>
      <c r="B368" s="14" t="n"/>
      <c r="C368" s="14" t="n"/>
      <c r="D368" s="14" t="n"/>
      <c r="E368" s="15" t="n"/>
      <c r="F368" s="15" t="n"/>
      <c r="G368" s="15" t="n"/>
      <c r="H368" s="15" t="n"/>
      <c r="I368" s="15" t="n"/>
      <c r="J368" s="12" t="n"/>
      <c r="K368" s="39" t="n"/>
    </row>
    <row r="369">
      <c r="A369" s="15" t="n"/>
      <c r="B369" s="14" t="n"/>
      <c r="C369" s="14" t="n"/>
      <c r="D369" s="14" t="n"/>
      <c r="E369" s="15" t="n"/>
      <c r="F369" s="15" t="n"/>
      <c r="G369" s="15" t="n"/>
      <c r="H369" s="15" t="n"/>
      <c r="I369" s="15" t="n"/>
      <c r="J369" s="12" t="n"/>
      <c r="K369" s="39" t="n"/>
    </row>
    <row r="370">
      <c r="A370" s="15" t="n"/>
      <c r="B370" s="14" t="n"/>
      <c r="C370" s="14" t="n"/>
      <c r="D370" s="14" t="n"/>
      <c r="E370" s="15" t="n"/>
      <c r="F370" s="15" t="n"/>
      <c r="G370" s="15" t="n"/>
      <c r="H370" s="15" t="n"/>
      <c r="I370" s="15" t="n"/>
      <c r="J370" s="12" t="n"/>
      <c r="K370" s="39" t="n"/>
    </row>
    <row r="371">
      <c r="A371" s="15" t="n"/>
      <c r="B371" s="14" t="n"/>
      <c r="C371" s="14" t="n"/>
      <c r="D371" s="14" t="n"/>
      <c r="E371" s="15" t="n"/>
      <c r="F371" s="15" t="n"/>
      <c r="G371" s="15" t="n"/>
      <c r="H371" s="15" t="n"/>
      <c r="I371" s="15" t="n"/>
      <c r="J371" s="12" t="n"/>
      <c r="K371" s="39" t="n"/>
    </row>
    <row r="372">
      <c r="A372" s="15" t="n"/>
      <c r="B372" s="14" t="n"/>
      <c r="C372" s="14" t="n"/>
      <c r="D372" s="14" t="n"/>
      <c r="E372" s="15" t="n"/>
      <c r="F372" s="15" t="n"/>
      <c r="G372" s="15" t="n"/>
      <c r="H372" s="15" t="n"/>
      <c r="I372" s="15" t="n"/>
      <c r="J372" s="12" t="n"/>
      <c r="K372" s="39" t="n"/>
    </row>
    <row r="373">
      <c r="A373" s="15" t="n"/>
      <c r="B373" s="14" t="n"/>
      <c r="C373" s="14" t="n"/>
      <c r="D373" s="14" t="n"/>
      <c r="E373" s="15" t="n"/>
      <c r="F373" s="15" t="n"/>
      <c r="G373" s="15" t="n"/>
      <c r="H373" s="15" t="n"/>
      <c r="I373" s="15" t="n"/>
      <c r="J373" s="12" t="n"/>
      <c r="K373" s="39" t="n"/>
    </row>
    <row r="374">
      <c r="A374" s="15" t="n"/>
      <c r="B374" s="14" t="n"/>
      <c r="C374" s="14" t="n"/>
      <c r="D374" s="14" t="n"/>
      <c r="E374" s="15" t="n"/>
      <c r="F374" s="15" t="n"/>
      <c r="G374" s="15" t="n"/>
      <c r="H374" s="15" t="n"/>
      <c r="I374" s="15" t="n"/>
      <c r="J374" s="12" t="n"/>
      <c r="K374" s="39" t="n"/>
    </row>
    <row r="375">
      <c r="A375" s="15" t="n"/>
      <c r="B375" s="14" t="n"/>
      <c r="C375" s="14" t="n"/>
      <c r="D375" s="14" t="n"/>
      <c r="E375" s="15" t="n"/>
      <c r="F375" s="15" t="n"/>
      <c r="G375" s="15" t="n"/>
      <c r="H375" s="15" t="n"/>
      <c r="I375" s="15" t="n"/>
      <c r="J375" s="12" t="n"/>
      <c r="K375" s="39" t="n"/>
    </row>
    <row r="376">
      <c r="A376" s="15" t="n"/>
      <c r="B376" s="14" t="n"/>
      <c r="C376" s="14" t="n"/>
      <c r="D376" s="14" t="n"/>
      <c r="E376" s="15" t="n"/>
      <c r="F376" s="15" t="n"/>
      <c r="G376" s="15" t="n"/>
      <c r="H376" s="15" t="n"/>
      <c r="I376" s="15" t="n"/>
      <c r="J376" s="12" t="n"/>
      <c r="K376" s="39" t="n"/>
    </row>
    <row r="377">
      <c r="A377" s="15" t="n"/>
      <c r="B377" s="14" t="n"/>
      <c r="C377" s="14" t="n"/>
      <c r="D377" s="14" t="n"/>
      <c r="E377" s="15" t="n"/>
      <c r="F377" s="15" t="n"/>
      <c r="G377" s="15" t="n"/>
      <c r="H377" s="15" t="n"/>
      <c r="I377" s="15" t="n"/>
      <c r="J377" s="12" t="n"/>
      <c r="K377" s="39" t="n"/>
    </row>
    <row r="378">
      <c r="A378" s="15" t="n"/>
      <c r="B378" s="14" t="n"/>
      <c r="C378" s="14" t="n"/>
      <c r="D378" s="14" t="n"/>
      <c r="E378" s="15" t="n"/>
      <c r="F378" s="15" t="n"/>
      <c r="G378" s="15" t="n"/>
      <c r="H378" s="15" t="n"/>
      <c r="I378" s="15" t="n"/>
      <c r="J378" s="12" t="n"/>
      <c r="K378" s="39" t="n"/>
    </row>
    <row r="379">
      <c r="A379" s="15" t="n"/>
      <c r="B379" s="14" t="n"/>
      <c r="C379" s="14" t="n"/>
      <c r="D379" s="14" t="n"/>
      <c r="E379" s="15" t="n"/>
      <c r="F379" s="15" t="n"/>
      <c r="G379" s="15" t="n"/>
      <c r="H379" s="15" t="n"/>
      <c r="I379" s="15" t="n"/>
      <c r="J379" s="12" t="n"/>
      <c r="K379" s="39" t="n"/>
    </row>
    <row r="380">
      <c r="A380" s="15" t="n"/>
      <c r="B380" s="14" t="n"/>
      <c r="C380" s="14" t="n"/>
      <c r="D380" s="14" t="n"/>
      <c r="E380" s="15" t="n"/>
      <c r="F380" s="15" t="n"/>
      <c r="G380" s="15" t="n"/>
      <c r="H380" s="15" t="n"/>
      <c r="I380" s="15" t="n"/>
      <c r="J380" s="12" t="n"/>
      <c r="K380" s="39" t="n"/>
    </row>
    <row r="381">
      <c r="A381" s="15" t="n"/>
      <c r="B381" s="14" t="n"/>
      <c r="C381" s="14" t="n"/>
      <c r="D381" s="14" t="n"/>
      <c r="E381" s="15" t="n"/>
      <c r="F381" s="15" t="n"/>
      <c r="G381" s="15" t="n"/>
      <c r="H381" s="15" t="n"/>
      <c r="I381" s="15" t="n"/>
      <c r="J381" s="12" t="n"/>
      <c r="K381" s="39" t="n"/>
    </row>
    <row r="382">
      <c r="A382" s="15" t="n"/>
      <c r="B382" s="14" t="n"/>
      <c r="C382" s="14" t="n"/>
      <c r="D382" s="14" t="n"/>
      <c r="E382" s="15" t="n"/>
      <c r="F382" s="15" t="n"/>
      <c r="G382" s="15" t="n"/>
      <c r="H382" s="15" t="n"/>
      <c r="I382" s="15" t="n"/>
      <c r="J382" s="12" t="n"/>
      <c r="K382" s="39" t="n"/>
    </row>
    <row r="383">
      <c r="A383" s="15" t="n"/>
      <c r="B383" s="14" t="n"/>
      <c r="C383" s="14" t="n"/>
      <c r="D383" s="14" t="n"/>
      <c r="E383" s="15" t="n"/>
      <c r="F383" s="15" t="n"/>
      <c r="G383" s="15" t="n"/>
      <c r="H383" s="15" t="n"/>
      <c r="I383" s="15" t="n"/>
      <c r="J383" s="12" t="n"/>
      <c r="K383" s="39" t="n"/>
    </row>
    <row r="384">
      <c r="A384" s="15" t="n"/>
      <c r="B384" s="14" t="n"/>
      <c r="C384" s="14" t="n"/>
      <c r="D384" s="14" t="n"/>
      <c r="E384" s="15" t="n"/>
      <c r="F384" s="15" t="n"/>
      <c r="G384" s="15" t="n"/>
      <c r="H384" s="15" t="n"/>
      <c r="I384" s="15" t="n"/>
      <c r="J384" s="12" t="n"/>
      <c r="K384" s="39" t="n"/>
    </row>
    <row r="385">
      <c r="A385" s="15" t="n"/>
      <c r="B385" s="14" t="n"/>
      <c r="C385" s="14" t="n"/>
      <c r="D385" s="14" t="n"/>
      <c r="E385" s="15" t="n"/>
      <c r="F385" s="15" t="n"/>
      <c r="G385" s="15" t="n"/>
      <c r="H385" s="15" t="n"/>
      <c r="I385" s="15" t="n"/>
      <c r="J385" s="12" t="n"/>
      <c r="K385" s="39" t="n"/>
    </row>
    <row r="386">
      <c r="A386" s="15" t="n"/>
      <c r="B386" s="14" t="n"/>
      <c r="C386" s="14" t="n"/>
      <c r="D386" s="14" t="n"/>
      <c r="E386" s="15" t="n"/>
      <c r="F386" s="15" t="n"/>
      <c r="G386" s="15" t="n"/>
      <c r="H386" s="15" t="n"/>
      <c r="I386" s="15" t="n"/>
      <c r="J386" s="12" t="n"/>
      <c r="K386" s="39" t="n"/>
    </row>
    <row r="387">
      <c r="A387" s="15" t="n"/>
      <c r="B387" s="14" t="n"/>
      <c r="C387" s="14" t="n"/>
      <c r="D387" s="14" t="n"/>
      <c r="E387" s="15" t="n"/>
      <c r="F387" s="15" t="n"/>
      <c r="G387" s="15" t="n"/>
      <c r="H387" s="15" t="n"/>
      <c r="I387" s="15" t="n"/>
      <c r="J387" s="12" t="n"/>
      <c r="K387" s="39" t="n"/>
    </row>
    <row r="388">
      <c r="A388" s="15" t="n"/>
      <c r="B388" s="14" t="n"/>
      <c r="C388" s="14" t="n"/>
      <c r="D388" s="14" t="n"/>
      <c r="E388" s="15" t="n"/>
      <c r="F388" s="15" t="n"/>
      <c r="G388" s="15" t="n"/>
      <c r="H388" s="15" t="n"/>
      <c r="I388" s="15" t="n"/>
      <c r="J388" s="12" t="n"/>
      <c r="K388" s="39" t="n"/>
    </row>
    <row r="389">
      <c r="A389" s="15" t="n"/>
      <c r="B389" s="14" t="n"/>
      <c r="C389" s="14" t="n"/>
      <c r="D389" s="14" t="n"/>
      <c r="E389" s="15" t="n"/>
      <c r="F389" s="15" t="n"/>
      <c r="G389" s="15" t="n"/>
      <c r="H389" s="15" t="n"/>
      <c r="I389" s="15" t="n"/>
      <c r="J389" s="12" t="n"/>
      <c r="K389" s="39" t="n"/>
    </row>
    <row r="390">
      <c r="A390" s="15" t="n"/>
      <c r="B390" s="14" t="n"/>
      <c r="C390" s="14" t="n"/>
      <c r="D390" s="14" t="n"/>
      <c r="E390" s="15" t="n"/>
      <c r="F390" s="15" t="n"/>
      <c r="G390" s="15" t="n"/>
      <c r="H390" s="15" t="n"/>
      <c r="I390" s="15" t="n"/>
      <c r="J390" s="12" t="n"/>
      <c r="K390" s="39" t="n"/>
    </row>
    <row r="391">
      <c r="A391" s="15" t="n"/>
      <c r="B391" s="14" t="n"/>
      <c r="C391" s="14" t="n"/>
      <c r="D391" s="14" t="n"/>
      <c r="E391" s="15" t="n"/>
      <c r="F391" s="15" t="n"/>
      <c r="G391" s="15" t="n"/>
      <c r="H391" s="15" t="n"/>
      <c r="I391" s="15" t="n"/>
      <c r="J391" s="12" t="n"/>
      <c r="K391" s="39" t="n"/>
    </row>
    <row r="392">
      <c r="A392" s="15" t="n"/>
      <c r="B392" s="14" t="n"/>
      <c r="C392" s="14" t="n"/>
      <c r="D392" s="14" t="n"/>
      <c r="E392" s="15" t="n"/>
      <c r="F392" s="15" t="n"/>
      <c r="G392" s="15" t="n"/>
      <c r="H392" s="15" t="n"/>
      <c r="I392" s="15" t="n"/>
      <c r="J392" s="12" t="n"/>
      <c r="K392" s="39" t="n"/>
    </row>
    <row r="393">
      <c r="A393" s="15" t="n"/>
      <c r="B393" s="14" t="n"/>
      <c r="C393" s="14" t="n"/>
      <c r="D393" s="14" t="n"/>
      <c r="E393" s="15" t="n"/>
      <c r="F393" s="15" t="n"/>
      <c r="G393" s="15" t="n"/>
      <c r="H393" s="15" t="n"/>
      <c r="I393" s="15" t="n"/>
      <c r="J393" s="12" t="n"/>
      <c r="K393" s="39" t="n"/>
    </row>
    <row r="394">
      <c r="A394" s="15" t="n"/>
      <c r="B394" s="14" t="n"/>
      <c r="C394" s="14" t="n"/>
      <c r="D394" s="14" t="n"/>
      <c r="E394" s="15" t="n"/>
      <c r="F394" s="15" t="n"/>
      <c r="G394" s="15" t="n"/>
      <c r="H394" s="15" t="n"/>
      <c r="I394" s="15" t="n"/>
      <c r="J394" s="12" t="n"/>
      <c r="K394" s="39" t="n"/>
    </row>
    <row r="395">
      <c r="A395" s="15" t="n"/>
      <c r="B395" s="14" t="n"/>
      <c r="C395" s="14" t="n"/>
      <c r="D395" s="14" t="n"/>
      <c r="E395" s="15" t="n"/>
      <c r="F395" s="15" t="n"/>
      <c r="G395" s="15" t="n"/>
      <c r="H395" s="15" t="n"/>
      <c r="I395" s="15" t="n"/>
      <c r="J395" s="12" t="n"/>
      <c r="K395" s="39" t="n"/>
    </row>
    <row r="396">
      <c r="A396" s="15" t="n"/>
      <c r="B396" s="14" t="n"/>
      <c r="C396" s="14" t="n"/>
      <c r="D396" s="14" t="n"/>
      <c r="E396" s="15" t="n"/>
      <c r="F396" s="15" t="n"/>
      <c r="G396" s="15" t="n"/>
      <c r="H396" s="15" t="n"/>
      <c r="I396" s="15" t="n"/>
      <c r="J396" s="12" t="n"/>
      <c r="K396" s="39" t="n"/>
    </row>
    <row r="397">
      <c r="A397" s="15" t="n"/>
      <c r="B397" s="14" t="n"/>
      <c r="C397" s="14" t="n"/>
      <c r="D397" s="14" t="n"/>
      <c r="E397" s="15" t="n"/>
      <c r="F397" s="15" t="n"/>
      <c r="G397" s="15" t="n"/>
      <c r="H397" s="15" t="n"/>
      <c r="I397" s="15" t="n"/>
      <c r="J397" s="12" t="n"/>
      <c r="K397" s="39" t="n"/>
    </row>
    <row r="398">
      <c r="A398" s="15" t="n"/>
      <c r="B398" s="14" t="n"/>
      <c r="C398" s="14" t="n"/>
      <c r="D398" s="14" t="n"/>
      <c r="E398" s="15" t="n"/>
      <c r="F398" s="15" t="n"/>
      <c r="G398" s="15" t="n"/>
      <c r="H398" s="15" t="n"/>
      <c r="I398" s="15" t="n"/>
      <c r="J398" s="12" t="n"/>
      <c r="K398" s="39" t="n"/>
    </row>
    <row r="399">
      <c r="A399" s="15" t="n"/>
      <c r="B399" s="14" t="n"/>
      <c r="C399" s="14" t="n"/>
      <c r="D399" s="14" t="n"/>
      <c r="E399" s="15" t="n"/>
      <c r="F399" s="15" t="n"/>
      <c r="G399" s="15" t="n"/>
      <c r="H399" s="15" t="n"/>
      <c r="I399" s="15" t="n"/>
      <c r="J399" s="12" t="n"/>
      <c r="K399" s="39" t="n"/>
    </row>
    <row r="400">
      <c r="A400" s="15" t="n"/>
      <c r="B400" s="14" t="n"/>
      <c r="C400" s="14" t="n"/>
      <c r="D400" s="14" t="n"/>
      <c r="E400" s="15" t="n"/>
      <c r="F400" s="15" t="n"/>
      <c r="G400" s="15" t="n"/>
      <c r="H400" s="15" t="n"/>
      <c r="I400" s="15" t="n"/>
      <c r="J400" s="12" t="n"/>
      <c r="K400" s="39" t="n"/>
    </row>
    <row r="401">
      <c r="A401" s="15" t="n"/>
      <c r="B401" s="14" t="n"/>
      <c r="C401" s="14" t="n"/>
      <c r="D401" s="14" t="n"/>
      <c r="E401" s="15" t="n"/>
      <c r="F401" s="15" t="n"/>
      <c r="G401" s="15" t="n"/>
      <c r="H401" s="15" t="n"/>
      <c r="I401" s="15" t="n"/>
      <c r="J401" s="12" t="n"/>
      <c r="K401" s="39" t="n"/>
    </row>
    <row r="402">
      <c r="A402" s="15" t="n"/>
      <c r="B402" s="14" t="n"/>
      <c r="C402" s="14" t="n"/>
      <c r="D402" s="14" t="n"/>
      <c r="E402" s="15" t="n"/>
      <c r="F402" s="15" t="n"/>
      <c r="G402" s="15" t="n"/>
      <c r="H402" s="15" t="n"/>
      <c r="I402" s="15" t="n"/>
      <c r="J402" s="12" t="n"/>
      <c r="K402" s="39" t="n"/>
    </row>
    <row r="403">
      <c r="A403" s="15" t="n"/>
      <c r="B403" s="14" t="n"/>
      <c r="C403" s="14" t="n"/>
      <c r="D403" s="14" t="n"/>
      <c r="E403" s="15" t="n"/>
      <c r="F403" s="15" t="n"/>
      <c r="G403" s="15" t="n"/>
      <c r="H403" s="15" t="n"/>
      <c r="I403" s="15" t="n"/>
      <c r="J403" s="12" t="n"/>
      <c r="K403" s="39" t="n"/>
    </row>
    <row r="404">
      <c r="A404" s="15" t="n"/>
      <c r="B404" s="14" t="n"/>
      <c r="C404" s="14" t="n"/>
      <c r="D404" s="14" t="n"/>
      <c r="E404" s="15" t="n"/>
      <c r="F404" s="15" t="n"/>
      <c r="G404" s="15" t="n"/>
      <c r="H404" s="15" t="n"/>
      <c r="I404" s="15" t="n"/>
      <c r="J404" s="12" t="n"/>
      <c r="K404" s="39" t="n"/>
    </row>
    <row r="405">
      <c r="A405" s="15" t="n"/>
      <c r="B405" s="14" t="n"/>
      <c r="C405" s="14" t="n"/>
      <c r="D405" s="14" t="n"/>
      <c r="E405" s="15" t="n"/>
      <c r="F405" s="15" t="n"/>
      <c r="G405" s="15" t="n"/>
      <c r="H405" s="15" t="n"/>
      <c r="I405" s="15" t="n"/>
      <c r="J405" s="12" t="n"/>
      <c r="K405" s="39" t="n"/>
    </row>
    <row r="406">
      <c r="A406" s="15" t="n"/>
      <c r="B406" s="14" t="n"/>
      <c r="C406" s="14" t="n"/>
      <c r="D406" s="14" t="n"/>
      <c r="E406" s="15" t="n"/>
      <c r="F406" s="15" t="n"/>
      <c r="G406" s="15" t="n"/>
      <c r="H406" s="15" t="n"/>
      <c r="I406" s="15" t="n"/>
      <c r="J406" s="12" t="n"/>
      <c r="K406" s="39" t="n"/>
    </row>
    <row r="407">
      <c r="A407" s="15" t="n"/>
      <c r="B407" s="14" t="n"/>
      <c r="C407" s="14" t="n"/>
      <c r="D407" s="14" t="n"/>
      <c r="E407" s="15" t="n"/>
      <c r="F407" s="15" t="n"/>
      <c r="G407" s="15" t="n"/>
      <c r="H407" s="15" t="n"/>
      <c r="I407" s="15" t="n"/>
      <c r="J407" s="12" t="n"/>
      <c r="K407" s="39" t="n"/>
    </row>
    <row r="408">
      <c r="A408" s="15" t="n"/>
      <c r="B408" s="14" t="n"/>
      <c r="C408" s="14" t="n"/>
      <c r="D408" s="14" t="n"/>
      <c r="E408" s="15" t="n"/>
      <c r="F408" s="15" t="n"/>
      <c r="G408" s="15" t="n"/>
      <c r="H408" s="15" t="n"/>
      <c r="I408" s="15" t="n"/>
      <c r="J408" s="12" t="n"/>
      <c r="K408" s="39" t="n"/>
    </row>
    <row r="409">
      <c r="A409" s="15" t="n"/>
      <c r="B409" s="14" t="n"/>
      <c r="C409" s="14" t="n"/>
      <c r="D409" s="14" t="n"/>
      <c r="E409" s="15" t="n"/>
      <c r="F409" s="15" t="n"/>
      <c r="G409" s="15" t="n"/>
      <c r="H409" s="15" t="n"/>
      <c r="I409" s="15" t="n"/>
      <c r="J409" s="12" t="n"/>
      <c r="K409" s="39" t="n"/>
    </row>
    <row r="410">
      <c r="A410" s="15" t="n"/>
      <c r="B410" s="14" t="n"/>
      <c r="C410" s="14" t="n"/>
      <c r="D410" s="14" t="n"/>
      <c r="E410" s="15" t="n"/>
      <c r="F410" s="15" t="n"/>
      <c r="G410" s="15" t="n"/>
      <c r="H410" s="15" t="n"/>
      <c r="I410" s="15" t="n"/>
      <c r="J410" s="12" t="n"/>
      <c r="K410" s="39" t="n"/>
    </row>
    <row r="411">
      <c r="A411" s="15" t="n"/>
      <c r="B411" s="14" t="n"/>
      <c r="C411" s="14" t="n"/>
      <c r="D411" s="14" t="n"/>
      <c r="E411" s="15" t="n"/>
      <c r="F411" s="15" t="n"/>
      <c r="G411" s="15" t="n"/>
      <c r="H411" s="15" t="n"/>
      <c r="I411" s="15" t="n"/>
      <c r="J411" s="12" t="n"/>
      <c r="K411" s="39" t="n"/>
    </row>
    <row r="412">
      <c r="A412" s="15" t="n"/>
      <c r="B412" s="14" t="n"/>
      <c r="C412" s="14" t="n"/>
      <c r="D412" s="14" t="n"/>
      <c r="E412" s="15" t="n"/>
      <c r="F412" s="15" t="n"/>
      <c r="G412" s="15" t="n"/>
      <c r="H412" s="15" t="n"/>
      <c r="I412" s="15" t="n"/>
      <c r="J412" s="12" t="n"/>
      <c r="K412" s="39" t="n"/>
    </row>
    <row r="413">
      <c r="A413" s="15" t="n"/>
      <c r="B413" s="14" t="n"/>
      <c r="C413" s="14" t="n"/>
      <c r="D413" s="14" t="n"/>
      <c r="E413" s="15" t="n"/>
      <c r="F413" s="15" t="n"/>
      <c r="G413" s="15" t="n"/>
      <c r="H413" s="15" t="n"/>
      <c r="I413" s="15" t="n"/>
      <c r="J413" s="12" t="n"/>
      <c r="K413" s="39" t="n"/>
    </row>
    <row r="414">
      <c r="A414" s="15" t="n"/>
      <c r="B414" s="14" t="n"/>
      <c r="C414" s="14" t="n"/>
      <c r="D414" s="14" t="n"/>
      <c r="E414" s="15" t="n"/>
      <c r="F414" s="15" t="n"/>
      <c r="G414" s="15" t="n"/>
      <c r="H414" s="15" t="n"/>
      <c r="I414" s="15" t="n"/>
      <c r="J414" s="12" t="n"/>
      <c r="K414" s="39" t="n"/>
    </row>
    <row r="415">
      <c r="A415" s="15" t="n"/>
      <c r="B415" s="14" t="n"/>
      <c r="C415" s="14" t="n"/>
      <c r="D415" s="14" t="n"/>
      <c r="E415" s="15" t="n"/>
      <c r="F415" s="15" t="n"/>
      <c r="G415" s="15" t="n"/>
      <c r="H415" s="15" t="n"/>
      <c r="I415" s="15" t="n"/>
      <c r="J415" s="12" t="n"/>
      <c r="K415" s="39" t="n"/>
    </row>
    <row r="416">
      <c r="A416" s="15" t="n"/>
      <c r="B416" s="14" t="n"/>
      <c r="C416" s="14" t="n"/>
      <c r="D416" s="14" t="n"/>
      <c r="E416" s="15" t="n"/>
      <c r="F416" s="15" t="n"/>
      <c r="G416" s="15" t="n"/>
      <c r="H416" s="15" t="n"/>
      <c r="I416" s="15" t="n"/>
      <c r="J416" s="12" t="n"/>
      <c r="K416" s="39" t="n"/>
    </row>
    <row r="417">
      <c r="A417" s="15" t="n"/>
      <c r="B417" s="14" t="n"/>
      <c r="C417" s="14" t="n"/>
      <c r="D417" s="14" t="n"/>
      <c r="E417" s="15" t="n"/>
      <c r="F417" s="15" t="n"/>
      <c r="G417" s="15" t="n"/>
      <c r="H417" s="15" t="n"/>
      <c r="I417" s="15" t="n"/>
      <c r="J417" s="12" t="n"/>
      <c r="K417" s="39" t="n"/>
    </row>
    <row r="418">
      <c r="A418" s="15" t="n"/>
      <c r="B418" s="14" t="n"/>
      <c r="C418" s="14" t="n"/>
      <c r="D418" s="14" t="n"/>
      <c r="E418" s="15" t="n"/>
      <c r="F418" s="15" t="n"/>
      <c r="G418" s="15" t="n"/>
      <c r="H418" s="15" t="n"/>
      <c r="I418" s="15" t="n"/>
      <c r="J418" s="12" t="n"/>
      <c r="K418" s="39" t="n"/>
    </row>
    <row r="419">
      <c r="A419" s="15" t="n"/>
      <c r="B419" s="14" t="n"/>
      <c r="C419" s="14" t="n"/>
      <c r="D419" s="14" t="n"/>
      <c r="E419" s="15" t="n"/>
      <c r="F419" s="15" t="n"/>
      <c r="G419" s="15" t="n"/>
      <c r="H419" s="15" t="n"/>
      <c r="I419" s="15" t="n"/>
      <c r="J419" s="12" t="n"/>
      <c r="K419" s="39" t="n"/>
    </row>
    <row r="420">
      <c r="A420" s="15" t="n"/>
      <c r="B420" s="14" t="n"/>
      <c r="C420" s="14" t="n"/>
      <c r="D420" s="14" t="n"/>
      <c r="E420" s="15" t="n"/>
      <c r="F420" s="15" t="n"/>
      <c r="G420" s="15" t="n"/>
      <c r="H420" s="15" t="n"/>
      <c r="I420" s="15" t="n"/>
      <c r="J420" s="12" t="n"/>
      <c r="K420" s="39" t="n"/>
    </row>
    <row r="421">
      <c r="A421" s="15" t="n"/>
      <c r="B421" s="14" t="n"/>
      <c r="C421" s="14" t="n"/>
      <c r="D421" s="14" t="n"/>
      <c r="E421" s="15" t="n"/>
      <c r="F421" s="15" t="n"/>
      <c r="G421" s="15" t="n"/>
      <c r="H421" s="15" t="n"/>
      <c r="I421" s="15" t="n"/>
      <c r="J421" s="12" t="n"/>
      <c r="K421" s="39" t="n"/>
    </row>
    <row r="422">
      <c r="A422" s="15" t="n"/>
      <c r="B422" s="14" t="n"/>
      <c r="C422" s="14" t="n"/>
      <c r="D422" s="14" t="n"/>
      <c r="E422" s="15" t="n"/>
      <c r="F422" s="15" t="n"/>
      <c r="G422" s="15" t="n"/>
      <c r="H422" s="15" t="n"/>
      <c r="I422" s="15" t="n"/>
      <c r="J422" s="12" t="n"/>
      <c r="K422" s="39" t="n"/>
    </row>
    <row r="423">
      <c r="A423" s="15" t="n"/>
      <c r="B423" s="14" t="n"/>
      <c r="C423" s="14" t="n"/>
      <c r="D423" s="14" t="n"/>
      <c r="E423" s="15" t="n"/>
      <c r="F423" s="15" t="n"/>
      <c r="G423" s="15" t="n"/>
      <c r="H423" s="15" t="n"/>
      <c r="I423" s="15" t="n"/>
      <c r="J423" s="12" t="n"/>
      <c r="K423" s="39" t="n"/>
    </row>
    <row r="424">
      <c r="A424" s="15" t="n"/>
      <c r="B424" s="14" t="n"/>
      <c r="C424" s="14" t="n"/>
      <c r="D424" s="14" t="n"/>
      <c r="E424" s="15" t="n"/>
      <c r="F424" s="15" t="n"/>
      <c r="G424" s="15" t="n"/>
      <c r="H424" s="15" t="n"/>
      <c r="I424" s="15" t="n"/>
      <c r="J424" s="12" t="n"/>
      <c r="K424" s="39" t="n"/>
    </row>
    <row r="425">
      <c r="A425" s="15" t="n"/>
      <c r="B425" s="14" t="n"/>
      <c r="C425" s="14" t="n"/>
      <c r="D425" s="14" t="n"/>
      <c r="E425" s="15" t="n"/>
      <c r="F425" s="15" t="n"/>
      <c r="G425" s="15" t="n"/>
      <c r="H425" s="15" t="n"/>
      <c r="I425" s="15" t="n"/>
      <c r="J425" s="12" t="n"/>
      <c r="K425" s="39" t="n"/>
    </row>
    <row r="426">
      <c r="A426" s="15" t="n"/>
      <c r="B426" s="14" t="n"/>
      <c r="C426" s="14" t="n"/>
      <c r="D426" s="14" t="n"/>
      <c r="E426" s="15" t="n"/>
      <c r="F426" s="15" t="n"/>
      <c r="G426" s="15" t="n"/>
      <c r="H426" s="15" t="n"/>
      <c r="I426" s="15" t="n"/>
      <c r="J426" s="12" t="n"/>
      <c r="K426" s="39" t="n"/>
    </row>
    <row r="427">
      <c r="A427" s="15" t="n"/>
      <c r="B427" s="14" t="n"/>
      <c r="C427" s="14" t="n"/>
      <c r="D427" s="14" t="n"/>
      <c r="E427" s="15" t="n"/>
      <c r="F427" s="15" t="n"/>
      <c r="G427" s="15" t="n"/>
      <c r="H427" s="15" t="n"/>
      <c r="I427" s="15" t="n"/>
      <c r="J427" s="12" t="n"/>
      <c r="K427" s="39" t="n"/>
    </row>
    <row r="428">
      <c r="A428" s="15" t="n"/>
      <c r="B428" s="14" t="n"/>
      <c r="C428" s="14" t="n"/>
      <c r="D428" s="14" t="n"/>
      <c r="E428" s="15" t="n"/>
      <c r="F428" s="15" t="n"/>
      <c r="G428" s="15" t="n"/>
      <c r="H428" s="15" t="n"/>
      <c r="I428" s="15" t="n"/>
      <c r="J428" s="12" t="n"/>
      <c r="K428" s="39" t="n"/>
    </row>
    <row r="429">
      <c r="A429" s="15" t="n"/>
      <c r="B429" s="14" t="n"/>
      <c r="C429" s="14" t="n"/>
      <c r="D429" s="14" t="n"/>
      <c r="E429" s="15" t="n"/>
      <c r="F429" s="15" t="n"/>
      <c r="G429" s="15" t="n"/>
      <c r="H429" s="15" t="n"/>
      <c r="I429" s="15" t="n"/>
      <c r="J429" s="12" t="n"/>
      <c r="K429" s="39" t="n"/>
    </row>
    <row r="430">
      <c r="A430" s="15" t="n"/>
      <c r="B430" s="14" t="n"/>
      <c r="C430" s="14" t="n"/>
      <c r="D430" s="14" t="n"/>
      <c r="E430" s="15" t="n"/>
      <c r="F430" s="15" t="n"/>
      <c r="G430" s="15" t="n"/>
      <c r="H430" s="15" t="n"/>
      <c r="I430" s="15" t="n"/>
      <c r="J430" s="12" t="n"/>
      <c r="K430" s="39" t="n"/>
    </row>
    <row r="431">
      <c r="A431" s="15" t="n"/>
      <c r="B431" s="14" t="n"/>
      <c r="C431" s="14" t="n"/>
      <c r="D431" s="14" t="n"/>
      <c r="E431" s="15" t="n"/>
      <c r="F431" s="15" t="n"/>
      <c r="G431" s="15" t="n"/>
      <c r="H431" s="15" t="n"/>
      <c r="I431" s="15" t="n"/>
      <c r="J431" s="12" t="n"/>
      <c r="K431" s="39" t="n"/>
    </row>
    <row r="432">
      <c r="A432" s="15" t="n"/>
      <c r="B432" s="14" t="n"/>
      <c r="C432" s="14" t="n"/>
      <c r="D432" s="14" t="n"/>
      <c r="E432" s="15" t="n"/>
      <c r="F432" s="15" t="n"/>
      <c r="G432" s="15" t="n"/>
      <c r="H432" s="15" t="n"/>
      <c r="I432" s="15" t="n"/>
      <c r="J432" s="12" t="n"/>
      <c r="K432" s="39" t="n"/>
    </row>
    <row r="433">
      <c r="A433" s="15" t="n"/>
      <c r="B433" s="14" t="n"/>
      <c r="C433" s="14" t="n"/>
      <c r="D433" s="14" t="n"/>
      <c r="E433" s="15" t="n"/>
      <c r="F433" s="15" t="n"/>
      <c r="G433" s="15" t="n"/>
      <c r="H433" s="15" t="n"/>
      <c r="I433" s="15" t="n"/>
      <c r="J433" s="12" t="n"/>
      <c r="K433" s="39" t="n"/>
    </row>
    <row r="434">
      <c r="A434" s="15" t="n"/>
      <c r="B434" s="14" t="n"/>
      <c r="C434" s="14" t="n"/>
      <c r="D434" s="14" t="n"/>
      <c r="E434" s="15" t="n"/>
      <c r="F434" s="15" t="n"/>
      <c r="G434" s="15" t="n"/>
      <c r="H434" s="15" t="n"/>
      <c r="I434" s="15" t="n"/>
      <c r="J434" s="12" t="n"/>
      <c r="K434" s="39" t="n"/>
    </row>
    <row r="435">
      <c r="A435" s="15" t="n"/>
      <c r="B435" s="14" t="n"/>
      <c r="C435" s="14" t="n"/>
      <c r="D435" s="14" t="n"/>
      <c r="E435" s="15" t="n"/>
      <c r="F435" s="15" t="n"/>
      <c r="G435" s="15" t="n"/>
      <c r="H435" s="15" t="n"/>
      <c r="I435" s="15" t="n"/>
      <c r="J435" s="12" t="n"/>
      <c r="K435" s="39" t="n"/>
    </row>
    <row r="436">
      <c r="A436" s="15" t="n"/>
      <c r="B436" s="14" t="n"/>
      <c r="C436" s="14" t="n"/>
      <c r="D436" s="14" t="n"/>
      <c r="E436" s="15" t="n"/>
      <c r="F436" s="15" t="n"/>
      <c r="G436" s="15" t="n"/>
      <c r="H436" s="15" t="n"/>
      <c r="I436" s="15" t="n"/>
      <c r="J436" s="12" t="n"/>
      <c r="K436" s="39" t="n"/>
    </row>
    <row r="437">
      <c r="A437" s="15" t="n"/>
      <c r="B437" s="14" t="n"/>
      <c r="C437" s="14" t="n"/>
      <c r="D437" s="14" t="n"/>
      <c r="E437" s="15" t="n"/>
      <c r="F437" s="15" t="n"/>
      <c r="G437" s="15" t="n"/>
      <c r="H437" s="15" t="n"/>
      <c r="I437" s="15" t="n"/>
      <c r="J437" s="12" t="n"/>
      <c r="K437" s="39" t="n"/>
    </row>
    <row r="438">
      <c r="A438" s="15" t="n"/>
      <c r="B438" s="14" t="n"/>
      <c r="C438" s="14" t="n"/>
      <c r="D438" s="14" t="n"/>
      <c r="E438" s="15" t="n"/>
      <c r="F438" s="15" t="n"/>
      <c r="G438" s="15" t="n"/>
      <c r="H438" s="15" t="n"/>
      <c r="I438" s="15" t="n"/>
      <c r="J438" s="12" t="n"/>
      <c r="K438" s="39" t="n"/>
    </row>
    <row r="439">
      <c r="A439" s="15" t="n"/>
      <c r="B439" s="14" t="n"/>
      <c r="C439" s="14" t="n"/>
      <c r="D439" s="14" t="n"/>
      <c r="E439" s="15" t="n"/>
      <c r="F439" s="15" t="n"/>
      <c r="G439" s="15" t="n"/>
      <c r="H439" s="15" t="n"/>
      <c r="I439" s="15" t="n"/>
      <c r="J439" s="12" t="n"/>
      <c r="K439" s="39" t="n"/>
    </row>
    <row r="440">
      <c r="A440" s="15" t="n"/>
      <c r="B440" s="14" t="n"/>
      <c r="C440" s="14" t="n"/>
      <c r="D440" s="14" t="n"/>
      <c r="E440" s="15" t="n"/>
      <c r="F440" s="15" t="n"/>
      <c r="G440" s="15" t="n"/>
      <c r="H440" s="15" t="n"/>
      <c r="I440" s="15" t="n"/>
      <c r="J440" s="12" t="n"/>
      <c r="K440" s="39" t="n"/>
    </row>
    <row r="441">
      <c r="A441" s="15" t="n"/>
      <c r="B441" s="14" t="n"/>
      <c r="C441" s="14" t="n"/>
      <c r="D441" s="14" t="n"/>
      <c r="E441" s="15" t="n"/>
      <c r="F441" s="15" t="n"/>
      <c r="G441" s="15" t="n"/>
      <c r="H441" s="15" t="n"/>
      <c r="I441" s="15" t="n"/>
      <c r="J441" s="12" t="n"/>
      <c r="K441" s="39" t="n"/>
    </row>
    <row r="442">
      <c r="A442" s="15" t="n"/>
      <c r="B442" s="14" t="n"/>
      <c r="C442" s="14" t="n"/>
      <c r="D442" s="14" t="n"/>
      <c r="E442" s="15" t="n"/>
      <c r="F442" s="15" t="n"/>
      <c r="G442" s="15" t="n"/>
      <c r="H442" s="15" t="n"/>
      <c r="I442" s="15" t="n"/>
      <c r="J442" s="12" t="n"/>
      <c r="K442" s="39" t="n"/>
    </row>
    <row r="443">
      <c r="A443" s="15" t="n"/>
      <c r="B443" s="14" t="n"/>
      <c r="C443" s="14" t="n"/>
      <c r="D443" s="14" t="n"/>
      <c r="E443" s="15" t="n"/>
      <c r="F443" s="15" t="n"/>
      <c r="G443" s="15" t="n"/>
      <c r="H443" s="15" t="n"/>
      <c r="I443" s="15" t="n"/>
      <c r="J443" s="12" t="n"/>
      <c r="K443" s="39" t="n"/>
    </row>
    <row r="444">
      <c r="A444" s="15" t="n"/>
      <c r="B444" s="14" t="n"/>
      <c r="C444" s="14" t="n"/>
      <c r="D444" s="14" t="n"/>
      <c r="E444" s="15" t="n"/>
      <c r="F444" s="15" t="n"/>
      <c r="G444" s="15" t="n"/>
      <c r="H444" s="15" t="n"/>
      <c r="I444" s="15" t="n"/>
      <c r="J444" s="12" t="n"/>
      <c r="K444" s="39" t="n"/>
    </row>
    <row r="445">
      <c r="A445" s="15" t="n"/>
      <c r="B445" s="14" t="n"/>
      <c r="C445" s="14" t="n"/>
      <c r="D445" s="14" t="n"/>
      <c r="E445" s="15" t="n"/>
      <c r="F445" s="15" t="n"/>
      <c r="G445" s="15" t="n"/>
      <c r="H445" s="15" t="n"/>
      <c r="I445" s="15" t="n"/>
      <c r="J445" s="12" t="n"/>
      <c r="K445" s="39" t="n"/>
    </row>
    <row r="446">
      <c r="A446" s="15" t="n"/>
      <c r="B446" s="14" t="n"/>
      <c r="C446" s="14" t="n"/>
      <c r="D446" s="14" t="n"/>
      <c r="E446" s="15" t="n"/>
      <c r="F446" s="15" t="n"/>
      <c r="G446" s="15" t="n"/>
      <c r="H446" s="15" t="n"/>
      <c r="I446" s="15" t="n"/>
      <c r="J446" s="12" t="n"/>
      <c r="K446" s="39" t="n"/>
    </row>
    <row r="447">
      <c r="A447" s="15" t="n"/>
      <c r="B447" s="14" t="n"/>
      <c r="C447" s="14" t="n"/>
      <c r="D447" s="14" t="n"/>
      <c r="E447" s="15" t="n"/>
      <c r="F447" s="15" t="n"/>
      <c r="G447" s="15" t="n"/>
      <c r="H447" s="15" t="n"/>
      <c r="I447" s="15" t="n"/>
      <c r="J447" s="12" t="n"/>
      <c r="K447" s="39" t="n"/>
    </row>
    <row r="448">
      <c r="A448" s="15" t="n"/>
      <c r="B448" s="14" t="n"/>
      <c r="C448" s="14" t="n"/>
      <c r="D448" s="14" t="n"/>
      <c r="E448" s="15" t="n"/>
      <c r="F448" s="15" t="n"/>
      <c r="G448" s="15" t="n"/>
      <c r="H448" s="15" t="n"/>
      <c r="I448" s="15" t="n"/>
      <c r="J448" s="12" t="n"/>
      <c r="K448" s="39" t="n"/>
    </row>
    <row r="449">
      <c r="A449" s="15" t="n"/>
      <c r="B449" s="14" t="n"/>
      <c r="C449" s="14" t="n"/>
      <c r="D449" s="14" t="n"/>
      <c r="E449" s="15" t="n"/>
      <c r="F449" s="15" t="n"/>
      <c r="G449" s="15" t="n"/>
      <c r="H449" s="15" t="n"/>
      <c r="I449" s="15" t="n"/>
      <c r="J449" s="12" t="n"/>
      <c r="K449" s="39" t="n"/>
    </row>
    <row r="450">
      <c r="A450" s="15" t="n"/>
      <c r="B450" s="14" t="n"/>
      <c r="C450" s="14" t="n"/>
      <c r="D450" s="14" t="n"/>
      <c r="E450" s="15" t="n"/>
      <c r="F450" s="15" t="n"/>
      <c r="G450" s="15" t="n"/>
      <c r="H450" s="15" t="n"/>
      <c r="I450" s="15" t="n"/>
      <c r="J450" s="12" t="n"/>
      <c r="K450" s="39" t="n"/>
    </row>
    <row r="451">
      <c r="A451" s="15" t="n"/>
      <c r="B451" s="14" t="n"/>
      <c r="C451" s="14" t="n"/>
      <c r="D451" s="14" t="n"/>
      <c r="E451" s="15" t="n"/>
      <c r="F451" s="15" t="n"/>
      <c r="G451" s="15" t="n"/>
      <c r="H451" s="15" t="n"/>
      <c r="I451" s="15" t="n"/>
      <c r="J451" s="12" t="n"/>
      <c r="K451" s="39" t="n"/>
    </row>
    <row r="452">
      <c r="A452" s="15" t="n"/>
      <c r="B452" s="14" t="n"/>
      <c r="C452" s="14" t="n"/>
      <c r="D452" s="14" t="n"/>
      <c r="E452" s="15" t="n"/>
      <c r="F452" s="15" t="n"/>
      <c r="G452" s="15" t="n"/>
      <c r="H452" s="15" t="n"/>
      <c r="I452" s="15" t="n"/>
      <c r="J452" s="12" t="n"/>
      <c r="K452" s="39" t="n"/>
    </row>
    <row r="453">
      <c r="A453" s="15" t="n"/>
      <c r="B453" s="14" t="n"/>
      <c r="C453" s="14" t="n"/>
      <c r="D453" s="14" t="n"/>
      <c r="E453" s="15" t="n"/>
      <c r="F453" s="15" t="n"/>
      <c r="G453" s="15" t="n"/>
      <c r="H453" s="15" t="n"/>
      <c r="I453" s="15" t="n"/>
      <c r="J453" s="12" t="n"/>
      <c r="K453" s="39" t="n"/>
    </row>
    <row r="454">
      <c r="A454" s="15" t="n"/>
      <c r="B454" s="14" t="n"/>
      <c r="C454" s="14" t="n"/>
      <c r="D454" s="14" t="n"/>
      <c r="E454" s="15" t="n"/>
      <c r="F454" s="15" t="n"/>
      <c r="G454" s="15" t="n"/>
      <c r="H454" s="15" t="n"/>
      <c r="I454" s="15" t="n"/>
      <c r="J454" s="12" t="n"/>
      <c r="K454" s="39" t="n"/>
    </row>
    <row r="455">
      <c r="A455" s="15" t="n"/>
      <c r="B455" s="14" t="n"/>
      <c r="C455" s="14" t="n"/>
      <c r="D455" s="14" t="n"/>
      <c r="E455" s="15" t="n"/>
      <c r="F455" s="15" t="n"/>
      <c r="G455" s="15" t="n"/>
      <c r="H455" s="15" t="n"/>
      <c r="I455" s="15" t="n"/>
      <c r="J455" s="12" t="n"/>
      <c r="K455" s="39" t="n"/>
    </row>
    <row r="456">
      <c r="A456" s="15" t="n"/>
      <c r="B456" s="14" t="n"/>
      <c r="C456" s="14" t="n"/>
      <c r="D456" s="14" t="n"/>
      <c r="E456" s="15" t="n"/>
      <c r="F456" s="15" t="n"/>
      <c r="G456" s="15" t="n"/>
      <c r="H456" s="15" t="n"/>
      <c r="I456" s="15" t="n"/>
      <c r="J456" s="12" t="n"/>
      <c r="K456" s="39" t="n"/>
    </row>
    <row r="457">
      <c r="A457" s="15" t="n"/>
      <c r="B457" s="14" t="n"/>
      <c r="C457" s="14" t="n"/>
      <c r="D457" s="14" t="n"/>
      <c r="E457" s="15" t="n"/>
      <c r="F457" s="15" t="n"/>
      <c r="G457" s="15" t="n"/>
      <c r="H457" s="15" t="n"/>
      <c r="I457" s="15" t="n"/>
      <c r="J457" s="12" t="n"/>
      <c r="K457" s="39" t="n"/>
    </row>
    <row r="458">
      <c r="A458" s="15" t="n"/>
      <c r="B458" s="14" t="n"/>
      <c r="C458" s="14" t="n"/>
      <c r="D458" s="14" t="n"/>
      <c r="E458" s="15" t="n"/>
      <c r="F458" s="15" t="n"/>
      <c r="G458" s="15" t="n"/>
      <c r="H458" s="15" t="n"/>
      <c r="I458" s="15" t="n"/>
      <c r="J458" s="12" t="n"/>
      <c r="K458" s="39" t="n"/>
    </row>
    <row r="459">
      <c r="A459" s="15" t="n"/>
      <c r="B459" s="14" t="n"/>
      <c r="C459" s="14" t="n"/>
      <c r="D459" s="14" t="n"/>
      <c r="E459" s="15" t="n"/>
      <c r="F459" s="15" t="n"/>
      <c r="G459" s="15" t="n"/>
      <c r="H459" s="15" t="n"/>
      <c r="I459" s="15" t="n"/>
      <c r="J459" s="12" t="n"/>
      <c r="K459" s="39" t="n"/>
    </row>
    <row r="460">
      <c r="A460" s="15" t="n"/>
      <c r="B460" s="14" t="n"/>
      <c r="C460" s="14" t="n"/>
      <c r="D460" s="14" t="n"/>
      <c r="E460" s="15" t="n"/>
      <c r="F460" s="15" t="n"/>
      <c r="G460" s="15" t="n"/>
      <c r="H460" s="15" t="n"/>
      <c r="I460" s="15" t="n"/>
      <c r="J460" s="12" t="n"/>
      <c r="K460" s="39" t="n"/>
    </row>
    <row r="461">
      <c r="A461" s="15" t="n"/>
      <c r="B461" s="14" t="n"/>
      <c r="C461" s="14" t="n"/>
      <c r="D461" s="14" t="n"/>
      <c r="E461" s="15" t="n"/>
      <c r="F461" s="15" t="n"/>
      <c r="G461" s="15" t="n"/>
      <c r="H461" s="15" t="n"/>
      <c r="I461" s="15" t="n"/>
      <c r="J461" s="12" t="n"/>
      <c r="K461" s="39" t="n"/>
    </row>
    <row r="462">
      <c r="A462" s="15" t="n"/>
      <c r="B462" s="14" t="n"/>
      <c r="C462" s="14" t="n"/>
      <c r="D462" s="14" t="n"/>
      <c r="E462" s="15" t="n"/>
      <c r="F462" s="15" t="n"/>
      <c r="G462" s="15" t="n"/>
      <c r="H462" s="15" t="n"/>
      <c r="I462" s="15" t="n"/>
      <c r="J462" s="12" t="n"/>
      <c r="K462" s="39" t="n"/>
    </row>
    <row r="463">
      <c r="A463" s="15" t="n"/>
      <c r="B463" s="14" t="n"/>
      <c r="C463" s="14" t="n"/>
      <c r="D463" s="14" t="n"/>
      <c r="E463" s="15" t="n"/>
      <c r="F463" s="15" t="n"/>
      <c r="G463" s="15" t="n"/>
      <c r="H463" s="15" t="n"/>
      <c r="I463" s="15" t="n"/>
      <c r="J463" s="12" t="n"/>
      <c r="K463" s="39" t="n"/>
    </row>
    <row r="464">
      <c r="A464" s="15" t="n"/>
      <c r="B464" s="14" t="n"/>
      <c r="C464" s="14" t="n"/>
      <c r="D464" s="14" t="n"/>
      <c r="E464" s="15" t="n"/>
      <c r="F464" s="15" t="n"/>
      <c r="G464" s="15" t="n"/>
      <c r="H464" s="15" t="n"/>
      <c r="I464" s="15" t="n"/>
      <c r="J464" s="12" t="n"/>
      <c r="K464" s="39" t="n"/>
    </row>
    <row r="465">
      <c r="A465" s="15" t="n"/>
      <c r="B465" s="14" t="n"/>
      <c r="C465" s="14" t="n"/>
      <c r="D465" s="14" t="n"/>
      <c r="E465" s="15" t="n"/>
      <c r="F465" s="15" t="n"/>
      <c r="G465" s="15" t="n"/>
      <c r="H465" s="15" t="n"/>
      <c r="I465" s="15" t="n"/>
      <c r="J465" s="12" t="n"/>
      <c r="K465" s="39" t="n"/>
    </row>
    <row r="466">
      <c r="A466" s="15" t="n"/>
      <c r="B466" s="14" t="n"/>
      <c r="C466" s="14" t="n"/>
      <c r="D466" s="14" t="n"/>
      <c r="E466" s="15" t="n"/>
      <c r="F466" s="15" t="n"/>
      <c r="G466" s="15" t="n"/>
      <c r="H466" s="15" t="n"/>
      <c r="I466" s="15" t="n"/>
      <c r="J466" s="12" t="n"/>
      <c r="K466" s="39" t="n"/>
    </row>
    <row r="467">
      <c r="A467" s="15" t="n"/>
      <c r="B467" s="14" t="n"/>
      <c r="C467" s="14" t="n"/>
      <c r="D467" s="14" t="n"/>
      <c r="E467" s="15" t="n"/>
      <c r="F467" s="15" t="n"/>
      <c r="G467" s="15" t="n"/>
      <c r="H467" s="15" t="n"/>
      <c r="I467" s="15" t="n"/>
      <c r="J467" s="12" t="n"/>
      <c r="K467" s="39" t="n"/>
    </row>
    <row r="468">
      <c r="A468" s="15" t="n"/>
      <c r="B468" s="14" t="n"/>
      <c r="C468" s="14" t="n"/>
      <c r="D468" s="14" t="n"/>
      <c r="E468" s="15" t="n"/>
      <c r="F468" s="15" t="n"/>
      <c r="G468" s="15" t="n"/>
      <c r="H468" s="15" t="n"/>
      <c r="I468" s="15" t="n"/>
      <c r="J468" s="12" t="n"/>
      <c r="K468" s="39" t="n"/>
    </row>
    <row r="469">
      <c r="A469" s="15" t="n"/>
      <c r="B469" s="14" t="n"/>
      <c r="C469" s="14" t="n"/>
      <c r="D469" s="14" t="n"/>
      <c r="E469" s="15" t="n"/>
      <c r="F469" s="15" t="n"/>
      <c r="G469" s="15" t="n"/>
      <c r="H469" s="15" t="n"/>
      <c r="I469" s="15" t="n"/>
      <c r="J469" s="12" t="n"/>
      <c r="K469" s="39" t="n"/>
    </row>
    <row r="470">
      <c r="A470" s="15" t="n"/>
      <c r="B470" s="14" t="n"/>
      <c r="C470" s="14" t="n"/>
      <c r="D470" s="14" t="n"/>
      <c r="E470" s="15" t="n"/>
      <c r="F470" s="15" t="n"/>
      <c r="G470" s="15" t="n"/>
      <c r="H470" s="15" t="n"/>
      <c r="I470" s="15" t="n"/>
      <c r="J470" s="12" t="n"/>
      <c r="K470" s="39" t="n"/>
    </row>
    <row r="471">
      <c r="A471" s="15" t="n"/>
      <c r="B471" s="14" t="n"/>
      <c r="C471" s="14" t="n"/>
      <c r="D471" s="14" t="n"/>
      <c r="E471" s="15" t="n"/>
      <c r="F471" s="15" t="n"/>
      <c r="G471" s="15" t="n"/>
      <c r="H471" s="15" t="n"/>
      <c r="I471" s="15" t="n"/>
      <c r="J471" s="12" t="n"/>
      <c r="K471" s="39" t="n"/>
    </row>
    <row r="472">
      <c r="A472" s="15" t="n"/>
      <c r="B472" s="14" t="n"/>
      <c r="C472" s="14" t="n"/>
      <c r="D472" s="14" t="n"/>
      <c r="E472" s="15" t="n"/>
      <c r="F472" s="15" t="n"/>
      <c r="G472" s="15" t="n"/>
      <c r="H472" s="15" t="n"/>
      <c r="I472" s="15" t="n"/>
      <c r="J472" s="12" t="n"/>
      <c r="K472" s="39" t="n"/>
    </row>
    <row r="473">
      <c r="A473" s="15" t="n"/>
      <c r="B473" s="14" t="n"/>
      <c r="C473" s="14" t="n"/>
      <c r="D473" s="14" t="n"/>
      <c r="E473" s="15" t="n"/>
      <c r="F473" s="15" t="n"/>
      <c r="G473" s="15" t="n"/>
      <c r="H473" s="15" t="n"/>
      <c r="I473" s="15" t="n"/>
      <c r="J473" s="12" t="n"/>
      <c r="K473" s="39" t="n"/>
    </row>
    <row r="474">
      <c r="A474" s="15" t="n"/>
      <c r="B474" s="14" t="n"/>
      <c r="C474" s="14" t="n"/>
      <c r="D474" s="14" t="n"/>
      <c r="E474" s="15" t="n"/>
      <c r="F474" s="15" t="n"/>
      <c r="G474" s="15" t="n"/>
      <c r="H474" s="15" t="n"/>
      <c r="I474" s="15" t="n"/>
      <c r="J474" s="12" t="n"/>
      <c r="K474" s="39" t="n"/>
    </row>
    <row r="475">
      <c r="A475" s="15" t="n"/>
      <c r="B475" s="14" t="n"/>
      <c r="C475" s="14" t="n"/>
      <c r="D475" s="14" t="n"/>
      <c r="E475" s="15" t="n"/>
      <c r="F475" s="15" t="n"/>
      <c r="G475" s="15" t="n"/>
      <c r="H475" s="15" t="n"/>
      <c r="I475" s="15" t="n"/>
      <c r="J475" s="12" t="n"/>
      <c r="K475" s="39" t="n"/>
    </row>
    <row r="476">
      <c r="A476" s="15" t="n"/>
      <c r="B476" s="14" t="n"/>
      <c r="C476" s="14" t="n"/>
      <c r="D476" s="14" t="n"/>
      <c r="E476" s="15" t="n"/>
      <c r="F476" s="15" t="n"/>
      <c r="G476" s="15" t="n"/>
      <c r="H476" s="15" t="n"/>
      <c r="I476" s="15" t="n"/>
      <c r="J476" s="12" t="n"/>
      <c r="K476" s="39" t="n"/>
    </row>
    <row r="477">
      <c r="A477" s="15" t="n"/>
      <c r="B477" s="14" t="n"/>
      <c r="C477" s="14" t="n"/>
      <c r="D477" s="14" t="n"/>
      <c r="E477" s="15" t="n"/>
      <c r="F477" s="15" t="n"/>
      <c r="G477" s="15" t="n"/>
      <c r="H477" s="15" t="n"/>
      <c r="I477" s="15" t="n"/>
      <c r="J477" s="12" t="n"/>
      <c r="K477" s="39" t="n"/>
    </row>
    <row r="478">
      <c r="A478" s="15" t="n"/>
      <c r="B478" s="14" t="n"/>
      <c r="C478" s="14" t="n"/>
      <c r="D478" s="14" t="n"/>
      <c r="E478" s="15" t="n"/>
      <c r="F478" s="15" t="n"/>
      <c r="G478" s="15" t="n"/>
      <c r="H478" s="15" t="n"/>
      <c r="I478" s="15" t="n"/>
      <c r="J478" s="12" t="n"/>
      <c r="K478" s="39" t="n"/>
    </row>
    <row r="479">
      <c r="A479" s="15" t="n"/>
      <c r="B479" s="14" t="n"/>
      <c r="C479" s="14" t="n"/>
      <c r="D479" s="14" t="n"/>
      <c r="E479" s="15" t="n"/>
      <c r="F479" s="15" t="n"/>
      <c r="G479" s="15" t="n"/>
      <c r="H479" s="15" t="n"/>
      <c r="I479" s="15" t="n"/>
      <c r="J479" s="12" t="n"/>
      <c r="K479" s="39" t="n"/>
    </row>
    <row r="480">
      <c r="A480" s="15" t="n"/>
      <c r="B480" s="14" t="n"/>
      <c r="C480" s="14" t="n"/>
      <c r="D480" s="14" t="n"/>
      <c r="E480" s="15" t="n"/>
      <c r="F480" s="15" t="n"/>
      <c r="G480" s="15" t="n"/>
      <c r="H480" s="15" t="n"/>
      <c r="I480" s="15" t="n"/>
      <c r="J480" s="12" t="n"/>
      <c r="K480" s="39" t="n"/>
    </row>
    <row r="481">
      <c r="A481" s="15" t="n"/>
      <c r="B481" s="14" t="n"/>
      <c r="C481" s="14" t="n"/>
      <c r="D481" s="14" t="n"/>
      <c r="E481" s="15" t="n"/>
      <c r="F481" s="15" t="n"/>
      <c r="G481" s="15" t="n"/>
      <c r="H481" s="15" t="n"/>
      <c r="I481" s="15" t="n"/>
      <c r="J481" s="12" t="n"/>
      <c r="K481" s="39" t="n"/>
    </row>
    <row r="482">
      <c r="A482" s="15" t="n"/>
      <c r="B482" s="14" t="n"/>
      <c r="C482" s="14" t="n"/>
      <c r="D482" s="14" t="n"/>
      <c r="E482" s="15" t="n"/>
      <c r="F482" s="15" t="n"/>
      <c r="G482" s="15" t="n"/>
      <c r="H482" s="15" t="n"/>
      <c r="I482" s="15" t="n"/>
      <c r="J482" s="12" t="n"/>
      <c r="K482" s="39" t="n"/>
    </row>
    <row r="483">
      <c r="A483" s="15" t="n"/>
      <c r="B483" s="14" t="n"/>
      <c r="C483" s="14" t="n"/>
      <c r="D483" s="14" t="n"/>
      <c r="E483" s="15" t="n"/>
      <c r="F483" s="15" t="n"/>
      <c r="G483" s="15" t="n"/>
      <c r="H483" s="15" t="n"/>
      <c r="I483" s="15" t="n"/>
      <c r="J483" s="12" t="n"/>
      <c r="K483" s="39" t="n"/>
    </row>
    <row r="484">
      <c r="A484" s="15" t="n"/>
      <c r="B484" s="14" t="n"/>
      <c r="C484" s="14" t="n"/>
      <c r="D484" s="14" t="n"/>
      <c r="E484" s="15" t="n"/>
      <c r="F484" s="15" t="n"/>
      <c r="G484" s="15" t="n"/>
      <c r="H484" s="15" t="n"/>
      <c r="I484" s="15" t="n"/>
      <c r="J484" s="12" t="n"/>
      <c r="K484" s="39" t="n"/>
    </row>
    <row r="485">
      <c r="A485" s="15" t="n"/>
      <c r="B485" s="14" t="n"/>
      <c r="C485" s="14" t="n"/>
      <c r="D485" s="14" t="n"/>
      <c r="E485" s="15" t="n"/>
      <c r="F485" s="15" t="n"/>
      <c r="G485" s="15" t="n"/>
      <c r="H485" s="15" t="n"/>
      <c r="I485" s="15" t="n"/>
      <c r="J485" s="12" t="n"/>
      <c r="K485" s="39" t="n"/>
    </row>
    <row r="486">
      <c r="A486" s="15" t="n"/>
      <c r="B486" s="14" t="n"/>
      <c r="C486" s="14" t="n"/>
      <c r="D486" s="14" t="n"/>
      <c r="E486" s="15" t="n"/>
      <c r="F486" s="15" t="n"/>
      <c r="G486" s="15" t="n"/>
      <c r="H486" s="15" t="n"/>
      <c r="I486" s="15" t="n"/>
      <c r="J486" s="12" t="n"/>
      <c r="K486" s="39" t="n"/>
    </row>
    <row r="487">
      <c r="A487" s="15" t="n"/>
      <c r="B487" s="14" t="n"/>
      <c r="C487" s="14" t="n"/>
      <c r="D487" s="14" t="n"/>
      <c r="E487" s="15" t="n"/>
      <c r="F487" s="15" t="n"/>
      <c r="G487" s="15" t="n"/>
      <c r="H487" s="15" t="n"/>
      <c r="I487" s="15" t="n"/>
      <c r="J487" s="12" t="n"/>
      <c r="K487" s="39" t="n"/>
    </row>
    <row r="488">
      <c r="A488" s="15" t="n"/>
      <c r="B488" s="14" t="n"/>
      <c r="C488" s="14" t="n"/>
      <c r="D488" s="14" t="n"/>
      <c r="E488" s="15" t="n"/>
      <c r="F488" s="15" t="n"/>
      <c r="G488" s="15" t="n"/>
      <c r="H488" s="15" t="n"/>
      <c r="I488" s="15" t="n"/>
      <c r="J488" s="12" t="n"/>
      <c r="K488" s="39" t="n"/>
    </row>
    <row r="489">
      <c r="A489" s="15" t="n"/>
      <c r="B489" s="14" t="n"/>
      <c r="C489" s="14" t="n"/>
      <c r="D489" s="14" t="n"/>
      <c r="E489" s="15" t="n"/>
      <c r="F489" s="15" t="n"/>
      <c r="G489" s="15" t="n"/>
      <c r="H489" s="15" t="n"/>
      <c r="I489" s="15" t="n"/>
      <c r="J489" s="12" t="n"/>
      <c r="K489" s="39" t="n"/>
    </row>
    <row r="490">
      <c r="A490" s="15" t="n"/>
      <c r="B490" s="14" t="n"/>
      <c r="C490" s="14" t="n"/>
      <c r="D490" s="14" t="n"/>
      <c r="E490" s="15" t="n"/>
      <c r="F490" s="15" t="n"/>
      <c r="G490" s="15" t="n"/>
      <c r="H490" s="15" t="n"/>
      <c r="I490" s="15" t="n"/>
      <c r="J490" s="12" t="n"/>
      <c r="K490" s="39" t="n"/>
    </row>
    <row r="491">
      <c r="A491" s="15" t="n"/>
      <c r="B491" s="14" t="n"/>
      <c r="C491" s="14" t="n"/>
      <c r="D491" s="14" t="n"/>
      <c r="E491" s="15" t="n"/>
      <c r="F491" s="15" t="n"/>
      <c r="G491" s="15" t="n"/>
      <c r="H491" s="15" t="n"/>
      <c r="I491" s="15" t="n"/>
      <c r="J491" s="12" t="n"/>
      <c r="K491" s="39" t="n"/>
    </row>
    <row r="492">
      <c r="A492" s="15" t="n"/>
      <c r="B492" s="14" t="n"/>
      <c r="C492" s="14" t="n"/>
      <c r="D492" s="14" t="n"/>
      <c r="E492" s="15" t="n"/>
      <c r="F492" s="15" t="n"/>
      <c r="G492" s="15" t="n"/>
      <c r="H492" s="15" t="n"/>
      <c r="I492" s="15" t="n"/>
      <c r="J492" s="12" t="n"/>
      <c r="K492" s="39" t="n"/>
    </row>
    <row r="493">
      <c r="A493" s="15" t="n"/>
      <c r="B493" s="14" t="n"/>
      <c r="C493" s="14" t="n"/>
      <c r="D493" s="14" t="n"/>
      <c r="E493" s="15" t="n"/>
      <c r="F493" s="15" t="n"/>
      <c r="G493" s="15" t="n"/>
      <c r="H493" s="15" t="n"/>
      <c r="I493" s="15" t="n"/>
      <c r="J493" s="12" t="n"/>
      <c r="K493" s="39" t="n"/>
    </row>
    <row r="494">
      <c r="A494" s="15" t="n"/>
      <c r="B494" s="14" t="n"/>
      <c r="C494" s="14" t="n"/>
      <c r="D494" s="14" t="n"/>
      <c r="E494" s="15" t="n"/>
      <c r="F494" s="15" t="n"/>
      <c r="G494" s="15" t="n"/>
      <c r="H494" s="15" t="n"/>
      <c r="I494" s="15" t="n"/>
      <c r="J494" s="12" t="n"/>
      <c r="K494" s="39" t="n"/>
    </row>
    <row r="495">
      <c r="A495" s="15" t="n"/>
      <c r="B495" s="14" t="n"/>
      <c r="C495" s="14" t="n"/>
      <c r="D495" s="14" t="n"/>
      <c r="E495" s="15" t="n"/>
      <c r="F495" s="15" t="n"/>
      <c r="G495" s="15" t="n"/>
      <c r="H495" s="15" t="n"/>
      <c r="I495" s="15" t="n"/>
      <c r="J495" s="12" t="n"/>
      <c r="K495" s="39" t="n"/>
    </row>
    <row r="496">
      <c r="A496" s="15" t="n"/>
      <c r="B496" s="14" t="n"/>
      <c r="C496" s="14" t="n"/>
      <c r="D496" s="14" t="n"/>
      <c r="E496" s="15" t="n"/>
      <c r="F496" s="15" t="n"/>
      <c r="G496" s="15" t="n"/>
      <c r="H496" s="15" t="n"/>
      <c r="I496" s="15" t="n"/>
      <c r="J496" s="12" t="n"/>
      <c r="K496" s="39" t="n"/>
    </row>
    <row r="497">
      <c r="A497" s="15" t="n"/>
      <c r="B497" s="14" t="n"/>
      <c r="C497" s="14" t="n"/>
      <c r="D497" s="14" t="n"/>
      <c r="E497" s="15" t="n"/>
      <c r="F497" s="15" t="n"/>
      <c r="G497" s="15" t="n"/>
      <c r="H497" s="15" t="n"/>
      <c r="I497" s="15" t="n"/>
      <c r="J497" s="12" t="n"/>
      <c r="K497" s="39" t="n"/>
    </row>
    <row r="498">
      <c r="A498" s="15" t="n"/>
      <c r="B498" s="14" t="n"/>
      <c r="C498" s="14" t="n"/>
      <c r="D498" s="14" t="n"/>
      <c r="E498" s="15" t="n"/>
      <c r="F498" s="15" t="n"/>
      <c r="G498" s="15" t="n"/>
      <c r="H498" s="15" t="n"/>
      <c r="I498" s="15" t="n"/>
      <c r="J498" s="12" t="n"/>
      <c r="K498" s="39" t="n"/>
    </row>
    <row r="499">
      <c r="A499" s="15" t="n"/>
      <c r="B499" s="14" t="n"/>
      <c r="C499" s="14" t="n"/>
      <c r="D499" s="14" t="n"/>
      <c r="E499" s="15" t="n"/>
      <c r="F499" s="15" t="n"/>
      <c r="G499" s="15" t="n"/>
      <c r="H499" s="15" t="n"/>
      <c r="I499" s="15" t="n"/>
      <c r="J499" s="12" t="n"/>
      <c r="K499" s="39" t="n"/>
    </row>
    <row r="500">
      <c r="A500" s="15" t="n"/>
      <c r="B500" s="14" t="n"/>
      <c r="C500" s="14" t="n"/>
      <c r="D500" s="14" t="n"/>
      <c r="E500" s="15" t="n"/>
      <c r="F500" s="15" t="n"/>
      <c r="G500" s="15" t="n"/>
      <c r="H500" s="15" t="n"/>
      <c r="I500" s="15" t="n"/>
      <c r="J500" s="12" t="n"/>
      <c r="K500" s="39" t="n"/>
    </row>
    <row r="501">
      <c r="A501" s="15" t="n"/>
      <c r="B501" s="14" t="n"/>
      <c r="C501" s="14" t="n"/>
      <c r="D501" s="14" t="n"/>
      <c r="E501" s="15" t="n"/>
      <c r="F501" s="15" t="n"/>
      <c r="G501" s="15" t="n"/>
      <c r="H501" s="15" t="n"/>
      <c r="I501" s="15" t="n"/>
      <c r="J501" s="12" t="n"/>
      <c r="K501" s="39" t="n"/>
    </row>
    <row r="502">
      <c r="A502" s="15" t="n"/>
      <c r="B502" s="14" t="n"/>
      <c r="C502" s="14" t="n"/>
      <c r="D502" s="14" t="n"/>
      <c r="E502" s="15" t="n"/>
      <c r="F502" s="15" t="n"/>
      <c r="G502" s="15" t="n"/>
      <c r="H502" s="15" t="n"/>
      <c r="I502" s="15" t="n"/>
      <c r="J502" s="12" t="n"/>
      <c r="K502" s="39" t="n"/>
    </row>
    <row r="503">
      <c r="A503" s="15" t="n"/>
      <c r="B503" s="14" t="n"/>
      <c r="C503" s="14" t="n"/>
      <c r="D503" s="14" t="n"/>
      <c r="E503" s="15" t="n"/>
      <c r="F503" s="15" t="n"/>
      <c r="G503" s="15" t="n"/>
      <c r="H503" s="15" t="n"/>
      <c r="I503" s="15" t="n"/>
      <c r="J503" s="12" t="n"/>
      <c r="K503" s="39" t="n"/>
    </row>
    <row r="504">
      <c r="A504" s="15" t="n"/>
      <c r="B504" s="14" t="n"/>
      <c r="C504" s="14" t="n"/>
      <c r="D504" s="14" t="n"/>
      <c r="E504" s="15" t="n"/>
      <c r="F504" s="15" t="n"/>
      <c r="G504" s="15" t="n"/>
      <c r="H504" s="15" t="n"/>
      <c r="I504" s="15" t="n"/>
      <c r="J504" s="12" t="n"/>
      <c r="K504" s="39" t="n"/>
    </row>
    <row r="505">
      <c r="A505" s="15" t="n"/>
      <c r="B505" s="14" t="n"/>
      <c r="C505" s="14" t="n"/>
      <c r="D505" s="14" t="n"/>
      <c r="E505" s="15" t="n"/>
      <c r="F505" s="15" t="n"/>
      <c r="G505" s="15" t="n"/>
      <c r="H505" s="15" t="n"/>
      <c r="I505" s="15" t="n"/>
      <c r="J505" s="12" t="n"/>
      <c r="K505" s="39" t="n"/>
    </row>
    <row r="506">
      <c r="A506" s="15" t="n"/>
      <c r="B506" s="14" t="n"/>
      <c r="C506" s="14" t="n"/>
      <c r="D506" s="14" t="n"/>
      <c r="E506" s="15" t="n"/>
      <c r="F506" s="15" t="n"/>
      <c r="G506" s="15" t="n"/>
      <c r="H506" s="15" t="n"/>
      <c r="I506" s="15" t="n"/>
      <c r="J506" s="12" t="n"/>
      <c r="K506" s="39" t="n"/>
    </row>
    <row r="507">
      <c r="A507" s="15" t="n"/>
      <c r="B507" s="14" t="n"/>
      <c r="C507" s="14" t="n"/>
      <c r="D507" s="14" t="n"/>
      <c r="E507" s="15" t="n"/>
      <c r="F507" s="15" t="n"/>
      <c r="G507" s="15" t="n"/>
      <c r="H507" s="15" t="n"/>
      <c r="I507" s="15" t="n"/>
      <c r="J507" s="12" t="n"/>
      <c r="K507" s="39" t="n"/>
    </row>
    <row r="508">
      <c r="A508" s="15" t="n"/>
      <c r="B508" s="14" t="n"/>
      <c r="C508" s="14" t="n"/>
      <c r="D508" s="14" t="n"/>
      <c r="E508" s="15" t="n"/>
      <c r="F508" s="15" t="n"/>
      <c r="G508" s="15" t="n"/>
      <c r="H508" s="15" t="n"/>
      <c r="I508" s="15" t="n"/>
      <c r="J508" s="12" t="n"/>
      <c r="K508" s="39" t="n"/>
    </row>
    <row r="509">
      <c r="A509" s="15" t="n"/>
      <c r="B509" s="14" t="n"/>
      <c r="C509" s="14" t="n"/>
      <c r="D509" s="14" t="n"/>
      <c r="E509" s="15" t="n"/>
      <c r="F509" s="15" t="n"/>
      <c r="G509" s="15" t="n"/>
      <c r="H509" s="15" t="n"/>
      <c r="I509" s="15" t="n"/>
      <c r="J509" s="12" t="n"/>
      <c r="K509" s="39" t="n"/>
    </row>
    <row r="510">
      <c r="A510" s="15" t="n"/>
      <c r="B510" s="14" t="n"/>
      <c r="C510" s="14" t="n"/>
      <c r="D510" s="14" t="n"/>
      <c r="E510" s="15" t="n"/>
      <c r="F510" s="15" t="n"/>
      <c r="G510" s="15" t="n"/>
      <c r="H510" s="15" t="n"/>
      <c r="I510" s="15" t="n"/>
      <c r="J510" s="12" t="n"/>
      <c r="K510" s="39" t="n"/>
    </row>
    <row r="511">
      <c r="A511" s="15" t="n"/>
      <c r="B511" s="14" t="n"/>
      <c r="C511" s="14" t="n"/>
      <c r="D511" s="14" t="n"/>
      <c r="E511" s="15" t="n"/>
      <c r="F511" s="15" t="n"/>
      <c r="G511" s="15" t="n"/>
      <c r="H511" s="15" t="n"/>
      <c r="I511" s="15" t="n"/>
      <c r="J511" s="12" t="n"/>
      <c r="K511" s="39" t="n"/>
    </row>
    <row r="512">
      <c r="A512" s="15" t="n"/>
      <c r="B512" s="14" t="n"/>
      <c r="C512" s="14" t="n"/>
      <c r="D512" s="14" t="n"/>
      <c r="E512" s="15" t="n"/>
      <c r="F512" s="15" t="n"/>
      <c r="G512" s="15" t="n"/>
      <c r="H512" s="15" t="n"/>
      <c r="I512" s="15" t="n"/>
      <c r="J512" s="12" t="n"/>
      <c r="K512" s="39" t="n"/>
    </row>
    <row r="513">
      <c r="A513" s="15" t="n"/>
      <c r="B513" s="14" t="n"/>
      <c r="C513" s="14" t="n"/>
      <c r="D513" s="14" t="n"/>
      <c r="E513" s="15" t="n"/>
      <c r="F513" s="15" t="n"/>
      <c r="G513" s="15" t="n"/>
      <c r="H513" s="15" t="n"/>
      <c r="I513" s="15" t="n"/>
      <c r="J513" s="12" t="n"/>
      <c r="K513" s="39" t="n"/>
    </row>
    <row r="514">
      <c r="A514" s="15" t="n"/>
      <c r="B514" s="14" t="n"/>
      <c r="C514" s="14" t="n"/>
      <c r="D514" s="14" t="n"/>
      <c r="E514" s="15" t="n"/>
      <c r="F514" s="15" t="n"/>
      <c r="G514" s="15" t="n"/>
      <c r="H514" s="15" t="n"/>
      <c r="I514" s="15" t="n"/>
      <c r="J514" s="12" t="n"/>
      <c r="K514" s="39" t="n"/>
    </row>
    <row r="515">
      <c r="A515" s="15" t="n"/>
      <c r="B515" s="14" t="n"/>
      <c r="C515" s="14" t="n"/>
      <c r="D515" s="14" t="n"/>
      <c r="E515" s="15" t="n"/>
      <c r="F515" s="15" t="n"/>
      <c r="G515" s="15" t="n"/>
      <c r="H515" s="15" t="n"/>
      <c r="I515" s="15" t="n"/>
      <c r="J515" s="12" t="n"/>
      <c r="K515" s="39" t="n"/>
    </row>
    <row r="516">
      <c r="A516" s="15" t="n"/>
      <c r="B516" s="14" t="n"/>
      <c r="C516" s="14" t="n"/>
      <c r="D516" s="14" t="n"/>
      <c r="E516" s="15" t="n"/>
      <c r="F516" s="15" t="n"/>
      <c r="G516" s="15" t="n"/>
      <c r="H516" s="15" t="n"/>
      <c r="I516" s="15" t="n"/>
      <c r="J516" s="12" t="n"/>
      <c r="K516" s="39" t="n"/>
    </row>
    <row r="517">
      <c r="A517" s="15" t="n"/>
      <c r="B517" s="14" t="n"/>
      <c r="C517" s="14" t="n"/>
      <c r="D517" s="14" t="n"/>
      <c r="E517" s="15" t="n"/>
      <c r="F517" s="15" t="n"/>
      <c r="G517" s="15" t="n"/>
      <c r="H517" s="15" t="n"/>
      <c r="I517" s="15" t="n"/>
      <c r="J517" s="12" t="n"/>
      <c r="K517" s="39" t="n"/>
    </row>
    <row r="518">
      <c r="A518" s="15" t="n"/>
      <c r="B518" s="14" t="n"/>
      <c r="C518" s="14" t="n"/>
      <c r="D518" s="14" t="n"/>
      <c r="E518" s="15" t="n"/>
      <c r="F518" s="15" t="n"/>
      <c r="G518" s="15" t="n"/>
      <c r="H518" s="15" t="n"/>
      <c r="I518" s="15" t="n"/>
      <c r="J518" s="12" t="n"/>
      <c r="K518" s="39" t="n"/>
    </row>
    <row r="519">
      <c r="A519" s="15" t="n"/>
      <c r="B519" s="14" t="n"/>
      <c r="C519" s="14" t="n"/>
      <c r="D519" s="14" t="n"/>
      <c r="E519" s="15" t="n"/>
      <c r="F519" s="15" t="n"/>
      <c r="G519" s="15" t="n"/>
      <c r="H519" s="15" t="n"/>
      <c r="I519" s="15" t="n"/>
      <c r="J519" s="12" t="n"/>
      <c r="K519" s="39" t="n"/>
    </row>
    <row r="520">
      <c r="A520" s="15" t="n"/>
      <c r="B520" s="14" t="n"/>
      <c r="C520" s="14" t="n"/>
      <c r="D520" s="14" t="n"/>
      <c r="E520" s="15" t="n"/>
      <c r="F520" s="15" t="n"/>
      <c r="G520" s="15" t="n"/>
      <c r="H520" s="15" t="n"/>
      <c r="I520" s="15" t="n"/>
      <c r="J520" s="12" t="n"/>
      <c r="K520" s="39" t="n"/>
    </row>
    <row r="521">
      <c r="A521" s="15" t="n"/>
      <c r="B521" s="14" t="n"/>
      <c r="C521" s="14" t="n"/>
      <c r="D521" s="14" t="n"/>
      <c r="E521" s="15" t="n"/>
      <c r="F521" s="15" t="n"/>
      <c r="G521" s="15" t="n"/>
      <c r="H521" s="15" t="n"/>
      <c r="I521" s="15" t="n"/>
      <c r="J521" s="12" t="n"/>
      <c r="K521" s="39" t="n"/>
    </row>
    <row r="522">
      <c r="A522" s="15" t="n"/>
      <c r="B522" s="14" t="n"/>
      <c r="C522" s="14" t="n"/>
      <c r="D522" s="14" t="n"/>
      <c r="E522" s="15" t="n"/>
      <c r="F522" s="15" t="n"/>
      <c r="G522" s="15" t="n"/>
      <c r="H522" s="15" t="n"/>
      <c r="I522" s="15" t="n"/>
      <c r="J522" s="12" t="n"/>
      <c r="K522" s="39" t="n"/>
    </row>
    <row r="523">
      <c r="A523" s="15" t="n"/>
      <c r="B523" s="14" t="n"/>
      <c r="C523" s="14" t="n"/>
      <c r="D523" s="14" t="n"/>
      <c r="E523" s="15" t="n"/>
      <c r="F523" s="15" t="n"/>
      <c r="G523" s="15" t="n"/>
      <c r="H523" s="15" t="n"/>
      <c r="I523" s="15" t="n"/>
      <c r="J523" s="12" t="n"/>
      <c r="K523" s="39" t="n"/>
    </row>
    <row r="524">
      <c r="A524" s="15" t="n"/>
      <c r="B524" s="14" t="n"/>
      <c r="C524" s="14" t="n"/>
      <c r="D524" s="14" t="n"/>
      <c r="E524" s="15" t="n"/>
      <c r="F524" s="15" t="n"/>
      <c r="G524" s="15" t="n"/>
      <c r="H524" s="15" t="n"/>
      <c r="I524" s="15" t="n"/>
      <c r="J524" s="12" t="n"/>
      <c r="K524" s="39" t="n"/>
    </row>
    <row r="525">
      <c r="A525" s="15" t="n"/>
      <c r="B525" s="14" t="n"/>
      <c r="C525" s="14" t="n"/>
      <c r="D525" s="14" t="n"/>
      <c r="E525" s="15" t="n"/>
      <c r="F525" s="15" t="n"/>
      <c r="G525" s="15" t="n"/>
      <c r="H525" s="15" t="n"/>
      <c r="I525" s="15" t="n"/>
      <c r="J525" s="12" t="n"/>
      <c r="K525" s="39" t="n"/>
    </row>
    <row r="526">
      <c r="A526" s="15" t="n"/>
      <c r="B526" s="14" t="n"/>
      <c r="C526" s="14" t="n"/>
      <c r="D526" s="14" t="n"/>
      <c r="E526" s="15" t="n"/>
      <c r="F526" s="15" t="n"/>
      <c r="G526" s="15" t="n"/>
      <c r="H526" s="15" t="n"/>
      <c r="I526" s="15" t="n"/>
      <c r="J526" s="12" t="n"/>
      <c r="K526" s="39" t="n"/>
    </row>
    <row r="527">
      <c r="A527" s="15" t="n"/>
      <c r="B527" s="14" t="n"/>
      <c r="C527" s="14" t="n"/>
      <c r="D527" s="14" t="n"/>
      <c r="E527" s="15" t="n"/>
      <c r="F527" s="15" t="n"/>
      <c r="G527" s="15" t="n"/>
      <c r="H527" s="15" t="n"/>
      <c r="I527" s="15" t="n"/>
      <c r="J527" s="12" t="n"/>
      <c r="K527" s="39" t="n"/>
    </row>
    <row r="528">
      <c r="A528" s="15" t="n"/>
      <c r="B528" s="14" t="n"/>
      <c r="C528" s="14" t="n"/>
      <c r="D528" s="14" t="n"/>
      <c r="E528" s="15" t="n"/>
      <c r="F528" s="15" t="n"/>
      <c r="G528" s="15" t="n"/>
      <c r="H528" s="15" t="n"/>
      <c r="I528" s="15" t="n"/>
      <c r="J528" s="12" t="n"/>
      <c r="K528" s="39" t="n"/>
    </row>
    <row r="529">
      <c r="A529" s="15" t="n"/>
      <c r="B529" s="14" t="n"/>
      <c r="C529" s="14" t="n"/>
      <c r="D529" s="14" t="n"/>
      <c r="E529" s="15" t="n"/>
      <c r="F529" s="15" t="n"/>
      <c r="G529" s="15" t="n"/>
      <c r="H529" s="15" t="n"/>
      <c r="I529" s="15" t="n"/>
      <c r="J529" s="12" t="n"/>
      <c r="K529" s="39" t="n"/>
    </row>
    <row r="530">
      <c r="A530" s="15" t="n"/>
      <c r="B530" s="14" t="n"/>
      <c r="C530" s="14" t="n"/>
      <c r="D530" s="14" t="n"/>
      <c r="E530" s="15" t="n"/>
      <c r="F530" s="15" t="n"/>
      <c r="G530" s="15" t="n"/>
      <c r="H530" s="15" t="n"/>
      <c r="I530" s="15" t="n"/>
      <c r="J530" s="12" t="n"/>
      <c r="K530" s="39" t="n"/>
    </row>
    <row r="531">
      <c r="A531" s="15" t="n"/>
      <c r="B531" s="14" t="n"/>
      <c r="C531" s="14" t="n"/>
      <c r="D531" s="14" t="n"/>
      <c r="E531" s="15" t="n"/>
      <c r="F531" s="15" t="n"/>
      <c r="G531" s="15" t="n"/>
      <c r="H531" s="15" t="n"/>
      <c r="I531" s="15" t="n"/>
      <c r="J531" s="12" t="n"/>
      <c r="K531" s="39" t="n"/>
    </row>
    <row r="532">
      <c r="A532" s="15" t="n"/>
      <c r="B532" s="14" t="n"/>
      <c r="C532" s="14" t="n"/>
      <c r="D532" s="14" t="n"/>
      <c r="E532" s="15" t="n"/>
      <c r="F532" s="15" t="n"/>
      <c r="G532" s="15" t="n"/>
      <c r="H532" s="15" t="n"/>
      <c r="I532" s="15" t="n"/>
      <c r="J532" s="12" t="n"/>
      <c r="K532" s="39" t="n"/>
    </row>
    <row r="533">
      <c r="A533" s="15" t="n"/>
      <c r="B533" s="14" t="n"/>
      <c r="C533" s="14" t="n"/>
      <c r="D533" s="14" t="n"/>
      <c r="E533" s="15" t="n"/>
      <c r="F533" s="15" t="n"/>
      <c r="G533" s="15" t="n"/>
      <c r="H533" s="15" t="n"/>
      <c r="I533" s="15" t="n"/>
      <c r="J533" s="12" t="n"/>
      <c r="K533" s="39" t="n"/>
    </row>
    <row r="534">
      <c r="A534" s="15" t="n"/>
      <c r="B534" s="14" t="n"/>
      <c r="C534" s="14" t="n"/>
      <c r="D534" s="14" t="n"/>
      <c r="E534" s="15" t="n"/>
      <c r="F534" s="15" t="n"/>
      <c r="G534" s="15" t="n"/>
      <c r="H534" s="15" t="n"/>
      <c r="I534" s="15" t="n"/>
      <c r="J534" s="12" t="n"/>
      <c r="K534" s="39" t="n"/>
    </row>
    <row r="535">
      <c r="A535" s="15" t="n"/>
      <c r="B535" s="14" t="n"/>
      <c r="C535" s="14" t="n"/>
      <c r="D535" s="14" t="n"/>
      <c r="E535" s="15" t="n"/>
      <c r="F535" s="15" t="n"/>
      <c r="G535" s="15" t="n"/>
      <c r="H535" s="15" t="n"/>
      <c r="I535" s="15" t="n"/>
      <c r="J535" s="12" t="n"/>
      <c r="K535" s="39" t="n"/>
    </row>
    <row r="536">
      <c r="A536" s="15" t="n"/>
      <c r="B536" s="14" t="n"/>
      <c r="C536" s="14" t="n"/>
      <c r="D536" s="14" t="n"/>
      <c r="E536" s="15" t="n"/>
      <c r="F536" s="15" t="n"/>
      <c r="G536" s="15" t="n"/>
      <c r="H536" s="15" t="n"/>
      <c r="I536" s="15" t="n"/>
      <c r="J536" s="12" t="n"/>
      <c r="K536" s="39" t="n"/>
    </row>
    <row r="537">
      <c r="A537" s="15" t="n"/>
      <c r="B537" s="14" t="n"/>
      <c r="C537" s="14" t="n"/>
      <c r="D537" s="14" t="n"/>
      <c r="E537" s="15" t="n"/>
      <c r="F537" s="15" t="n"/>
      <c r="G537" s="15" t="n"/>
      <c r="H537" s="15" t="n"/>
      <c r="I537" s="15" t="n"/>
      <c r="J537" s="12" t="n"/>
      <c r="K537" s="39" t="n"/>
    </row>
    <row r="538">
      <c r="A538" s="15" t="n"/>
      <c r="B538" s="14" t="n"/>
      <c r="C538" s="14" t="n"/>
      <c r="D538" s="14" t="n"/>
      <c r="E538" s="15" t="n"/>
      <c r="F538" s="15" t="n"/>
      <c r="G538" s="15" t="n"/>
      <c r="H538" s="15" t="n"/>
      <c r="I538" s="15" t="n"/>
      <c r="J538" s="12" t="n"/>
      <c r="K538" s="39" t="n"/>
    </row>
    <row r="539">
      <c r="A539" s="15" t="n"/>
      <c r="B539" s="14" t="n"/>
      <c r="C539" s="14" t="n"/>
      <c r="D539" s="14" t="n"/>
      <c r="E539" s="15" t="n"/>
      <c r="F539" s="15" t="n"/>
      <c r="G539" s="15" t="n"/>
      <c r="H539" s="15" t="n"/>
      <c r="I539" s="15" t="n"/>
      <c r="J539" s="12" t="n"/>
      <c r="K539" s="39" t="n"/>
    </row>
    <row r="540">
      <c r="A540" s="15" t="n"/>
      <c r="B540" s="14" t="n"/>
      <c r="C540" s="14" t="n"/>
      <c r="D540" s="14" t="n"/>
      <c r="E540" s="15" t="n"/>
      <c r="F540" s="15" t="n"/>
      <c r="G540" s="15" t="n"/>
      <c r="H540" s="15" t="n"/>
      <c r="I540" s="15" t="n"/>
      <c r="J540" s="12" t="n"/>
      <c r="K540" s="39" t="n"/>
    </row>
    <row r="541">
      <c r="A541" s="15" t="n"/>
      <c r="B541" s="14" t="n"/>
      <c r="C541" s="14" t="n"/>
      <c r="D541" s="14" t="n"/>
      <c r="E541" s="15" t="n"/>
      <c r="F541" s="15" t="n"/>
      <c r="G541" s="15" t="n"/>
      <c r="H541" s="15" t="n"/>
      <c r="I541" s="15" t="n"/>
      <c r="J541" s="12" t="n"/>
      <c r="K541" s="39" t="n"/>
    </row>
    <row r="542">
      <c r="A542" s="15" t="n"/>
      <c r="B542" s="14" t="n"/>
      <c r="C542" s="14" t="n"/>
      <c r="D542" s="14" t="n"/>
      <c r="E542" s="15" t="n"/>
      <c r="F542" s="15" t="n"/>
      <c r="G542" s="15" t="n"/>
      <c r="H542" s="15" t="n"/>
      <c r="I542" s="15" t="n"/>
      <c r="J542" s="12" t="n"/>
      <c r="K542" s="39" t="n"/>
    </row>
    <row r="543">
      <c r="A543" s="15" t="n"/>
      <c r="B543" s="14" t="n"/>
      <c r="C543" s="14" t="n"/>
      <c r="D543" s="14" t="n"/>
      <c r="E543" s="15" t="n"/>
      <c r="F543" s="15" t="n"/>
      <c r="G543" s="15" t="n"/>
      <c r="H543" s="15" t="n"/>
      <c r="I543" s="15" t="n"/>
      <c r="J543" s="12" t="n"/>
      <c r="K543" s="39" t="n"/>
    </row>
    <row r="544">
      <c r="A544" s="15" t="n"/>
      <c r="B544" s="14" t="n"/>
      <c r="C544" s="14" t="n"/>
      <c r="D544" s="14" t="n"/>
      <c r="E544" s="15" t="n"/>
      <c r="F544" s="15" t="n"/>
      <c r="G544" s="15" t="n"/>
      <c r="H544" s="15" t="n"/>
      <c r="I544" s="15" t="n"/>
      <c r="J544" s="12" t="n"/>
      <c r="K544" s="39" t="n"/>
    </row>
    <row r="545">
      <c r="A545" s="15" t="n"/>
      <c r="B545" s="14" t="n"/>
      <c r="C545" s="14" t="n"/>
      <c r="D545" s="14" t="n"/>
      <c r="E545" s="15" t="n"/>
      <c r="F545" s="15" t="n"/>
      <c r="G545" s="15" t="n"/>
      <c r="H545" s="15" t="n"/>
      <c r="I545" s="15" t="n"/>
      <c r="J545" s="12" t="n"/>
      <c r="K545" s="39" t="n"/>
    </row>
    <row r="546">
      <c r="A546" s="15" t="n"/>
      <c r="B546" s="14" t="n"/>
      <c r="C546" s="14" t="n"/>
      <c r="D546" s="14" t="n"/>
      <c r="E546" s="15" t="n"/>
      <c r="F546" s="15" t="n"/>
      <c r="G546" s="15" t="n"/>
      <c r="H546" s="15" t="n"/>
      <c r="I546" s="15" t="n"/>
      <c r="J546" s="12" t="n"/>
      <c r="K546" s="39" t="n"/>
    </row>
    <row r="547">
      <c r="A547" s="15" t="n"/>
      <c r="B547" s="14" t="n"/>
      <c r="C547" s="14" t="n"/>
      <c r="D547" s="14" t="n"/>
      <c r="E547" s="15" t="n"/>
      <c r="F547" s="15" t="n"/>
      <c r="G547" s="15" t="n"/>
      <c r="H547" s="15" t="n"/>
      <c r="I547" s="15" t="n"/>
      <c r="J547" s="12" t="n"/>
      <c r="K547" s="39" t="n"/>
    </row>
    <row r="548">
      <c r="A548" s="15" t="n"/>
      <c r="B548" s="14" t="n"/>
      <c r="C548" s="14" t="n"/>
      <c r="D548" s="14" t="n"/>
      <c r="E548" s="15" t="n"/>
      <c r="F548" s="15" t="n"/>
      <c r="G548" s="15" t="n"/>
      <c r="H548" s="15" t="n"/>
      <c r="I548" s="15" t="n"/>
      <c r="J548" s="12" t="n"/>
      <c r="K548" s="39" t="n"/>
    </row>
    <row r="549">
      <c r="A549" s="15" t="n"/>
      <c r="B549" s="14" t="n"/>
      <c r="C549" s="14" t="n"/>
      <c r="D549" s="14" t="n"/>
      <c r="E549" s="15" t="n"/>
      <c r="F549" s="15" t="n"/>
      <c r="G549" s="15" t="n"/>
      <c r="H549" s="15" t="n"/>
      <c r="I549" s="15" t="n"/>
      <c r="J549" s="12" t="n"/>
      <c r="K549" s="39" t="n"/>
    </row>
    <row r="550">
      <c r="A550" s="15" t="n"/>
      <c r="B550" s="14" t="n"/>
      <c r="C550" s="14" t="n"/>
      <c r="D550" s="14" t="n"/>
      <c r="E550" s="15" t="n"/>
      <c r="F550" s="15" t="n"/>
      <c r="G550" s="15" t="n"/>
      <c r="H550" s="15" t="n"/>
      <c r="I550" s="15" t="n"/>
      <c r="J550" s="12" t="n"/>
      <c r="K550" s="39" t="n"/>
    </row>
    <row r="551">
      <c r="A551" s="15" t="n"/>
      <c r="B551" s="14" t="n"/>
      <c r="C551" s="14" t="n"/>
      <c r="D551" s="14" t="n"/>
      <c r="E551" s="15" t="n"/>
      <c r="F551" s="15" t="n"/>
      <c r="G551" s="15" t="n"/>
      <c r="H551" s="15" t="n"/>
      <c r="I551" s="15" t="n"/>
      <c r="J551" s="12" t="n"/>
      <c r="K551" s="39" t="n"/>
    </row>
    <row r="552">
      <c r="A552" s="15" t="n"/>
      <c r="B552" s="14" t="n"/>
      <c r="C552" s="14" t="n"/>
      <c r="D552" s="14" t="n"/>
      <c r="E552" s="15" t="n"/>
      <c r="F552" s="15" t="n"/>
      <c r="G552" s="15" t="n"/>
      <c r="H552" s="15" t="n"/>
      <c r="I552" s="15" t="n"/>
      <c r="J552" s="12" t="n"/>
      <c r="K552" s="39" t="n"/>
    </row>
    <row r="553">
      <c r="A553" s="15" t="n"/>
      <c r="B553" s="14" t="n"/>
      <c r="C553" s="14" t="n"/>
      <c r="D553" s="14" t="n"/>
      <c r="E553" s="15" t="n"/>
      <c r="F553" s="15" t="n"/>
      <c r="G553" s="15" t="n"/>
      <c r="H553" s="15" t="n"/>
      <c r="I553" s="15" t="n"/>
      <c r="J553" s="12" t="n"/>
      <c r="K553" s="39" t="n"/>
    </row>
    <row r="554">
      <c r="A554" s="15" t="n"/>
      <c r="B554" s="14" t="n"/>
      <c r="C554" s="14" t="n"/>
      <c r="D554" s="14" t="n"/>
      <c r="E554" s="15" t="n"/>
      <c r="F554" s="15" t="n"/>
      <c r="G554" s="15" t="n"/>
      <c r="H554" s="15" t="n"/>
      <c r="I554" s="15" t="n"/>
      <c r="J554" s="12" t="n"/>
      <c r="K554" s="39" t="n"/>
    </row>
    <row r="555">
      <c r="A555" s="15" t="n"/>
      <c r="B555" s="14" t="n"/>
      <c r="C555" s="14" t="n"/>
      <c r="D555" s="14" t="n"/>
      <c r="E555" s="15" t="n"/>
      <c r="F555" s="15" t="n"/>
      <c r="G555" s="15" t="n"/>
      <c r="H555" s="15" t="n"/>
      <c r="I555" s="15" t="n"/>
      <c r="J555" s="12" t="n"/>
      <c r="K555" s="39" t="n"/>
    </row>
    <row r="556">
      <c r="A556" s="15" t="n"/>
      <c r="B556" s="14" t="n"/>
      <c r="C556" s="14" t="n"/>
      <c r="D556" s="14" t="n"/>
      <c r="E556" s="15" t="n"/>
      <c r="F556" s="15" t="n"/>
      <c r="G556" s="15" t="n"/>
      <c r="H556" s="15" t="n"/>
      <c r="I556" s="15" t="n"/>
      <c r="J556" s="12" t="n"/>
      <c r="K556" s="39" t="n"/>
    </row>
    <row r="557">
      <c r="A557" s="15" t="n"/>
      <c r="B557" s="14" t="n"/>
      <c r="C557" s="14" t="n"/>
      <c r="D557" s="14" t="n"/>
      <c r="E557" s="15" t="n"/>
      <c r="F557" s="15" t="n"/>
      <c r="G557" s="15" t="n"/>
      <c r="H557" s="15" t="n"/>
      <c r="I557" s="15" t="n"/>
      <c r="J557" s="12" t="n"/>
      <c r="K557" s="39" t="n"/>
    </row>
    <row r="558">
      <c r="A558" s="15" t="n"/>
      <c r="B558" s="14" t="n"/>
      <c r="C558" s="14" t="n"/>
      <c r="D558" s="14" t="n"/>
      <c r="E558" s="15" t="n"/>
      <c r="F558" s="15" t="n"/>
      <c r="G558" s="15" t="n"/>
      <c r="H558" s="15" t="n"/>
      <c r="I558" s="15" t="n"/>
      <c r="J558" s="12" t="n"/>
      <c r="K558" s="39" t="n"/>
    </row>
    <row r="559">
      <c r="A559" s="15" t="n"/>
      <c r="B559" s="14" t="n"/>
      <c r="C559" s="14" t="n"/>
      <c r="D559" s="14" t="n"/>
      <c r="E559" s="15" t="n"/>
      <c r="F559" s="15" t="n"/>
      <c r="G559" s="15" t="n"/>
      <c r="H559" s="15" t="n"/>
      <c r="I559" s="15" t="n"/>
      <c r="J559" s="12" t="n"/>
      <c r="K559" s="39" t="n"/>
    </row>
    <row r="560">
      <c r="A560" s="15" t="n"/>
      <c r="B560" s="14" t="n"/>
      <c r="C560" s="14" t="n"/>
      <c r="D560" s="14" t="n"/>
      <c r="E560" s="15" t="n"/>
      <c r="F560" s="15" t="n"/>
      <c r="G560" s="15" t="n"/>
      <c r="H560" s="15" t="n"/>
      <c r="I560" s="15" t="n"/>
      <c r="J560" s="12" t="n"/>
      <c r="K560" s="39" t="n"/>
    </row>
    <row r="561">
      <c r="A561" s="15" t="n"/>
      <c r="B561" s="14" t="n"/>
      <c r="C561" s="14" t="n"/>
      <c r="D561" s="14" t="n"/>
      <c r="E561" s="15" t="n"/>
      <c r="F561" s="15" t="n"/>
      <c r="G561" s="15" t="n"/>
      <c r="H561" s="15" t="n"/>
      <c r="I561" s="15" t="n"/>
      <c r="J561" s="12" t="n"/>
      <c r="K561" s="39" t="n"/>
    </row>
    <row r="562">
      <c r="A562" s="15" t="n"/>
      <c r="B562" s="14" t="n"/>
      <c r="C562" s="14" t="n"/>
      <c r="D562" s="14" t="n"/>
      <c r="E562" s="15" t="n"/>
      <c r="F562" s="15" t="n"/>
      <c r="G562" s="15" t="n"/>
      <c r="H562" s="15" t="n"/>
      <c r="I562" s="15" t="n"/>
      <c r="J562" s="12" t="n"/>
      <c r="K562" s="39" t="n"/>
    </row>
    <row r="563">
      <c r="A563" s="15" t="n"/>
      <c r="B563" s="14" t="n"/>
      <c r="C563" s="14" t="n"/>
      <c r="D563" s="14" t="n"/>
      <c r="E563" s="15" t="n"/>
      <c r="F563" s="15" t="n"/>
      <c r="G563" s="15" t="n"/>
      <c r="H563" s="15" t="n"/>
      <c r="I563" s="15" t="n"/>
      <c r="J563" s="12" t="n"/>
      <c r="K563" s="39" t="n"/>
    </row>
    <row r="564">
      <c r="A564" s="15" t="n"/>
      <c r="B564" s="14" t="n"/>
      <c r="C564" s="14" t="n"/>
      <c r="D564" s="14" t="n"/>
      <c r="E564" s="15" t="n"/>
      <c r="F564" s="15" t="n"/>
      <c r="G564" s="15" t="n"/>
      <c r="H564" s="15" t="n"/>
      <c r="I564" s="15" t="n"/>
      <c r="J564" s="12" t="n"/>
      <c r="K564" s="39" t="n"/>
    </row>
    <row r="565">
      <c r="A565" s="15" t="n"/>
      <c r="B565" s="14" t="n"/>
      <c r="C565" s="14" t="n"/>
      <c r="D565" s="14" t="n"/>
      <c r="E565" s="15" t="n"/>
      <c r="F565" s="15" t="n"/>
      <c r="G565" s="15" t="n"/>
      <c r="H565" s="15" t="n"/>
      <c r="I565" s="15" t="n"/>
      <c r="J565" s="12" t="n"/>
      <c r="K565" s="39" t="n"/>
    </row>
    <row r="566">
      <c r="A566" s="15" t="n"/>
      <c r="B566" s="14" t="n"/>
      <c r="C566" s="14" t="n"/>
      <c r="D566" s="14" t="n"/>
      <c r="E566" s="15" t="n"/>
      <c r="F566" s="15" t="n"/>
      <c r="G566" s="15" t="n"/>
      <c r="H566" s="15" t="n"/>
      <c r="I566" s="15" t="n"/>
      <c r="J566" s="12" t="n"/>
      <c r="K566" s="39" t="n"/>
    </row>
    <row r="567">
      <c r="A567" s="15" t="n"/>
      <c r="B567" s="14" t="n"/>
      <c r="C567" s="14" t="n"/>
      <c r="D567" s="14" t="n"/>
      <c r="E567" s="15" t="n"/>
      <c r="F567" s="15" t="n"/>
      <c r="G567" s="15" t="n"/>
      <c r="H567" s="15" t="n"/>
      <c r="I567" s="15" t="n"/>
      <c r="J567" s="12" t="n"/>
      <c r="K567" s="39" t="n"/>
    </row>
    <row r="568">
      <c r="A568" s="15" t="n"/>
      <c r="B568" s="14" t="n"/>
      <c r="C568" s="14" t="n"/>
      <c r="D568" s="14" t="n"/>
      <c r="E568" s="15" t="n"/>
      <c r="F568" s="15" t="n"/>
      <c r="G568" s="15" t="n"/>
      <c r="H568" s="15" t="n"/>
      <c r="I568" s="15" t="n"/>
      <c r="J568" s="12" t="n"/>
      <c r="K568" s="39" t="n"/>
    </row>
    <row r="569">
      <c r="A569" s="15" t="n"/>
      <c r="B569" s="14" t="n"/>
      <c r="C569" s="14" t="n"/>
      <c r="D569" s="14" t="n"/>
      <c r="E569" s="15" t="n"/>
      <c r="F569" s="15" t="n"/>
      <c r="G569" s="15" t="n"/>
      <c r="H569" s="15" t="n"/>
      <c r="I569" s="15" t="n"/>
      <c r="J569" s="12" t="n"/>
      <c r="K569" s="39" t="n"/>
    </row>
    <row r="570">
      <c r="A570" s="15" t="n"/>
      <c r="B570" s="14" t="n"/>
      <c r="C570" s="14" t="n"/>
      <c r="D570" s="14" t="n"/>
      <c r="E570" s="15" t="n"/>
      <c r="F570" s="15" t="n"/>
      <c r="G570" s="15" t="n"/>
      <c r="H570" s="15" t="n"/>
      <c r="I570" s="15" t="n"/>
      <c r="J570" s="12" t="n"/>
      <c r="K570" s="39" t="n"/>
    </row>
    <row r="571">
      <c r="A571" s="15" t="n"/>
      <c r="B571" s="14" t="n"/>
      <c r="C571" s="14" t="n"/>
      <c r="D571" s="14" t="n"/>
      <c r="E571" s="15" t="n"/>
      <c r="F571" s="15" t="n"/>
      <c r="G571" s="15" t="n"/>
      <c r="H571" s="15" t="n"/>
      <c r="I571" s="15" t="n"/>
      <c r="J571" s="12" t="n"/>
      <c r="K571" s="39" t="n"/>
    </row>
    <row r="572">
      <c r="A572" s="15" t="n"/>
      <c r="B572" s="14" t="n"/>
      <c r="C572" s="14" t="n"/>
      <c r="D572" s="14" t="n"/>
      <c r="E572" s="15" t="n"/>
      <c r="F572" s="15" t="n"/>
      <c r="G572" s="15" t="n"/>
      <c r="H572" s="15" t="n"/>
      <c r="I572" s="15" t="n"/>
      <c r="J572" s="12" t="n"/>
      <c r="K572" s="39" t="n"/>
    </row>
    <row r="573">
      <c r="A573" s="15" t="n"/>
      <c r="B573" s="14" t="n"/>
      <c r="C573" s="14" t="n"/>
      <c r="D573" s="14" t="n"/>
      <c r="E573" s="15" t="n"/>
      <c r="F573" s="15" t="n"/>
      <c r="G573" s="15" t="n"/>
      <c r="H573" s="15" t="n"/>
      <c r="I573" s="15" t="n"/>
      <c r="J573" s="12" t="n"/>
      <c r="K573" s="39" t="n"/>
    </row>
    <row r="574">
      <c r="A574" s="15" t="n"/>
      <c r="B574" s="14" t="n"/>
      <c r="C574" s="14" t="n"/>
      <c r="D574" s="14" t="n"/>
      <c r="E574" s="15" t="n"/>
      <c r="F574" s="15" t="n"/>
      <c r="G574" s="15" t="n"/>
      <c r="H574" s="15" t="n"/>
      <c r="I574" s="15" t="n"/>
      <c r="J574" s="12" t="n"/>
      <c r="K574" s="39" t="n"/>
    </row>
    <row r="575">
      <c r="A575" s="15" t="n"/>
      <c r="B575" s="14" t="n"/>
      <c r="C575" s="14" t="n"/>
      <c r="D575" s="14" t="n"/>
      <c r="E575" s="15" t="n"/>
      <c r="F575" s="15" t="n"/>
      <c r="G575" s="15" t="n"/>
      <c r="H575" s="15" t="n"/>
      <c r="I575" s="15" t="n"/>
      <c r="J575" s="12" t="n"/>
      <c r="K575" s="39" t="n"/>
    </row>
    <row r="576">
      <c r="A576" s="15" t="n"/>
      <c r="B576" s="14" t="n"/>
      <c r="C576" s="14" t="n"/>
      <c r="D576" s="14" t="n"/>
      <c r="E576" s="15" t="n"/>
      <c r="F576" s="15" t="n"/>
      <c r="G576" s="15" t="n"/>
      <c r="H576" s="15" t="n"/>
      <c r="I576" s="15" t="n"/>
      <c r="J576" s="12" t="n"/>
      <c r="K576" s="39" t="n"/>
    </row>
    <row r="577">
      <c r="A577" s="15" t="n"/>
      <c r="B577" s="14" t="n"/>
      <c r="C577" s="14" t="n"/>
      <c r="D577" s="14" t="n"/>
      <c r="E577" s="15" t="n"/>
      <c r="F577" s="15" t="n"/>
      <c r="G577" s="15" t="n"/>
      <c r="H577" s="15" t="n"/>
      <c r="I577" s="15" t="n"/>
      <c r="J577" s="12" t="n"/>
      <c r="K577" s="39" t="n"/>
    </row>
    <row r="578">
      <c r="A578" s="15" t="n"/>
      <c r="B578" s="14" t="n"/>
      <c r="C578" s="14" t="n"/>
      <c r="D578" s="14" t="n"/>
      <c r="E578" s="15" t="n"/>
      <c r="F578" s="15" t="n"/>
      <c r="G578" s="15" t="n"/>
      <c r="H578" s="15" t="n"/>
      <c r="I578" s="15" t="n"/>
      <c r="J578" s="12" t="n"/>
      <c r="K578" s="39" t="n"/>
    </row>
    <row r="579">
      <c r="A579" s="15" t="n"/>
      <c r="B579" s="14" t="n"/>
      <c r="C579" s="14" t="n"/>
      <c r="D579" s="14" t="n"/>
      <c r="E579" s="15" t="n"/>
      <c r="F579" s="15" t="n"/>
      <c r="G579" s="15" t="n"/>
      <c r="H579" s="15" t="n"/>
      <c r="I579" s="15" t="n"/>
      <c r="J579" s="12" t="n"/>
      <c r="K579" s="39" t="n"/>
    </row>
    <row r="580">
      <c r="A580" s="15" t="n"/>
      <c r="B580" s="14" t="n"/>
      <c r="C580" s="14" t="n"/>
      <c r="D580" s="14" t="n"/>
      <c r="E580" s="15" t="n"/>
      <c r="F580" s="15" t="n"/>
      <c r="G580" s="15" t="n"/>
      <c r="H580" s="15" t="n"/>
      <c r="I580" s="15" t="n"/>
      <c r="J580" s="12" t="n"/>
      <c r="K580" s="39" t="n"/>
    </row>
    <row r="581">
      <c r="A581" s="15" t="n"/>
      <c r="B581" s="14" t="n"/>
      <c r="C581" s="14" t="n"/>
      <c r="D581" s="14" t="n"/>
      <c r="E581" s="15" t="n"/>
      <c r="F581" s="15" t="n"/>
      <c r="G581" s="15" t="n"/>
      <c r="H581" s="15" t="n"/>
      <c r="I581" s="15" t="n"/>
      <c r="J581" s="12" t="n"/>
      <c r="K581" s="39" t="n"/>
    </row>
    <row r="582">
      <c r="A582" s="15" t="n"/>
      <c r="B582" s="14" t="n"/>
      <c r="C582" s="14" t="n"/>
      <c r="D582" s="14" t="n"/>
      <c r="E582" s="15" t="n"/>
      <c r="F582" s="15" t="n"/>
      <c r="G582" s="15" t="n"/>
      <c r="H582" s="15" t="n"/>
      <c r="I582" s="15" t="n"/>
      <c r="J582" s="12" t="n"/>
      <c r="K582" s="39" t="n"/>
    </row>
    <row r="583">
      <c r="A583" s="15" t="n"/>
      <c r="B583" s="14" t="n"/>
      <c r="C583" s="14" t="n"/>
      <c r="D583" s="14" t="n"/>
      <c r="E583" s="15" t="n"/>
      <c r="F583" s="15" t="n"/>
      <c r="G583" s="15" t="n"/>
      <c r="H583" s="15" t="n"/>
      <c r="I583" s="15" t="n"/>
      <c r="J583" s="12" t="n"/>
      <c r="K583" s="39" t="n"/>
    </row>
    <row r="584">
      <c r="A584" s="15" t="n"/>
      <c r="B584" s="14" t="n"/>
      <c r="C584" s="14" t="n"/>
      <c r="D584" s="14" t="n"/>
      <c r="E584" s="15" t="n"/>
      <c r="F584" s="15" t="n"/>
      <c r="G584" s="15" t="n"/>
      <c r="H584" s="15" t="n"/>
      <c r="I584" s="15" t="n"/>
      <c r="J584" s="12" t="n"/>
      <c r="K584" s="39" t="n"/>
    </row>
    <row r="585">
      <c r="A585" s="15" t="n"/>
      <c r="B585" s="14" t="n"/>
      <c r="C585" s="14" t="n"/>
      <c r="D585" s="14" t="n"/>
      <c r="E585" s="15" t="n"/>
      <c r="F585" s="15" t="n"/>
      <c r="G585" s="15" t="n"/>
      <c r="H585" s="15" t="n"/>
      <c r="I585" s="15" t="n"/>
      <c r="J585" s="12" t="n"/>
      <c r="K585" s="39" t="n"/>
    </row>
    <row r="586">
      <c r="A586" s="15" t="n"/>
      <c r="B586" s="14" t="n"/>
      <c r="C586" s="14" t="n"/>
      <c r="D586" s="14" t="n"/>
      <c r="E586" s="15" t="n"/>
      <c r="F586" s="15" t="n"/>
      <c r="G586" s="15" t="n"/>
      <c r="H586" s="15" t="n"/>
      <c r="I586" s="15" t="n"/>
      <c r="J586" s="12" t="n"/>
      <c r="K586" s="39" t="n"/>
    </row>
    <row r="587">
      <c r="A587" s="15" t="n"/>
      <c r="B587" s="14" t="n"/>
      <c r="C587" s="14" t="n"/>
      <c r="D587" s="14" t="n"/>
      <c r="E587" s="15" t="n"/>
      <c r="F587" s="15" t="n"/>
      <c r="G587" s="15" t="n"/>
      <c r="H587" s="15" t="n"/>
      <c r="I587" s="15" t="n"/>
      <c r="J587" s="12" t="n"/>
      <c r="K587" s="39" t="n"/>
    </row>
    <row r="588">
      <c r="A588" s="15" t="n"/>
      <c r="B588" s="14" t="n"/>
      <c r="C588" s="14" t="n"/>
      <c r="D588" s="14" t="n"/>
      <c r="E588" s="15" t="n"/>
      <c r="F588" s="15" t="n"/>
      <c r="G588" s="15" t="n"/>
      <c r="H588" s="15" t="n"/>
      <c r="I588" s="15" t="n"/>
      <c r="J588" s="12" t="n"/>
      <c r="K588" s="39" t="n"/>
    </row>
    <row r="589">
      <c r="A589" s="15" t="n"/>
      <c r="B589" s="14" t="n"/>
      <c r="C589" s="14" t="n"/>
      <c r="D589" s="14" t="n"/>
      <c r="E589" s="15" t="n"/>
      <c r="F589" s="15" t="n"/>
      <c r="G589" s="15" t="n"/>
      <c r="H589" s="15" t="n"/>
      <c r="I589" s="15" t="n"/>
      <c r="J589" s="12" t="n"/>
      <c r="K589" s="39" t="n"/>
    </row>
    <row r="590">
      <c r="A590" s="15" t="n"/>
      <c r="B590" s="14" t="n"/>
      <c r="C590" s="14" t="n"/>
      <c r="D590" s="14" t="n"/>
      <c r="E590" s="15" t="n"/>
      <c r="F590" s="15" t="n"/>
      <c r="G590" s="15" t="n"/>
      <c r="H590" s="15" t="n"/>
      <c r="I590" s="15" t="n"/>
      <c r="J590" s="12" t="n"/>
      <c r="K590" s="39" t="n"/>
    </row>
    <row r="591">
      <c r="A591" s="15" t="n"/>
      <c r="B591" s="14" t="n"/>
      <c r="C591" s="14" t="n"/>
      <c r="D591" s="14" t="n"/>
      <c r="E591" s="15" t="n"/>
      <c r="F591" s="15" t="n"/>
      <c r="G591" s="15" t="n"/>
      <c r="H591" s="15" t="n"/>
      <c r="I591" s="15" t="n"/>
      <c r="J591" s="12" t="n"/>
      <c r="K591" s="39" t="n"/>
    </row>
    <row r="592">
      <c r="A592" s="15" t="n"/>
      <c r="B592" s="14" t="n"/>
      <c r="C592" s="14" t="n"/>
      <c r="D592" s="14" t="n"/>
      <c r="E592" s="15" t="n"/>
      <c r="F592" s="15" t="n"/>
      <c r="G592" s="15" t="n"/>
      <c r="H592" s="15" t="n"/>
      <c r="I592" s="15" t="n"/>
      <c r="J592" s="12" t="n"/>
      <c r="K592" s="39" t="n"/>
    </row>
    <row r="593">
      <c r="A593" s="15" t="n"/>
      <c r="B593" s="14" t="n"/>
      <c r="C593" s="14" t="n"/>
      <c r="D593" s="14" t="n"/>
      <c r="E593" s="15" t="n"/>
      <c r="F593" s="15" t="n"/>
      <c r="G593" s="15" t="n"/>
      <c r="H593" s="15" t="n"/>
      <c r="I593" s="15" t="n"/>
      <c r="J593" s="12" t="n"/>
      <c r="K593" s="39" t="n"/>
    </row>
    <row r="594">
      <c r="A594" s="15" t="n"/>
      <c r="B594" s="14" t="n"/>
      <c r="C594" s="14" t="n"/>
      <c r="D594" s="14" t="n"/>
      <c r="E594" s="15" t="n"/>
      <c r="F594" s="15" t="n"/>
      <c r="G594" s="15" t="n"/>
      <c r="H594" s="15" t="n"/>
      <c r="I594" s="15" t="n"/>
      <c r="J594" s="12" t="n"/>
      <c r="K594" s="39" t="n"/>
    </row>
    <row r="595">
      <c r="A595" s="15" t="n"/>
      <c r="B595" s="14" t="n"/>
      <c r="C595" s="14" t="n"/>
      <c r="D595" s="14" t="n"/>
      <c r="E595" s="15" t="n"/>
      <c r="F595" s="15" t="n"/>
      <c r="G595" s="15" t="n"/>
      <c r="H595" s="15" t="n"/>
      <c r="I595" s="15" t="n"/>
      <c r="J595" s="12" t="n"/>
      <c r="K595" s="39" t="n"/>
    </row>
    <row r="596">
      <c r="A596" s="15" t="n"/>
      <c r="B596" s="14" t="n"/>
      <c r="C596" s="14" t="n"/>
      <c r="D596" s="14" t="n"/>
      <c r="E596" s="15" t="n"/>
      <c r="F596" s="15" t="n"/>
      <c r="G596" s="15" t="n"/>
      <c r="H596" s="15" t="n"/>
      <c r="I596" s="15" t="n"/>
      <c r="J596" s="12" t="n"/>
      <c r="K596" s="39" t="n"/>
    </row>
    <row r="597">
      <c r="A597" s="15" t="n"/>
      <c r="B597" s="14" t="n"/>
      <c r="C597" s="14" t="n"/>
      <c r="D597" s="14" t="n"/>
      <c r="E597" s="15" t="n"/>
      <c r="F597" s="15" t="n"/>
      <c r="G597" s="15" t="n"/>
      <c r="H597" s="15" t="n"/>
      <c r="I597" s="15" t="n"/>
      <c r="J597" s="12" t="n"/>
      <c r="K597" s="39" t="n"/>
    </row>
    <row r="598">
      <c r="A598" s="15" t="n"/>
      <c r="B598" s="14" t="n"/>
      <c r="C598" s="14" t="n"/>
      <c r="D598" s="14" t="n"/>
      <c r="E598" s="15" t="n"/>
      <c r="F598" s="15" t="n"/>
      <c r="G598" s="15" t="n"/>
      <c r="H598" s="15" t="n"/>
      <c r="I598" s="15" t="n"/>
      <c r="J598" s="12" t="n"/>
      <c r="K598" s="39" t="n"/>
    </row>
    <row r="599">
      <c r="A599" s="15" t="n"/>
      <c r="B599" s="14" t="n"/>
      <c r="C599" s="14" t="n"/>
      <c r="D599" s="14" t="n"/>
      <c r="E599" s="15" t="n"/>
      <c r="F599" s="15" t="n"/>
      <c r="G599" s="15" t="n"/>
      <c r="H599" s="15" t="n"/>
      <c r="I599" s="15" t="n"/>
      <c r="J599" s="12" t="n"/>
      <c r="K599" s="39" t="n"/>
    </row>
    <row r="600">
      <c r="A600" s="15" t="n"/>
      <c r="B600" s="14" t="n"/>
      <c r="C600" s="14" t="n"/>
      <c r="D600" s="14" t="n"/>
      <c r="E600" s="15" t="n"/>
      <c r="F600" s="15" t="n"/>
      <c r="G600" s="15" t="n"/>
      <c r="H600" s="15" t="n"/>
      <c r="I600" s="15" t="n"/>
      <c r="J600" s="12" t="n"/>
      <c r="K600" s="39" t="n"/>
    </row>
    <row r="601">
      <c r="A601" s="15" t="n"/>
      <c r="B601" s="14" t="n"/>
      <c r="C601" s="14" t="n"/>
      <c r="D601" s="14" t="n"/>
      <c r="E601" s="15" t="n"/>
      <c r="F601" s="15" t="n"/>
      <c r="G601" s="15" t="n"/>
      <c r="H601" s="15" t="n"/>
      <c r="I601" s="15" t="n"/>
      <c r="J601" s="12" t="n"/>
      <c r="K601" s="39" t="n"/>
    </row>
    <row r="602">
      <c r="A602" s="15" t="n"/>
      <c r="B602" s="14" t="n"/>
      <c r="C602" s="14" t="n"/>
      <c r="D602" s="14" t="n"/>
      <c r="E602" s="15" t="n"/>
      <c r="F602" s="15" t="n"/>
      <c r="G602" s="15" t="n"/>
      <c r="H602" s="15" t="n"/>
      <c r="I602" s="15" t="n"/>
      <c r="J602" s="12" t="n"/>
      <c r="K602" s="39" t="n"/>
    </row>
    <row r="603">
      <c r="A603" s="15" t="n"/>
      <c r="B603" s="14" t="n"/>
      <c r="C603" s="14" t="n"/>
      <c r="D603" s="14" t="n"/>
      <c r="E603" s="15" t="n"/>
      <c r="F603" s="15" t="n"/>
      <c r="G603" s="15" t="n"/>
      <c r="H603" s="15" t="n"/>
      <c r="I603" s="15" t="n"/>
      <c r="J603" s="12" t="n"/>
      <c r="K603" s="39" t="n"/>
    </row>
    <row r="604">
      <c r="A604" s="15" t="n"/>
      <c r="B604" s="14" t="n"/>
      <c r="C604" s="14" t="n"/>
      <c r="D604" s="14" t="n"/>
      <c r="E604" s="15" t="n"/>
      <c r="F604" s="15" t="n"/>
      <c r="G604" s="15" t="n"/>
      <c r="H604" s="15" t="n"/>
      <c r="I604" s="15" t="n"/>
      <c r="J604" s="12" t="n"/>
      <c r="K604" s="39" t="n"/>
    </row>
    <row r="605">
      <c r="A605" s="15" t="n"/>
      <c r="B605" s="14" t="n"/>
      <c r="C605" s="14" t="n"/>
      <c r="D605" s="14" t="n"/>
      <c r="E605" s="15" t="n"/>
      <c r="F605" s="15" t="n"/>
      <c r="G605" s="15" t="n"/>
      <c r="H605" s="15" t="n"/>
      <c r="I605" s="15" t="n"/>
      <c r="J605" s="12" t="n"/>
      <c r="K605" s="39" t="n"/>
    </row>
    <row r="606">
      <c r="A606" s="15" t="n"/>
      <c r="B606" s="14" t="n"/>
      <c r="C606" s="14" t="n"/>
      <c r="D606" s="14" t="n"/>
      <c r="E606" s="15" t="n"/>
      <c r="F606" s="15" t="n"/>
      <c r="G606" s="15" t="n"/>
      <c r="H606" s="15" t="n"/>
      <c r="I606" s="15" t="n"/>
      <c r="J606" s="12" t="n"/>
      <c r="K606" s="39" t="n"/>
    </row>
    <row r="607">
      <c r="A607" s="15" t="n"/>
      <c r="B607" s="14" t="n"/>
      <c r="C607" s="14" t="n"/>
      <c r="D607" s="14" t="n"/>
      <c r="E607" s="15" t="n"/>
      <c r="F607" s="15" t="n"/>
      <c r="G607" s="15" t="n"/>
      <c r="H607" s="15" t="n"/>
      <c r="I607" s="15" t="n"/>
      <c r="J607" s="12" t="n"/>
      <c r="K607" s="39" t="n"/>
    </row>
    <row r="608">
      <c r="A608" s="15" t="n"/>
      <c r="B608" s="14" t="n"/>
      <c r="C608" s="14" t="n"/>
      <c r="D608" s="14" t="n"/>
      <c r="E608" s="15" t="n"/>
      <c r="F608" s="15" t="n"/>
      <c r="G608" s="15" t="n"/>
      <c r="H608" s="15" t="n"/>
      <c r="I608" s="15" t="n"/>
      <c r="J608" s="12" t="n"/>
      <c r="K608" s="39" t="n"/>
    </row>
    <row r="609">
      <c r="A609" s="15" t="n"/>
      <c r="B609" s="14" t="n"/>
      <c r="C609" s="14" t="n"/>
      <c r="D609" s="14" t="n"/>
      <c r="E609" s="15" t="n"/>
      <c r="F609" s="15" t="n"/>
      <c r="G609" s="15" t="n"/>
      <c r="H609" s="15" t="n"/>
      <c r="I609" s="15" t="n"/>
      <c r="J609" s="12" t="n"/>
      <c r="K609" s="39" t="n"/>
    </row>
    <row r="610">
      <c r="A610" s="15" t="n"/>
      <c r="B610" s="14" t="n"/>
      <c r="C610" s="14" t="n"/>
      <c r="D610" s="14" t="n"/>
      <c r="E610" s="15" t="n"/>
      <c r="F610" s="15" t="n"/>
      <c r="G610" s="15" t="n"/>
      <c r="H610" s="15" t="n"/>
      <c r="I610" s="15" t="n"/>
      <c r="J610" s="12" t="n"/>
      <c r="K610" s="39" t="n"/>
    </row>
    <row r="611">
      <c r="A611" s="15" t="n"/>
      <c r="B611" s="14" t="n"/>
      <c r="C611" s="14" t="n"/>
      <c r="D611" s="14" t="n"/>
      <c r="E611" s="15" t="n"/>
      <c r="F611" s="15" t="n"/>
      <c r="G611" s="15" t="n"/>
      <c r="H611" s="15" t="n"/>
      <c r="I611" s="15" t="n"/>
      <c r="J611" s="12" t="n"/>
      <c r="K611" s="39" t="n"/>
    </row>
    <row r="612">
      <c r="A612" s="15" t="n"/>
      <c r="B612" s="14" t="n"/>
      <c r="C612" s="14" t="n"/>
      <c r="D612" s="14" t="n"/>
      <c r="E612" s="15" t="n"/>
      <c r="F612" s="15" t="n"/>
      <c r="G612" s="15" t="n"/>
      <c r="H612" s="15" t="n"/>
      <c r="I612" s="15" t="n"/>
      <c r="J612" s="12" t="n"/>
      <c r="K612" s="39" t="n"/>
    </row>
    <row r="613">
      <c r="A613" s="15" t="n"/>
      <c r="B613" s="14" t="n"/>
      <c r="C613" s="14" t="n"/>
      <c r="D613" s="14" t="n"/>
      <c r="E613" s="15" t="n"/>
      <c r="F613" s="15" t="n"/>
      <c r="G613" s="15" t="n"/>
      <c r="H613" s="15" t="n"/>
      <c r="I613" s="15" t="n"/>
      <c r="J613" s="12" t="n"/>
      <c r="K613" s="39" t="n"/>
    </row>
    <row r="614">
      <c r="A614" s="15" t="n"/>
      <c r="B614" s="14" t="n"/>
      <c r="C614" s="14" t="n"/>
      <c r="D614" s="14" t="n"/>
      <c r="E614" s="15" t="n"/>
      <c r="F614" s="15" t="n"/>
      <c r="G614" s="15" t="n"/>
      <c r="H614" s="15" t="n"/>
      <c r="I614" s="15" t="n"/>
      <c r="J614" s="12" t="n"/>
      <c r="K614" s="39" t="n"/>
    </row>
    <row r="615">
      <c r="A615" s="15" t="n"/>
      <c r="B615" s="14" t="n"/>
      <c r="C615" s="14" t="n"/>
      <c r="D615" s="14" t="n"/>
      <c r="E615" s="15" t="n"/>
      <c r="F615" s="15" t="n"/>
      <c r="G615" s="15" t="n"/>
      <c r="H615" s="15" t="n"/>
      <c r="I615" s="15" t="n"/>
      <c r="J615" s="12" t="n"/>
      <c r="K615" s="39" t="n"/>
    </row>
    <row r="616">
      <c r="A616" s="15" t="n"/>
      <c r="B616" s="14" t="n"/>
      <c r="C616" s="14" t="n"/>
      <c r="D616" s="14" t="n"/>
      <c r="E616" s="15" t="n"/>
      <c r="F616" s="15" t="n"/>
      <c r="G616" s="15" t="n"/>
      <c r="H616" s="15" t="n"/>
      <c r="I616" s="15" t="n"/>
      <c r="J616" s="12" t="n"/>
      <c r="K616" s="39" t="n"/>
    </row>
    <row r="617">
      <c r="A617" s="15" t="n"/>
      <c r="B617" s="14" t="n"/>
      <c r="C617" s="14" t="n"/>
      <c r="D617" s="14" t="n"/>
      <c r="E617" s="15" t="n"/>
      <c r="F617" s="15" t="n"/>
      <c r="G617" s="15" t="n"/>
      <c r="H617" s="15" t="n"/>
      <c r="I617" s="15" t="n"/>
      <c r="J617" s="12" t="n"/>
      <c r="K617" s="39" t="n"/>
    </row>
    <row r="618">
      <c r="A618" s="15" t="n"/>
      <c r="B618" s="14" t="n"/>
      <c r="C618" s="14" t="n"/>
      <c r="D618" s="14" t="n"/>
      <c r="E618" s="15" t="n"/>
      <c r="F618" s="15" t="n"/>
      <c r="G618" s="15" t="n"/>
      <c r="H618" s="15" t="n"/>
      <c r="I618" s="15" t="n"/>
      <c r="J618" s="12" t="n"/>
      <c r="K618" s="39" t="n"/>
    </row>
    <row r="619">
      <c r="A619" s="15" t="n"/>
      <c r="B619" s="14" t="n"/>
      <c r="C619" s="14" t="n"/>
      <c r="D619" s="14" t="n"/>
      <c r="E619" s="15" t="n"/>
      <c r="F619" s="15" t="n"/>
      <c r="G619" s="15" t="n"/>
      <c r="H619" s="15" t="n"/>
      <c r="I619" s="15" t="n"/>
      <c r="J619" s="12" t="n"/>
      <c r="K619" s="39" t="n"/>
    </row>
    <row r="620">
      <c r="A620" s="15" t="n"/>
      <c r="B620" s="14" t="n"/>
      <c r="C620" s="14" t="n"/>
      <c r="D620" s="14" t="n"/>
      <c r="E620" s="15" t="n"/>
      <c r="F620" s="15" t="n"/>
      <c r="G620" s="15" t="n"/>
      <c r="H620" s="15" t="n"/>
      <c r="I620" s="15" t="n"/>
      <c r="J620" s="12" t="n"/>
      <c r="K620" s="39" t="n"/>
    </row>
    <row r="621">
      <c r="A621" s="15" t="n"/>
      <c r="B621" s="14" t="n"/>
      <c r="C621" s="14" t="n"/>
      <c r="D621" s="14" t="n"/>
      <c r="E621" s="15" t="n"/>
      <c r="F621" s="15" t="n"/>
      <c r="G621" s="15" t="n"/>
      <c r="H621" s="15" t="n"/>
      <c r="I621" s="15" t="n"/>
      <c r="J621" s="12" t="n"/>
      <c r="K621" s="39" t="n"/>
    </row>
    <row r="622">
      <c r="A622" s="15" t="n"/>
      <c r="B622" s="14" t="n"/>
      <c r="C622" s="14" t="n"/>
      <c r="D622" s="14" t="n"/>
      <c r="E622" s="15" t="n"/>
      <c r="F622" s="15" t="n"/>
      <c r="G622" s="15" t="n"/>
      <c r="H622" s="15" t="n"/>
      <c r="I622" s="15" t="n"/>
      <c r="J622" s="12" t="n"/>
      <c r="K622" s="39" t="n"/>
    </row>
    <row r="623">
      <c r="A623" s="15" t="n"/>
      <c r="B623" s="14" t="n"/>
      <c r="C623" s="14" t="n"/>
      <c r="D623" s="14" t="n"/>
      <c r="E623" s="15" t="n"/>
      <c r="F623" s="15" t="n"/>
      <c r="G623" s="15" t="n"/>
      <c r="H623" s="15" t="n"/>
      <c r="I623" s="15" t="n"/>
      <c r="J623" s="12" t="n"/>
      <c r="K623" s="39" t="n"/>
    </row>
    <row r="624">
      <c r="A624" s="15" t="n"/>
      <c r="B624" s="14" t="n"/>
      <c r="C624" s="14" t="n"/>
      <c r="D624" s="14" t="n"/>
      <c r="E624" s="15" t="n"/>
      <c r="F624" s="15" t="n"/>
      <c r="G624" s="15" t="n"/>
      <c r="H624" s="15" t="n"/>
      <c r="I624" s="15" t="n"/>
      <c r="J624" s="12" t="n"/>
      <c r="K624" s="39" t="n"/>
    </row>
    <row r="625">
      <c r="A625" s="15" t="n"/>
      <c r="B625" s="14" t="n"/>
      <c r="C625" s="14" t="n"/>
      <c r="D625" s="14" t="n"/>
      <c r="E625" s="15" t="n"/>
      <c r="F625" s="15" t="n"/>
      <c r="G625" s="15" t="n"/>
      <c r="H625" s="15" t="n"/>
      <c r="I625" s="15" t="n"/>
      <c r="J625" s="12" t="n"/>
      <c r="K625" s="39" t="n"/>
    </row>
    <row r="626">
      <c r="A626" s="15" t="n"/>
      <c r="B626" s="14" t="n"/>
      <c r="C626" s="14" t="n"/>
      <c r="D626" s="14" t="n"/>
      <c r="E626" s="15" t="n"/>
      <c r="F626" s="15" t="n"/>
      <c r="G626" s="15" t="n"/>
      <c r="H626" s="15" t="n"/>
      <c r="I626" s="15" t="n"/>
      <c r="J626" s="12" t="n"/>
      <c r="K626" s="39" t="n"/>
    </row>
    <row r="627">
      <c r="A627" s="15" t="n"/>
      <c r="B627" s="14" t="n"/>
      <c r="C627" s="14" t="n"/>
      <c r="D627" s="14" t="n"/>
      <c r="E627" s="15" t="n"/>
      <c r="F627" s="15" t="n"/>
      <c r="G627" s="15" t="n"/>
      <c r="H627" s="15" t="n"/>
      <c r="I627" s="15" t="n"/>
      <c r="J627" s="12" t="n"/>
      <c r="K627" s="39" t="n"/>
    </row>
    <row r="628">
      <c r="A628" s="15" t="n"/>
      <c r="B628" s="14" t="n"/>
      <c r="C628" s="14" t="n"/>
      <c r="D628" s="14" t="n"/>
      <c r="E628" s="15" t="n"/>
      <c r="F628" s="15" t="n"/>
      <c r="G628" s="15" t="n"/>
      <c r="H628" s="15" t="n"/>
      <c r="I628" s="15" t="n"/>
      <c r="J628" s="12" t="n"/>
      <c r="K628" s="39" t="n"/>
    </row>
    <row r="629">
      <c r="A629" s="15" t="n"/>
      <c r="B629" s="14" t="n"/>
      <c r="C629" s="14" t="n"/>
      <c r="D629" s="14" t="n"/>
      <c r="E629" s="15" t="n"/>
      <c r="F629" s="15" t="n"/>
      <c r="G629" s="15" t="n"/>
      <c r="H629" s="15" t="n"/>
      <c r="I629" s="15" t="n"/>
      <c r="J629" s="12" t="n"/>
      <c r="K629" s="39" t="n"/>
    </row>
    <row r="630">
      <c r="A630" s="15" t="n"/>
      <c r="B630" s="14" t="n"/>
      <c r="C630" s="14" t="n"/>
      <c r="D630" s="14" t="n"/>
      <c r="E630" s="15" t="n"/>
      <c r="F630" s="15" t="n"/>
      <c r="G630" s="15" t="n"/>
      <c r="H630" s="15" t="n"/>
      <c r="I630" s="15" t="n"/>
      <c r="J630" s="12" t="n"/>
      <c r="K630" s="39" t="n"/>
    </row>
    <row r="631">
      <c r="A631" s="15" t="n"/>
      <c r="B631" s="14" t="n"/>
      <c r="C631" s="14" t="n"/>
      <c r="D631" s="14" t="n"/>
      <c r="E631" s="15" t="n"/>
      <c r="F631" s="15" t="n"/>
      <c r="G631" s="15" t="n"/>
      <c r="H631" s="15" t="n"/>
      <c r="I631" s="15" t="n"/>
      <c r="J631" s="12" t="n"/>
      <c r="K631" s="39" t="n"/>
    </row>
    <row r="632">
      <c r="A632" s="15" t="n"/>
      <c r="B632" s="14" t="n"/>
      <c r="C632" s="14" t="n"/>
      <c r="D632" s="14" t="n"/>
      <c r="E632" s="15" t="n"/>
      <c r="F632" s="15" t="n"/>
      <c r="G632" s="15" t="n"/>
      <c r="H632" s="15" t="n"/>
      <c r="I632" s="15" t="n"/>
      <c r="J632" s="12" t="n"/>
      <c r="K632" s="39" t="n"/>
    </row>
    <row r="633">
      <c r="A633" s="15" t="n"/>
      <c r="B633" s="14" t="n"/>
      <c r="C633" s="14" t="n"/>
      <c r="D633" s="14" t="n"/>
      <c r="E633" s="15" t="n"/>
      <c r="F633" s="15" t="n"/>
      <c r="G633" s="15" t="n"/>
      <c r="H633" s="15" t="n"/>
      <c r="I633" s="15" t="n"/>
      <c r="J633" s="12" t="n"/>
      <c r="K633" s="39" t="n"/>
    </row>
    <row r="634">
      <c r="A634" s="15" t="n"/>
      <c r="B634" s="14" t="n"/>
      <c r="C634" s="14" t="n"/>
      <c r="D634" s="14" t="n"/>
      <c r="E634" s="15" t="n"/>
      <c r="F634" s="15" t="n"/>
      <c r="G634" s="15" t="n"/>
      <c r="H634" s="15" t="n"/>
      <c r="I634" s="15" t="n"/>
      <c r="J634" s="12" t="n"/>
      <c r="K634" s="39" t="n"/>
    </row>
    <row r="635">
      <c r="A635" s="15" t="n"/>
      <c r="B635" s="14" t="n"/>
      <c r="C635" s="14" t="n"/>
      <c r="D635" s="14" t="n"/>
      <c r="E635" s="15" t="n"/>
      <c r="F635" s="15" t="n"/>
      <c r="G635" s="15" t="n"/>
      <c r="H635" s="15" t="n"/>
      <c r="I635" s="15" t="n"/>
      <c r="J635" s="12" t="n"/>
      <c r="K635" s="39" t="n"/>
    </row>
    <row r="636">
      <c r="A636" s="15" t="n"/>
      <c r="B636" s="14" t="n"/>
      <c r="C636" s="14" t="n"/>
      <c r="D636" s="14" t="n"/>
      <c r="E636" s="15" t="n"/>
      <c r="F636" s="15" t="n"/>
      <c r="G636" s="15" t="n"/>
      <c r="H636" s="15" t="n"/>
      <c r="I636" s="15" t="n"/>
      <c r="J636" s="12" t="n"/>
      <c r="K636" s="39" t="n"/>
    </row>
    <row r="637">
      <c r="A637" s="15" t="n"/>
      <c r="B637" s="14" t="n"/>
      <c r="C637" s="14" t="n"/>
      <c r="D637" s="14" t="n"/>
      <c r="E637" s="15" t="n"/>
      <c r="F637" s="15" t="n"/>
      <c r="G637" s="15" t="n"/>
      <c r="H637" s="15" t="n"/>
      <c r="I637" s="15" t="n"/>
      <c r="J637" s="12" t="n"/>
      <c r="K637" s="39" t="n"/>
    </row>
    <row r="638">
      <c r="A638" s="15" t="n"/>
      <c r="B638" s="14" t="n"/>
      <c r="C638" s="14" t="n"/>
      <c r="D638" s="14" t="n"/>
      <c r="E638" s="15" t="n"/>
      <c r="F638" s="15" t="n"/>
      <c r="G638" s="15" t="n"/>
      <c r="H638" s="15" t="n"/>
      <c r="I638" s="15" t="n"/>
      <c r="J638" s="12" t="n"/>
      <c r="K638" s="39" t="n"/>
    </row>
    <row r="639">
      <c r="A639" s="15" t="n"/>
      <c r="B639" s="14" t="n"/>
      <c r="C639" s="14" t="n"/>
      <c r="D639" s="14" t="n"/>
      <c r="E639" s="15" t="n"/>
      <c r="F639" s="15" t="n"/>
      <c r="G639" s="15" t="n"/>
      <c r="H639" s="15" t="n"/>
      <c r="I639" s="15" t="n"/>
      <c r="J639" s="12" t="n"/>
      <c r="K639" s="39" t="n"/>
    </row>
    <row r="640">
      <c r="A640" s="15" t="n"/>
      <c r="B640" s="14" t="n"/>
      <c r="C640" s="14" t="n"/>
      <c r="D640" s="14" t="n"/>
      <c r="E640" s="15" t="n"/>
      <c r="F640" s="15" t="n"/>
      <c r="G640" s="15" t="n"/>
      <c r="H640" s="15" t="n"/>
      <c r="I640" s="15" t="n"/>
      <c r="J640" s="12" t="n"/>
      <c r="K640" s="39" t="n"/>
    </row>
    <row r="641">
      <c r="A641" s="15" t="n"/>
      <c r="B641" s="14" t="n"/>
      <c r="C641" s="14" t="n"/>
      <c r="D641" s="14" t="n"/>
      <c r="E641" s="15" t="n"/>
      <c r="F641" s="15" t="n"/>
      <c r="G641" s="15" t="n"/>
      <c r="H641" s="15" t="n"/>
      <c r="I641" s="15" t="n"/>
      <c r="J641" s="12" t="n"/>
      <c r="K641" s="39" t="n"/>
    </row>
    <row r="642">
      <c r="A642" s="15" t="n"/>
      <c r="B642" s="14" t="n"/>
      <c r="C642" s="14" t="n"/>
      <c r="D642" s="14" t="n"/>
      <c r="E642" s="15" t="n"/>
      <c r="F642" s="15" t="n"/>
      <c r="G642" s="15" t="n"/>
      <c r="H642" s="15" t="n"/>
      <c r="I642" s="15" t="n"/>
      <c r="J642" s="12" t="n"/>
      <c r="K642" s="39" t="n"/>
    </row>
    <row r="643">
      <c r="A643" s="15" t="n"/>
      <c r="B643" s="14" t="n"/>
      <c r="C643" s="14" t="n"/>
      <c r="D643" s="14" t="n"/>
      <c r="E643" s="15" t="n"/>
      <c r="F643" s="15" t="n"/>
      <c r="G643" s="15" t="n"/>
      <c r="H643" s="15" t="n"/>
      <c r="I643" s="15" t="n"/>
      <c r="J643" s="12" t="n"/>
      <c r="K643" s="39" t="n"/>
    </row>
    <row r="644">
      <c r="A644" s="15" t="n"/>
      <c r="B644" s="14" t="n"/>
      <c r="C644" s="14" t="n"/>
      <c r="D644" s="14" t="n"/>
      <c r="E644" s="15" t="n"/>
      <c r="F644" s="15" t="n"/>
      <c r="G644" s="15" t="n"/>
      <c r="H644" s="15" t="n"/>
      <c r="I644" s="15" t="n"/>
      <c r="J644" s="12" t="n"/>
      <c r="K644" s="39" t="n"/>
    </row>
    <row r="645">
      <c r="A645" s="15" t="n"/>
      <c r="B645" s="14" t="n"/>
      <c r="C645" s="14" t="n"/>
      <c r="D645" s="14" t="n"/>
      <c r="E645" s="15" t="n"/>
      <c r="F645" s="15" t="n"/>
      <c r="G645" s="15" t="n"/>
      <c r="H645" s="15" t="n"/>
      <c r="I645" s="15" t="n"/>
      <c r="J645" s="12" t="n"/>
      <c r="K645" s="39" t="n"/>
    </row>
    <row r="646">
      <c r="A646" s="15" t="n"/>
      <c r="B646" s="14" t="n"/>
      <c r="C646" s="14" t="n"/>
      <c r="D646" s="14" t="n"/>
      <c r="E646" s="15" t="n"/>
      <c r="F646" s="15" t="n"/>
      <c r="G646" s="15" t="n"/>
      <c r="H646" s="15" t="n"/>
      <c r="I646" s="15" t="n"/>
      <c r="J646" s="12" t="n"/>
      <c r="K646" s="39" t="n"/>
    </row>
    <row r="647">
      <c r="A647" s="15" t="n"/>
      <c r="B647" s="14" t="n"/>
      <c r="C647" s="14" t="n"/>
      <c r="D647" s="14" t="n"/>
      <c r="E647" s="15" t="n"/>
      <c r="F647" s="15" t="n"/>
      <c r="G647" s="15" t="n"/>
      <c r="H647" s="15" t="n"/>
      <c r="I647" s="15" t="n"/>
      <c r="J647" s="12" t="n"/>
      <c r="K647" s="39" t="n"/>
    </row>
    <row r="648">
      <c r="A648" s="15" t="n"/>
      <c r="B648" s="14" t="n"/>
      <c r="C648" s="14" t="n"/>
      <c r="D648" s="14" t="n"/>
      <c r="E648" s="15" t="n"/>
      <c r="F648" s="15" t="n"/>
      <c r="G648" s="15" t="n"/>
      <c r="H648" s="15" t="n"/>
      <c r="I648" s="15" t="n"/>
      <c r="J648" s="12" t="n"/>
      <c r="K648" s="39" t="n"/>
    </row>
    <row r="649">
      <c r="A649" s="15" t="n"/>
      <c r="B649" s="14" t="n"/>
      <c r="C649" s="14" t="n"/>
      <c r="D649" s="14" t="n"/>
      <c r="E649" s="15" t="n"/>
      <c r="F649" s="15" t="n"/>
      <c r="G649" s="15" t="n"/>
      <c r="H649" s="15" t="n"/>
      <c r="I649" s="15" t="n"/>
      <c r="J649" s="12" t="n"/>
      <c r="K649" s="39" t="n"/>
    </row>
    <row r="650">
      <c r="A650" s="15" t="n"/>
      <c r="B650" s="14" t="n"/>
      <c r="C650" s="14" t="n"/>
      <c r="D650" s="14" t="n"/>
      <c r="E650" s="15" t="n"/>
      <c r="F650" s="15" t="n"/>
      <c r="G650" s="15" t="n"/>
      <c r="H650" s="15" t="n"/>
      <c r="I650" s="15" t="n"/>
      <c r="J650" s="12" t="n"/>
      <c r="K650" s="39" t="n"/>
    </row>
    <row r="651">
      <c r="A651" s="15" t="n"/>
      <c r="B651" s="14" t="n"/>
      <c r="C651" s="14" t="n"/>
      <c r="D651" s="14" t="n"/>
      <c r="E651" s="15" t="n"/>
      <c r="F651" s="15" t="n"/>
      <c r="G651" s="15" t="n"/>
      <c r="H651" s="15" t="n"/>
      <c r="I651" s="15" t="n"/>
      <c r="J651" s="12" t="n"/>
      <c r="K651" s="39" t="n"/>
    </row>
    <row r="652">
      <c r="A652" s="15" t="n"/>
      <c r="B652" s="14" t="n"/>
      <c r="C652" s="14" t="n"/>
      <c r="D652" s="14" t="n"/>
      <c r="E652" s="15" t="n"/>
      <c r="F652" s="15" t="n"/>
      <c r="G652" s="15" t="n"/>
      <c r="H652" s="15" t="n"/>
      <c r="I652" s="15" t="n"/>
      <c r="J652" s="12" t="n"/>
      <c r="K652" s="39" t="n"/>
    </row>
    <row r="653">
      <c r="A653" s="15" t="n"/>
      <c r="B653" s="14" t="n"/>
      <c r="C653" s="14" t="n"/>
      <c r="D653" s="14" t="n"/>
      <c r="E653" s="15" t="n"/>
      <c r="F653" s="15" t="n"/>
      <c r="G653" s="15" t="n"/>
      <c r="H653" s="15" t="n"/>
      <c r="I653" s="15" t="n"/>
      <c r="J653" s="12" t="n"/>
      <c r="K653" s="39" t="n"/>
    </row>
    <row r="654">
      <c r="A654" s="15" t="n"/>
      <c r="B654" s="14" t="n"/>
      <c r="C654" s="14" t="n"/>
      <c r="D654" s="14" t="n"/>
      <c r="E654" s="15" t="n"/>
      <c r="F654" s="15" t="n"/>
      <c r="G654" s="15" t="n"/>
      <c r="H654" s="15" t="n"/>
      <c r="I654" s="15" t="n"/>
      <c r="J654" s="12" t="n"/>
      <c r="K654" s="39" t="n"/>
    </row>
    <row r="655">
      <c r="A655" s="15" t="n"/>
      <c r="B655" s="14" t="n"/>
      <c r="C655" s="14" t="n"/>
      <c r="D655" s="14" t="n"/>
      <c r="E655" s="15" t="n"/>
      <c r="F655" s="15" t="n"/>
      <c r="G655" s="15" t="n"/>
      <c r="H655" s="15" t="n"/>
      <c r="I655" s="15" t="n"/>
      <c r="J655" s="12" t="n"/>
      <c r="K655" s="39" t="n"/>
    </row>
    <row r="656">
      <c r="A656" s="15" t="n"/>
      <c r="B656" s="14" t="n"/>
      <c r="C656" s="14" t="n"/>
      <c r="D656" s="14" t="n"/>
      <c r="E656" s="15" t="n"/>
      <c r="F656" s="15" t="n"/>
      <c r="G656" s="15" t="n"/>
      <c r="H656" s="15" t="n"/>
      <c r="I656" s="15" t="n"/>
      <c r="J656" s="12" t="n"/>
      <c r="K656" s="39" t="n"/>
    </row>
    <row r="657">
      <c r="A657" s="15" t="n"/>
      <c r="B657" s="14" t="n"/>
      <c r="C657" s="14" t="n"/>
      <c r="D657" s="14" t="n"/>
      <c r="E657" s="15" t="n"/>
      <c r="F657" s="15" t="n"/>
      <c r="G657" s="15" t="n"/>
      <c r="H657" s="15" t="n"/>
      <c r="I657" s="15" t="n"/>
      <c r="J657" s="12" t="n"/>
      <c r="K657" s="39" t="n"/>
    </row>
    <row r="658">
      <c r="A658" s="15" t="n"/>
      <c r="B658" s="14" t="n"/>
      <c r="C658" s="14" t="n"/>
      <c r="D658" s="14" t="n"/>
      <c r="E658" s="15" t="n"/>
      <c r="F658" s="15" t="n"/>
      <c r="G658" s="15" t="n"/>
      <c r="H658" s="15" t="n"/>
      <c r="I658" s="15" t="n"/>
      <c r="J658" s="12" t="n"/>
      <c r="K658" s="39" t="n"/>
    </row>
    <row r="659">
      <c r="A659" s="15" t="n"/>
      <c r="B659" s="14" t="n"/>
      <c r="C659" s="14" t="n"/>
      <c r="D659" s="14" t="n"/>
      <c r="E659" s="15" t="n"/>
      <c r="F659" s="15" t="n"/>
      <c r="G659" s="15" t="n"/>
      <c r="H659" s="15" t="n"/>
      <c r="I659" s="15" t="n"/>
      <c r="J659" s="12" t="n"/>
      <c r="K659" s="39" t="n"/>
    </row>
    <row r="660">
      <c r="A660" s="15" t="n"/>
      <c r="B660" s="14" t="n"/>
      <c r="C660" s="14" t="n"/>
      <c r="D660" s="14" t="n"/>
      <c r="E660" s="15" t="n"/>
      <c r="F660" s="15" t="n"/>
      <c r="G660" s="15" t="n"/>
      <c r="H660" s="15" t="n"/>
      <c r="I660" s="15" t="n"/>
      <c r="J660" s="12" t="n"/>
      <c r="K660" s="39" t="n"/>
    </row>
    <row r="661">
      <c r="A661" s="15" t="n"/>
      <c r="B661" s="14" t="n"/>
      <c r="C661" s="14" t="n"/>
      <c r="D661" s="14" t="n"/>
      <c r="E661" s="15" t="n"/>
      <c r="F661" s="15" t="n"/>
      <c r="G661" s="15" t="n"/>
      <c r="H661" s="15" t="n"/>
      <c r="I661" s="15" t="n"/>
      <c r="J661" s="12" t="n"/>
      <c r="K661" s="39" t="n"/>
    </row>
    <row r="662">
      <c r="A662" s="15" t="n"/>
      <c r="B662" s="14" t="n"/>
      <c r="C662" s="14" t="n"/>
      <c r="D662" s="14" t="n"/>
      <c r="E662" s="15" t="n"/>
      <c r="F662" s="15" t="n"/>
      <c r="G662" s="15" t="n"/>
      <c r="H662" s="15" t="n"/>
      <c r="I662" s="15" t="n"/>
      <c r="J662" s="12" t="n"/>
      <c r="K662" s="39" t="n"/>
    </row>
    <row r="663">
      <c r="A663" s="15" t="n"/>
      <c r="B663" s="14" t="n"/>
      <c r="C663" s="14" t="n"/>
      <c r="D663" s="14" t="n"/>
      <c r="E663" s="15" t="n"/>
      <c r="F663" s="15" t="n"/>
      <c r="G663" s="15" t="n"/>
      <c r="H663" s="15" t="n"/>
      <c r="I663" s="15" t="n"/>
      <c r="J663" s="12" t="n"/>
      <c r="K663" s="39" t="n"/>
    </row>
    <row r="664">
      <c r="A664" s="15" t="n"/>
      <c r="B664" s="14" t="n"/>
      <c r="C664" s="14" t="n"/>
      <c r="D664" s="14" t="n"/>
      <c r="E664" s="15" t="n"/>
      <c r="F664" s="15" t="n"/>
      <c r="G664" s="15" t="n"/>
      <c r="H664" s="15" t="n"/>
      <c r="I664" s="15" t="n"/>
      <c r="J664" s="12" t="n"/>
      <c r="K664" s="39" t="n"/>
    </row>
    <row r="665">
      <c r="A665" s="15" t="n"/>
      <c r="B665" s="14" t="n"/>
      <c r="C665" s="14" t="n"/>
      <c r="D665" s="14" t="n"/>
      <c r="E665" s="15" t="n"/>
      <c r="F665" s="15" t="n"/>
      <c r="G665" s="15" t="n"/>
      <c r="H665" s="15" t="n"/>
      <c r="I665" s="15" t="n"/>
      <c r="J665" s="12" t="n"/>
      <c r="K665" s="39" t="n"/>
    </row>
    <row r="666">
      <c r="A666" s="15" t="n"/>
      <c r="B666" s="14" t="n"/>
      <c r="C666" s="14" t="n"/>
      <c r="D666" s="14" t="n"/>
      <c r="E666" s="15" t="n"/>
      <c r="F666" s="15" t="n"/>
      <c r="G666" s="15" t="n"/>
      <c r="H666" s="15" t="n"/>
      <c r="I666" s="15" t="n"/>
      <c r="J666" s="12" t="n"/>
      <c r="K666" s="39" t="n"/>
    </row>
    <row r="667">
      <c r="A667" s="15" t="n"/>
      <c r="B667" s="14" t="n"/>
      <c r="C667" s="14" t="n"/>
      <c r="D667" s="14" t="n"/>
      <c r="E667" s="15" t="n"/>
      <c r="F667" s="15" t="n"/>
      <c r="G667" s="15" t="n"/>
      <c r="H667" s="15" t="n"/>
      <c r="I667" s="15" t="n"/>
      <c r="J667" s="12" t="n"/>
      <c r="K667" s="39" t="n"/>
    </row>
    <row r="668">
      <c r="A668" s="15" t="n"/>
      <c r="B668" s="14" t="n"/>
      <c r="C668" s="14" t="n"/>
      <c r="D668" s="14" t="n"/>
      <c r="E668" s="15" t="n"/>
      <c r="F668" s="15" t="n"/>
      <c r="G668" s="15" t="n"/>
      <c r="H668" s="15" t="n"/>
      <c r="I668" s="15" t="n"/>
      <c r="J668" s="12" t="n"/>
      <c r="K668" s="39" t="n"/>
    </row>
    <row r="669">
      <c r="A669" s="15" t="n"/>
      <c r="B669" s="14" t="n"/>
      <c r="C669" s="14" t="n"/>
      <c r="D669" s="14" t="n"/>
      <c r="E669" s="15" t="n"/>
      <c r="F669" s="15" t="n"/>
      <c r="G669" s="15" t="n"/>
      <c r="H669" s="15" t="n"/>
      <c r="I669" s="15" t="n"/>
      <c r="J669" s="12" t="n"/>
      <c r="K669" s="39" t="n"/>
    </row>
    <row r="670">
      <c r="A670" s="15" t="n"/>
      <c r="B670" s="14" t="n"/>
      <c r="C670" s="14" t="n"/>
      <c r="D670" s="14" t="n"/>
      <c r="E670" s="15" t="n"/>
      <c r="F670" s="15" t="n"/>
      <c r="G670" s="15" t="n"/>
      <c r="H670" s="15" t="n"/>
      <c r="I670" s="15" t="n"/>
      <c r="J670" s="12" t="n"/>
      <c r="K670" s="39" t="n"/>
    </row>
    <row r="671">
      <c r="A671" s="15" t="n"/>
      <c r="B671" s="14" t="n"/>
      <c r="C671" s="14" t="n"/>
      <c r="D671" s="14" t="n"/>
      <c r="E671" s="15" t="n"/>
      <c r="F671" s="15" t="n"/>
      <c r="G671" s="15" t="n"/>
      <c r="H671" s="15" t="n"/>
      <c r="I671" s="15" t="n"/>
      <c r="J671" s="12" t="n"/>
      <c r="K671" s="39" t="n"/>
    </row>
    <row r="672">
      <c r="A672" s="15" t="n"/>
      <c r="B672" s="14" t="n"/>
      <c r="C672" s="14" t="n"/>
      <c r="D672" s="14" t="n"/>
      <c r="E672" s="15" t="n"/>
      <c r="F672" s="15" t="n"/>
      <c r="G672" s="15" t="n"/>
      <c r="H672" s="15" t="n"/>
      <c r="I672" s="15" t="n"/>
      <c r="J672" s="12" t="n"/>
      <c r="K672" s="39" t="n"/>
    </row>
    <row r="673">
      <c r="A673" s="15" t="n"/>
      <c r="B673" s="14" t="n"/>
      <c r="C673" s="14" t="n"/>
      <c r="D673" s="14" t="n"/>
      <c r="E673" s="15" t="n"/>
      <c r="F673" s="15" t="n"/>
      <c r="G673" s="15" t="n"/>
      <c r="H673" s="15" t="n"/>
      <c r="I673" s="15" t="n"/>
      <c r="J673" s="12" t="n"/>
      <c r="K673" s="39" t="n"/>
    </row>
    <row r="674">
      <c r="A674" s="15" t="n"/>
      <c r="B674" s="14" t="n"/>
      <c r="C674" s="14" t="n"/>
      <c r="D674" s="14" t="n"/>
      <c r="E674" s="15" t="n"/>
      <c r="F674" s="15" t="n"/>
      <c r="G674" s="15" t="n"/>
      <c r="H674" s="15" t="n"/>
      <c r="I674" s="15" t="n"/>
      <c r="J674" s="12" t="n"/>
      <c r="K674" s="39" t="n"/>
    </row>
    <row r="675">
      <c r="A675" s="15" t="n"/>
      <c r="B675" s="14" t="n"/>
      <c r="C675" s="14" t="n"/>
      <c r="D675" s="14" t="n"/>
      <c r="E675" s="15" t="n"/>
      <c r="F675" s="15" t="n"/>
      <c r="G675" s="15" t="n"/>
      <c r="H675" s="15" t="n"/>
      <c r="I675" s="15" t="n"/>
      <c r="J675" s="12" t="n"/>
      <c r="K675" s="39" t="n"/>
    </row>
    <row r="676">
      <c r="A676" s="15" t="n"/>
      <c r="B676" s="14" t="n"/>
      <c r="C676" s="14" t="n"/>
      <c r="D676" s="14" t="n"/>
      <c r="E676" s="15" t="n"/>
      <c r="F676" s="15" t="n"/>
      <c r="G676" s="15" t="n"/>
      <c r="H676" s="15" t="n"/>
      <c r="I676" s="15" t="n"/>
      <c r="J676" s="12" t="n"/>
      <c r="K676" s="39" t="n"/>
    </row>
    <row r="677">
      <c r="A677" s="15" t="n"/>
      <c r="B677" s="14" t="n"/>
      <c r="C677" s="14" t="n"/>
      <c r="D677" s="14" t="n"/>
      <c r="E677" s="15" t="n"/>
      <c r="F677" s="15" t="n"/>
      <c r="G677" s="15" t="n"/>
      <c r="H677" s="15" t="n"/>
      <c r="I677" s="15" t="n"/>
      <c r="J677" s="12" t="n"/>
      <c r="K677" s="39" t="n"/>
    </row>
    <row r="678">
      <c r="A678" s="15" t="n"/>
      <c r="B678" s="14" t="n"/>
      <c r="C678" s="14" t="n"/>
      <c r="D678" s="14" t="n"/>
      <c r="E678" s="15" t="n"/>
      <c r="F678" s="15" t="n"/>
      <c r="G678" s="15" t="n"/>
      <c r="H678" s="15" t="n"/>
      <c r="I678" s="15" t="n"/>
      <c r="J678" s="12" t="n"/>
      <c r="K678" s="39" t="n"/>
    </row>
    <row r="679">
      <c r="A679" s="15" t="n"/>
      <c r="B679" s="14" t="n"/>
      <c r="C679" s="14" t="n"/>
      <c r="D679" s="14" t="n"/>
      <c r="E679" s="15" t="n"/>
      <c r="F679" s="15" t="n"/>
      <c r="G679" s="15" t="n"/>
      <c r="H679" s="15" t="n"/>
      <c r="I679" s="15" t="n"/>
      <c r="J679" s="12" t="n"/>
      <c r="K679" s="39" t="n"/>
    </row>
    <row r="680">
      <c r="A680" s="15" t="n"/>
      <c r="B680" s="14" t="n"/>
      <c r="C680" s="14" t="n"/>
      <c r="D680" s="14" t="n"/>
      <c r="E680" s="15" t="n"/>
      <c r="F680" s="15" t="n"/>
      <c r="G680" s="15" t="n"/>
      <c r="H680" s="15" t="n"/>
      <c r="I680" s="15" t="n"/>
      <c r="J680" s="12" t="n"/>
      <c r="K680" s="39" t="n"/>
    </row>
    <row r="681">
      <c r="A681" s="15" t="n"/>
      <c r="B681" s="14" t="n"/>
      <c r="C681" s="14" t="n"/>
      <c r="D681" s="14" t="n"/>
      <c r="E681" s="15" t="n"/>
      <c r="F681" s="15" t="n"/>
      <c r="G681" s="15" t="n"/>
      <c r="H681" s="15" t="n"/>
      <c r="I681" s="15" t="n"/>
      <c r="J681" s="12" t="n"/>
      <c r="K681" s="39" t="n"/>
    </row>
    <row r="682">
      <c r="A682" s="15" t="n"/>
      <c r="B682" s="14" t="n"/>
      <c r="C682" s="14" t="n"/>
      <c r="D682" s="14" t="n"/>
      <c r="E682" s="15" t="n"/>
      <c r="F682" s="15" t="n"/>
      <c r="G682" s="15" t="n"/>
      <c r="H682" s="15" t="n"/>
      <c r="I682" s="15" t="n"/>
      <c r="J682" s="12" t="n"/>
      <c r="K682" s="39" t="n"/>
    </row>
    <row r="683">
      <c r="A683" s="15" t="n"/>
      <c r="B683" s="14" t="n"/>
      <c r="C683" s="14" t="n"/>
      <c r="D683" s="14" t="n"/>
      <c r="E683" s="15" t="n"/>
      <c r="F683" s="15" t="n"/>
      <c r="G683" s="15" t="n"/>
      <c r="H683" s="15" t="n"/>
      <c r="I683" s="15" t="n"/>
      <c r="J683" s="12" t="n"/>
      <c r="K683" s="39" t="n"/>
    </row>
    <row r="684">
      <c r="A684" s="15" t="n"/>
      <c r="B684" s="14" t="n"/>
      <c r="C684" s="14" t="n"/>
      <c r="D684" s="14" t="n"/>
      <c r="E684" s="15" t="n"/>
      <c r="F684" s="15" t="n"/>
      <c r="G684" s="15" t="n"/>
      <c r="H684" s="15" t="n"/>
      <c r="I684" s="15" t="n"/>
      <c r="J684" s="12" t="n"/>
      <c r="K684" s="39" t="n"/>
    </row>
    <row r="685">
      <c r="A685" s="15" t="n"/>
      <c r="B685" s="14" t="n"/>
      <c r="C685" s="14" t="n"/>
      <c r="D685" s="14" t="n"/>
      <c r="E685" s="15" t="n"/>
      <c r="F685" s="15" t="n"/>
      <c r="G685" s="15" t="n"/>
      <c r="H685" s="15" t="n"/>
      <c r="I685" s="15" t="n"/>
      <c r="J685" s="12" t="n"/>
      <c r="K685" s="39" t="n"/>
    </row>
    <row r="686">
      <c r="A686" s="15" t="n"/>
      <c r="B686" s="14" t="n"/>
      <c r="C686" s="14" t="n"/>
      <c r="D686" s="14" t="n"/>
      <c r="E686" s="15" t="n"/>
      <c r="F686" s="15" t="n"/>
      <c r="G686" s="15" t="n"/>
      <c r="H686" s="15" t="n"/>
      <c r="I686" s="15" t="n"/>
      <c r="J686" s="12" t="n"/>
      <c r="K686" s="39" t="n"/>
    </row>
    <row r="687">
      <c r="A687" s="15" t="n"/>
      <c r="B687" s="14" t="n"/>
      <c r="C687" s="14" t="n"/>
      <c r="D687" s="14" t="n"/>
      <c r="E687" s="15" t="n"/>
      <c r="F687" s="15" t="n"/>
      <c r="G687" s="15" t="n"/>
      <c r="H687" s="15" t="n"/>
      <c r="I687" s="15" t="n"/>
      <c r="J687" s="12" t="n"/>
      <c r="K687" s="39" t="n"/>
    </row>
    <row r="688">
      <c r="A688" s="15" t="n"/>
      <c r="B688" s="14" t="n"/>
      <c r="C688" s="14" t="n"/>
      <c r="D688" s="14" t="n"/>
      <c r="E688" s="15" t="n"/>
      <c r="F688" s="15" t="n"/>
      <c r="G688" s="15" t="n"/>
      <c r="H688" s="15" t="n"/>
      <c r="I688" s="15" t="n"/>
      <c r="J688" s="12" t="n"/>
      <c r="K688" s="39" t="n"/>
    </row>
    <row r="689">
      <c r="A689" s="15" t="n"/>
      <c r="B689" s="14" t="n"/>
      <c r="C689" s="14" t="n"/>
      <c r="D689" s="14" t="n"/>
      <c r="E689" s="15" t="n"/>
      <c r="F689" s="15" t="n"/>
      <c r="G689" s="15" t="n"/>
      <c r="H689" s="15" t="n"/>
      <c r="I689" s="15" t="n"/>
      <c r="J689" s="12" t="n"/>
      <c r="K689" s="39" t="n"/>
    </row>
    <row r="690">
      <c r="A690" s="15" t="n"/>
      <c r="B690" s="14" t="n"/>
      <c r="C690" s="14" t="n"/>
      <c r="D690" s="14" t="n"/>
      <c r="E690" s="15" t="n"/>
      <c r="F690" s="15" t="n"/>
      <c r="G690" s="15" t="n"/>
      <c r="H690" s="15" t="n"/>
      <c r="I690" s="15" t="n"/>
      <c r="J690" s="12" t="n"/>
      <c r="K690" s="39" t="n"/>
    </row>
    <row r="691">
      <c r="A691" s="15" t="n"/>
      <c r="B691" s="14" t="n"/>
      <c r="C691" s="14" t="n"/>
      <c r="D691" s="14" t="n"/>
      <c r="E691" s="15" t="n"/>
      <c r="F691" s="15" t="n"/>
      <c r="G691" s="15" t="n"/>
      <c r="H691" s="15" t="n"/>
      <c r="I691" s="15" t="n"/>
      <c r="J691" s="12" t="n"/>
      <c r="K691" s="39" t="n"/>
    </row>
    <row r="692">
      <c r="A692" s="15" t="n"/>
      <c r="B692" s="14" t="n"/>
      <c r="C692" s="14" t="n"/>
      <c r="D692" s="14" t="n"/>
      <c r="E692" s="15" t="n"/>
      <c r="F692" s="15" t="n"/>
      <c r="G692" s="15" t="n"/>
      <c r="H692" s="15" t="n"/>
      <c r="I692" s="15" t="n"/>
      <c r="J692" s="12" t="n"/>
      <c r="K692" s="39" t="n"/>
    </row>
    <row r="693">
      <c r="A693" s="15" t="n"/>
      <c r="B693" s="14" t="n"/>
      <c r="C693" s="14" t="n"/>
      <c r="D693" s="14" t="n"/>
      <c r="E693" s="15" t="n"/>
      <c r="F693" s="15" t="n"/>
      <c r="G693" s="15" t="n"/>
      <c r="H693" s="15" t="n"/>
      <c r="I693" s="15" t="n"/>
      <c r="J693" s="12" t="n"/>
      <c r="K693" s="39" t="n"/>
    </row>
    <row r="694">
      <c r="A694" s="15" t="n"/>
      <c r="B694" s="14" t="n"/>
      <c r="C694" s="14" t="n"/>
      <c r="D694" s="14" t="n"/>
      <c r="E694" s="15" t="n"/>
      <c r="F694" s="15" t="n"/>
      <c r="G694" s="15" t="n"/>
      <c r="H694" s="15" t="n"/>
      <c r="I694" s="15" t="n"/>
      <c r="J694" s="12" t="n"/>
      <c r="K694" s="39" t="n"/>
    </row>
    <row r="695">
      <c r="A695" s="15" t="n"/>
      <c r="B695" s="14" t="n"/>
      <c r="C695" s="14" t="n"/>
      <c r="D695" s="14" t="n"/>
      <c r="E695" s="15" t="n"/>
      <c r="F695" s="15" t="n"/>
      <c r="G695" s="15" t="n"/>
      <c r="H695" s="15" t="n"/>
      <c r="I695" s="15" t="n"/>
      <c r="J695" s="12" t="n"/>
      <c r="K695" s="39" t="n"/>
    </row>
    <row r="696">
      <c r="A696" s="15" t="n"/>
      <c r="B696" s="14" t="n"/>
      <c r="C696" s="14" t="n"/>
      <c r="D696" s="14" t="n"/>
      <c r="E696" s="15" t="n"/>
      <c r="F696" s="15" t="n"/>
      <c r="G696" s="15" t="n"/>
      <c r="H696" s="15" t="n"/>
      <c r="I696" s="15" t="n"/>
      <c r="J696" s="12" t="n"/>
      <c r="K696" s="39" t="n"/>
    </row>
    <row r="697">
      <c r="A697" s="15" t="n"/>
      <c r="B697" s="14" t="n"/>
      <c r="C697" s="14" t="n"/>
      <c r="D697" s="14" t="n"/>
      <c r="E697" s="15" t="n"/>
      <c r="F697" s="15" t="n"/>
      <c r="G697" s="15" t="n"/>
      <c r="H697" s="15" t="n"/>
      <c r="I697" s="15" t="n"/>
      <c r="J697" s="12" t="n"/>
      <c r="K697" s="39" t="n"/>
    </row>
    <row r="698">
      <c r="A698" s="15" t="n"/>
      <c r="B698" s="14" t="n"/>
      <c r="C698" s="14" t="n"/>
      <c r="D698" s="14" t="n"/>
      <c r="E698" s="15" t="n"/>
      <c r="F698" s="15" t="n"/>
      <c r="G698" s="15" t="n"/>
      <c r="H698" s="15" t="n"/>
      <c r="I698" s="15" t="n"/>
      <c r="J698" s="12" t="n"/>
      <c r="K698" s="39" t="n"/>
    </row>
    <row r="699">
      <c r="A699" s="15" t="n"/>
      <c r="B699" s="14" t="n"/>
      <c r="C699" s="14" t="n"/>
      <c r="D699" s="14" t="n"/>
      <c r="E699" s="15" t="n"/>
      <c r="F699" s="15" t="n"/>
      <c r="G699" s="15" t="n"/>
      <c r="H699" s="15" t="n"/>
      <c r="I699" s="15" t="n"/>
      <c r="J699" s="12" t="n"/>
      <c r="K699" s="39" t="n"/>
    </row>
    <row r="700">
      <c r="A700" s="15" t="n"/>
      <c r="B700" s="14" t="n"/>
      <c r="C700" s="14" t="n"/>
      <c r="D700" s="14" t="n"/>
      <c r="E700" s="15" t="n"/>
      <c r="F700" s="15" t="n"/>
      <c r="G700" s="15" t="n"/>
      <c r="H700" s="15" t="n"/>
      <c r="I700" s="15" t="n"/>
      <c r="J700" s="12" t="n"/>
      <c r="K700" s="39" t="n"/>
    </row>
    <row r="701">
      <c r="A701" s="15" t="n"/>
      <c r="B701" s="14" t="n"/>
      <c r="C701" s="14" t="n"/>
      <c r="D701" s="14" t="n"/>
      <c r="E701" s="15" t="n"/>
      <c r="F701" s="15" t="n"/>
      <c r="G701" s="15" t="n"/>
      <c r="H701" s="15" t="n"/>
      <c r="I701" s="15" t="n"/>
      <c r="J701" s="12" t="n"/>
      <c r="K701" s="39" t="n"/>
    </row>
    <row r="702">
      <c r="A702" s="15" t="n"/>
      <c r="B702" s="14" t="n"/>
      <c r="C702" s="14" t="n"/>
      <c r="D702" s="14" t="n"/>
      <c r="E702" s="15" t="n"/>
      <c r="F702" s="15" t="n"/>
      <c r="G702" s="15" t="n"/>
      <c r="H702" s="15" t="n"/>
      <c r="I702" s="15" t="n"/>
      <c r="J702" s="12" t="n"/>
      <c r="K702" s="39" t="n"/>
    </row>
    <row r="703">
      <c r="A703" s="15" t="n"/>
      <c r="B703" s="14" t="n"/>
      <c r="C703" s="14" t="n"/>
      <c r="D703" s="14" t="n"/>
      <c r="E703" s="15" t="n"/>
      <c r="F703" s="15" t="n"/>
      <c r="G703" s="15" t="n"/>
      <c r="H703" s="15" t="n"/>
      <c r="I703" s="15" t="n"/>
      <c r="J703" s="12" t="n"/>
      <c r="K703" s="39" t="n"/>
    </row>
    <row r="704">
      <c r="A704" s="15" t="n"/>
      <c r="B704" s="14" t="n"/>
      <c r="C704" s="14" t="n"/>
      <c r="D704" s="14" t="n"/>
      <c r="E704" s="15" t="n"/>
      <c r="F704" s="15" t="n"/>
      <c r="G704" s="15" t="n"/>
      <c r="H704" s="15" t="n"/>
      <c r="I704" s="15" t="n"/>
      <c r="J704" s="12" t="n"/>
      <c r="K704" s="39" t="n"/>
    </row>
    <row r="705">
      <c r="A705" s="15" t="n"/>
      <c r="B705" s="14" t="n"/>
      <c r="C705" s="14" t="n"/>
      <c r="D705" s="14" t="n"/>
      <c r="E705" s="15" t="n"/>
      <c r="F705" s="15" t="n"/>
      <c r="G705" s="15" t="n"/>
      <c r="H705" s="15" t="n"/>
      <c r="I705" s="15" t="n"/>
      <c r="J705" s="12" t="n"/>
      <c r="K705" s="39" t="n"/>
    </row>
    <row r="706">
      <c r="A706" s="15" t="n"/>
      <c r="B706" s="14" t="n"/>
      <c r="C706" s="14" t="n"/>
      <c r="D706" s="14" t="n"/>
      <c r="E706" s="15" t="n"/>
      <c r="F706" s="15" t="n"/>
      <c r="G706" s="15" t="n"/>
      <c r="H706" s="15" t="n"/>
      <c r="I706" s="15" t="n"/>
      <c r="J706" s="12" t="n"/>
      <c r="K706" s="39" t="n"/>
    </row>
    <row r="707">
      <c r="A707" s="15" t="n"/>
      <c r="B707" s="14" t="n"/>
      <c r="C707" s="14" t="n"/>
      <c r="D707" s="14" t="n"/>
      <c r="E707" s="15" t="n"/>
      <c r="F707" s="15" t="n"/>
      <c r="G707" s="15" t="n"/>
      <c r="H707" s="15" t="n"/>
      <c r="I707" s="15" t="n"/>
      <c r="J707" s="12" t="n"/>
      <c r="K707" s="39" t="n"/>
    </row>
    <row r="708">
      <c r="A708" s="15" t="n"/>
      <c r="B708" s="14" t="n"/>
      <c r="C708" s="14" t="n"/>
      <c r="D708" s="14" t="n"/>
      <c r="E708" s="15" t="n"/>
      <c r="F708" s="15" t="n"/>
      <c r="G708" s="15" t="n"/>
      <c r="H708" s="15" t="n"/>
      <c r="I708" s="15" t="n"/>
      <c r="J708" s="12" t="n"/>
      <c r="K708" s="39" t="n"/>
    </row>
    <row r="709">
      <c r="A709" s="15" t="n"/>
      <c r="B709" s="14" t="n"/>
      <c r="C709" s="14" t="n"/>
      <c r="D709" s="14" t="n"/>
      <c r="E709" s="15" t="n"/>
      <c r="F709" s="15" t="n"/>
      <c r="G709" s="15" t="n"/>
      <c r="H709" s="15" t="n"/>
      <c r="I709" s="15" t="n"/>
      <c r="J709" s="12" t="n"/>
      <c r="K709" s="39" t="n"/>
    </row>
    <row r="710">
      <c r="A710" s="15" t="n"/>
      <c r="B710" s="14" t="n"/>
      <c r="C710" s="14" t="n"/>
      <c r="D710" s="14" t="n"/>
      <c r="E710" s="15" t="n"/>
      <c r="F710" s="15" t="n"/>
      <c r="G710" s="15" t="n"/>
      <c r="H710" s="15" t="n"/>
      <c r="I710" s="15" t="n"/>
      <c r="J710" s="12" t="n"/>
      <c r="K710" s="39" t="n"/>
    </row>
    <row r="711">
      <c r="A711" s="15" t="n"/>
      <c r="B711" s="14" t="n"/>
      <c r="C711" s="14" t="n"/>
      <c r="D711" s="14" t="n"/>
      <c r="E711" s="15" t="n"/>
      <c r="F711" s="15" t="n"/>
      <c r="G711" s="15" t="n"/>
      <c r="H711" s="15" t="n"/>
      <c r="I711" s="15" t="n"/>
      <c r="J711" s="12" t="n"/>
      <c r="K711" s="39" t="n"/>
    </row>
    <row r="712">
      <c r="A712" s="15" t="n"/>
      <c r="B712" s="14" t="n"/>
      <c r="C712" s="14" t="n"/>
      <c r="D712" s="14" t="n"/>
      <c r="E712" s="15" t="n"/>
      <c r="F712" s="15" t="n"/>
      <c r="G712" s="15" t="n"/>
      <c r="H712" s="15" t="n"/>
      <c r="I712" s="15" t="n"/>
      <c r="J712" s="12" t="n"/>
      <c r="K712" s="39" t="n"/>
    </row>
    <row r="713">
      <c r="A713" s="15" t="n"/>
      <c r="B713" s="14" t="n"/>
      <c r="C713" s="14" t="n"/>
      <c r="D713" s="14" t="n"/>
      <c r="E713" s="15" t="n"/>
      <c r="F713" s="15" t="n"/>
      <c r="G713" s="15" t="n"/>
      <c r="H713" s="15" t="n"/>
      <c r="I713" s="15" t="n"/>
      <c r="J713" s="12" t="n"/>
      <c r="K713" s="39" t="n"/>
    </row>
    <row r="714">
      <c r="A714" s="15" t="n"/>
      <c r="B714" s="14" t="n"/>
      <c r="C714" s="14" t="n"/>
      <c r="D714" s="14" t="n"/>
      <c r="E714" s="15" t="n"/>
      <c r="F714" s="15" t="n"/>
      <c r="G714" s="15" t="n"/>
      <c r="H714" s="15" t="n"/>
      <c r="I714" s="15" t="n"/>
      <c r="J714" s="12" t="n"/>
      <c r="K714" s="39" t="n"/>
    </row>
    <row r="715">
      <c r="A715" s="15" t="n"/>
      <c r="B715" s="14" t="n"/>
      <c r="C715" s="14" t="n"/>
      <c r="D715" s="14" t="n"/>
      <c r="E715" s="15" t="n"/>
      <c r="F715" s="15" t="n"/>
      <c r="G715" s="15" t="n"/>
      <c r="H715" s="15" t="n"/>
      <c r="I715" s="15" t="n"/>
      <c r="J715" s="12" t="n"/>
      <c r="K715" s="39" t="n"/>
    </row>
    <row r="716">
      <c r="A716" s="15" t="n"/>
      <c r="B716" s="14" t="n"/>
      <c r="C716" s="14" t="n"/>
      <c r="D716" s="14" t="n"/>
      <c r="E716" s="15" t="n"/>
      <c r="F716" s="15" t="n"/>
      <c r="G716" s="15" t="n"/>
      <c r="H716" s="15" t="n"/>
      <c r="I716" s="15" t="n"/>
      <c r="J716" s="12" t="n"/>
      <c r="K716" s="39" t="n"/>
    </row>
    <row r="717">
      <c r="A717" s="15" t="n"/>
      <c r="B717" s="14" t="n"/>
      <c r="C717" s="14" t="n"/>
      <c r="D717" s="14" t="n"/>
      <c r="E717" s="15" t="n"/>
      <c r="F717" s="15" t="n"/>
      <c r="G717" s="15" t="n"/>
      <c r="H717" s="15" t="n"/>
      <c r="I717" s="15" t="n"/>
      <c r="J717" s="12" t="n"/>
      <c r="K717" s="39" t="n"/>
    </row>
    <row r="718">
      <c r="A718" s="15" t="n"/>
      <c r="B718" s="14" t="n"/>
      <c r="C718" s="14" t="n"/>
      <c r="D718" s="14" t="n"/>
      <c r="E718" s="15" t="n"/>
      <c r="F718" s="15" t="n"/>
      <c r="G718" s="15" t="n"/>
      <c r="H718" s="15" t="n"/>
      <c r="I718" s="15" t="n"/>
      <c r="J718" s="12" t="n"/>
      <c r="K718" s="39" t="n"/>
    </row>
    <row r="719">
      <c r="A719" s="15" t="n"/>
      <c r="B719" s="14" t="n"/>
      <c r="C719" s="14" t="n"/>
      <c r="D719" s="14" t="n"/>
      <c r="E719" s="15" t="n"/>
      <c r="F719" s="15" t="n"/>
      <c r="G719" s="15" t="n"/>
      <c r="H719" s="15" t="n"/>
      <c r="I719" s="15" t="n"/>
      <c r="J719" s="12" t="n"/>
      <c r="K719" s="39" t="n"/>
    </row>
    <row r="720">
      <c r="A720" s="15" t="n"/>
      <c r="B720" s="14" t="n"/>
      <c r="C720" s="14" t="n"/>
      <c r="D720" s="14" t="n"/>
      <c r="E720" s="15" t="n"/>
      <c r="F720" s="15" t="n"/>
      <c r="G720" s="15" t="n"/>
      <c r="H720" s="15" t="n"/>
      <c r="I720" s="15" t="n"/>
      <c r="J720" s="12" t="n"/>
      <c r="K720" s="39" t="n"/>
    </row>
    <row r="721">
      <c r="A721" s="15" t="n"/>
      <c r="B721" s="14" t="n"/>
      <c r="C721" s="14" t="n"/>
      <c r="D721" s="14" t="n"/>
      <c r="E721" s="15" t="n"/>
      <c r="F721" s="15" t="n"/>
      <c r="G721" s="15" t="n"/>
      <c r="H721" s="15" t="n"/>
      <c r="I721" s="15" t="n"/>
      <c r="J721" s="12" t="n"/>
      <c r="K721" s="39" t="n"/>
    </row>
    <row r="722">
      <c r="A722" s="15" t="n"/>
      <c r="B722" s="14" t="n"/>
      <c r="C722" s="14" t="n"/>
      <c r="D722" s="14" t="n"/>
      <c r="E722" s="15" t="n"/>
      <c r="F722" s="15" t="n"/>
      <c r="G722" s="15" t="n"/>
      <c r="H722" s="15" t="n"/>
      <c r="I722" s="15" t="n"/>
      <c r="J722" s="12" t="n"/>
      <c r="K722" s="39" t="n"/>
    </row>
    <row r="723">
      <c r="A723" s="15" t="n"/>
      <c r="B723" s="14" t="n"/>
      <c r="C723" s="14" t="n"/>
      <c r="D723" s="14" t="n"/>
      <c r="E723" s="15" t="n"/>
      <c r="F723" s="15" t="n"/>
      <c r="G723" s="15" t="n"/>
      <c r="H723" s="15" t="n"/>
      <c r="I723" s="15" t="n"/>
      <c r="J723" s="12" t="n"/>
      <c r="K723" s="39" t="n"/>
    </row>
    <row r="724">
      <c r="A724" s="15" t="n"/>
      <c r="B724" s="14" t="n"/>
      <c r="C724" s="14" t="n"/>
      <c r="D724" s="14" t="n"/>
      <c r="E724" s="15" t="n"/>
      <c r="F724" s="15" t="n"/>
      <c r="G724" s="15" t="n"/>
      <c r="H724" s="15" t="n"/>
      <c r="I724" s="15" t="n"/>
      <c r="J724" s="12" t="n"/>
      <c r="K724" s="39" t="n"/>
    </row>
    <row r="725">
      <c r="A725" s="15" t="n"/>
      <c r="B725" s="14" t="n"/>
      <c r="C725" s="14" t="n"/>
      <c r="D725" s="14" t="n"/>
      <c r="E725" s="15" t="n"/>
      <c r="F725" s="15" t="n"/>
      <c r="G725" s="15" t="n"/>
      <c r="H725" s="15" t="n"/>
      <c r="I725" s="15" t="n"/>
      <c r="J725" s="12" t="n"/>
      <c r="K725" s="39" t="n"/>
    </row>
    <row r="726">
      <c r="A726" s="15" t="n"/>
      <c r="B726" s="14" t="n"/>
      <c r="C726" s="14" t="n"/>
      <c r="D726" s="14" t="n"/>
      <c r="E726" s="15" t="n"/>
      <c r="F726" s="15" t="n"/>
      <c r="G726" s="15" t="n"/>
      <c r="H726" s="15" t="n"/>
      <c r="I726" s="15" t="n"/>
      <c r="J726" s="12" t="n"/>
      <c r="K726" s="39" t="n"/>
    </row>
    <row r="727">
      <c r="A727" s="15" t="n"/>
      <c r="B727" s="14" t="n"/>
      <c r="C727" s="14" t="n"/>
      <c r="D727" s="14" t="n"/>
      <c r="E727" s="15" t="n"/>
      <c r="F727" s="15" t="n"/>
      <c r="G727" s="15" t="n"/>
      <c r="H727" s="15" t="n"/>
      <c r="I727" s="15" t="n"/>
      <c r="J727" s="12" t="n"/>
      <c r="K727" s="39" t="n"/>
    </row>
    <row r="728">
      <c r="A728" s="15" t="n"/>
      <c r="B728" s="14" t="n"/>
      <c r="C728" s="14" t="n"/>
      <c r="D728" s="14" t="n"/>
      <c r="E728" s="15" t="n"/>
      <c r="F728" s="15" t="n"/>
      <c r="G728" s="15" t="n"/>
      <c r="H728" s="15" t="n"/>
      <c r="I728" s="15" t="n"/>
      <c r="J728" s="12" t="n"/>
      <c r="K728" s="39" t="n"/>
    </row>
    <row r="729">
      <c r="A729" s="15" t="n"/>
      <c r="B729" s="14" t="n"/>
      <c r="C729" s="14" t="n"/>
      <c r="D729" s="14" t="n"/>
      <c r="E729" s="15" t="n"/>
      <c r="F729" s="15" t="n"/>
      <c r="G729" s="15" t="n"/>
      <c r="H729" s="15" t="n"/>
      <c r="I729" s="15" t="n"/>
      <c r="J729" s="12" t="n"/>
      <c r="K729" s="39" t="n"/>
    </row>
    <row r="730">
      <c r="A730" s="15" t="n"/>
      <c r="B730" s="14" t="n"/>
      <c r="C730" s="14" t="n"/>
      <c r="D730" s="14" t="n"/>
      <c r="E730" s="15" t="n"/>
      <c r="F730" s="15" t="n"/>
      <c r="G730" s="15" t="n"/>
      <c r="H730" s="15" t="n"/>
      <c r="I730" s="15" t="n"/>
      <c r="J730" s="12" t="n"/>
      <c r="K730" s="39" t="n"/>
    </row>
    <row r="731">
      <c r="A731" s="15" t="n"/>
      <c r="B731" s="14" t="n"/>
      <c r="C731" s="14" t="n"/>
      <c r="D731" s="14" t="n"/>
      <c r="E731" s="15" t="n"/>
      <c r="F731" s="15" t="n"/>
      <c r="G731" s="15" t="n"/>
      <c r="H731" s="15" t="n"/>
      <c r="I731" s="15" t="n"/>
      <c r="J731" s="12" t="n"/>
      <c r="K731" s="39" t="n"/>
    </row>
    <row r="732">
      <c r="A732" s="15" t="n"/>
      <c r="B732" s="14" t="n"/>
      <c r="C732" s="14" t="n"/>
      <c r="D732" s="14" t="n"/>
      <c r="E732" s="15" t="n"/>
      <c r="F732" s="15" t="n"/>
      <c r="G732" s="15" t="n"/>
      <c r="H732" s="15" t="n"/>
      <c r="I732" s="15" t="n"/>
      <c r="J732" s="12" t="n"/>
      <c r="K732" s="39" t="n"/>
    </row>
    <row r="733">
      <c r="A733" s="15" t="n"/>
      <c r="B733" s="14" t="n"/>
      <c r="C733" s="14" t="n"/>
      <c r="D733" s="14" t="n"/>
      <c r="E733" s="15" t="n"/>
      <c r="F733" s="15" t="n"/>
      <c r="G733" s="15" t="n"/>
      <c r="H733" s="15" t="n"/>
      <c r="I733" s="15" t="n"/>
      <c r="J733" s="12" t="n"/>
      <c r="K733" s="39" t="n"/>
    </row>
    <row r="734">
      <c r="A734" s="15" t="n"/>
      <c r="B734" s="14" t="n"/>
      <c r="C734" s="14" t="n"/>
      <c r="D734" s="14" t="n"/>
      <c r="E734" s="15" t="n"/>
      <c r="F734" s="15" t="n"/>
      <c r="G734" s="15" t="n"/>
      <c r="H734" s="15" t="n"/>
      <c r="I734" s="15" t="n"/>
      <c r="J734" s="12" t="n"/>
      <c r="K734" s="39" t="n"/>
    </row>
    <row r="735">
      <c r="A735" s="15" t="n"/>
      <c r="B735" s="14" t="n"/>
      <c r="C735" s="14" t="n"/>
      <c r="D735" s="14" t="n"/>
      <c r="E735" s="15" t="n"/>
      <c r="F735" s="15" t="n"/>
      <c r="G735" s="15" t="n"/>
      <c r="H735" s="15" t="n"/>
      <c r="I735" s="15" t="n"/>
      <c r="J735" s="12" t="n"/>
      <c r="K735" s="39" t="n"/>
    </row>
    <row r="736">
      <c r="A736" s="15" t="n"/>
      <c r="B736" s="14" t="n"/>
      <c r="C736" s="14" t="n"/>
      <c r="D736" s="14" t="n"/>
      <c r="E736" s="15" t="n"/>
      <c r="F736" s="15" t="n"/>
      <c r="G736" s="15" t="n"/>
      <c r="H736" s="15" t="n"/>
      <c r="I736" s="15" t="n"/>
      <c r="J736" s="12" t="n"/>
      <c r="K736" s="39" t="n"/>
    </row>
    <row r="737">
      <c r="A737" s="15" t="n"/>
      <c r="B737" s="14" t="n"/>
      <c r="C737" s="14" t="n"/>
      <c r="D737" s="14" t="n"/>
      <c r="E737" s="15" t="n"/>
      <c r="F737" s="15" t="n"/>
      <c r="G737" s="15" t="n"/>
      <c r="H737" s="15" t="n"/>
      <c r="I737" s="15" t="n"/>
      <c r="J737" s="12" t="n"/>
      <c r="K737" s="39" t="n"/>
    </row>
    <row r="738">
      <c r="A738" s="15" t="n"/>
      <c r="B738" s="14" t="n"/>
      <c r="C738" s="14" t="n"/>
      <c r="D738" s="14" t="n"/>
      <c r="E738" s="15" t="n"/>
      <c r="F738" s="15" t="n"/>
      <c r="G738" s="15" t="n"/>
      <c r="H738" s="15" t="n"/>
      <c r="I738" s="15" t="n"/>
      <c r="J738" s="12" t="n"/>
      <c r="K738" s="39" t="n"/>
    </row>
    <row r="739">
      <c r="A739" s="15" t="n"/>
      <c r="B739" s="14" t="n"/>
      <c r="C739" s="14" t="n"/>
      <c r="D739" s="14" t="n"/>
      <c r="E739" s="15" t="n"/>
      <c r="F739" s="15" t="n"/>
      <c r="G739" s="15" t="n"/>
      <c r="H739" s="15" t="n"/>
      <c r="I739" s="15" t="n"/>
      <c r="J739" s="12" t="n"/>
      <c r="K739" s="39" t="n"/>
    </row>
    <row r="740">
      <c r="A740" s="15" t="n"/>
      <c r="B740" s="14" t="n"/>
      <c r="C740" s="14" t="n"/>
      <c r="D740" s="14" t="n"/>
      <c r="E740" s="15" t="n"/>
      <c r="F740" s="15" t="n"/>
      <c r="G740" s="15" t="n"/>
      <c r="H740" s="15" t="n"/>
      <c r="I740" s="15" t="n"/>
      <c r="J740" s="12" t="n"/>
      <c r="K740" s="39" t="n"/>
    </row>
    <row r="741">
      <c r="A741" s="15" t="n"/>
      <c r="B741" s="14" t="n"/>
      <c r="C741" s="14" t="n"/>
      <c r="D741" s="14" t="n"/>
      <c r="E741" s="15" t="n"/>
      <c r="F741" s="15" t="n"/>
      <c r="G741" s="15" t="n"/>
      <c r="H741" s="15" t="n"/>
      <c r="I741" s="15" t="n"/>
      <c r="J741" s="12" t="n"/>
      <c r="K741" s="39" t="n"/>
    </row>
    <row r="742">
      <c r="A742" s="15" t="n"/>
      <c r="B742" s="14" t="n"/>
      <c r="C742" s="14" t="n"/>
      <c r="D742" s="14" t="n"/>
      <c r="E742" s="15" t="n"/>
      <c r="F742" s="15" t="n"/>
      <c r="G742" s="15" t="n"/>
      <c r="H742" s="15" t="n"/>
      <c r="I742" s="15" t="n"/>
      <c r="J742" s="12" t="n"/>
      <c r="K742" s="39" t="n"/>
    </row>
    <row r="743">
      <c r="A743" s="15" t="n"/>
      <c r="B743" s="14" t="n"/>
      <c r="C743" s="14" t="n"/>
      <c r="D743" s="14" t="n"/>
      <c r="E743" s="15" t="n"/>
      <c r="F743" s="15" t="n"/>
      <c r="G743" s="15" t="n"/>
      <c r="H743" s="15" t="n"/>
      <c r="I743" s="15" t="n"/>
      <c r="J743" s="12" t="n"/>
      <c r="K743" s="39" t="n"/>
    </row>
    <row r="744">
      <c r="A744" s="15" t="n"/>
      <c r="B744" s="14" t="n"/>
      <c r="C744" s="14" t="n"/>
      <c r="D744" s="14" t="n"/>
      <c r="E744" s="15" t="n"/>
      <c r="F744" s="15" t="n"/>
      <c r="G744" s="15" t="n"/>
      <c r="H744" s="15" t="n"/>
      <c r="I744" s="15" t="n"/>
      <c r="J744" s="12" t="n"/>
      <c r="K744" s="39" t="n"/>
    </row>
    <row r="745">
      <c r="A745" s="15" t="n"/>
      <c r="B745" s="14" t="n"/>
      <c r="C745" s="14" t="n"/>
      <c r="D745" s="14" t="n"/>
      <c r="E745" s="15" t="n"/>
      <c r="F745" s="15" t="n"/>
      <c r="G745" s="15" t="n"/>
      <c r="H745" s="15" t="n"/>
      <c r="I745" s="15" t="n"/>
      <c r="J745" s="12" t="n"/>
      <c r="K745" s="39" t="n"/>
    </row>
    <row r="746">
      <c r="A746" s="15" t="n"/>
      <c r="B746" s="14" t="n"/>
      <c r="C746" s="14" t="n"/>
      <c r="D746" s="14" t="n"/>
      <c r="E746" s="15" t="n"/>
      <c r="F746" s="15" t="n"/>
      <c r="G746" s="15" t="n"/>
      <c r="H746" s="15" t="n"/>
      <c r="I746" s="15" t="n"/>
      <c r="J746" s="12" t="n"/>
      <c r="K746" s="39" t="n"/>
    </row>
    <row r="747">
      <c r="A747" s="15" t="n"/>
      <c r="B747" s="14" t="n"/>
      <c r="C747" s="14" t="n"/>
      <c r="D747" s="14" t="n"/>
      <c r="E747" s="15" t="n"/>
      <c r="F747" s="15" t="n"/>
      <c r="G747" s="15" t="n"/>
      <c r="H747" s="15" t="n"/>
      <c r="I747" s="15" t="n"/>
      <c r="J747" s="12" t="n"/>
      <c r="K747" s="39" t="n"/>
    </row>
    <row r="748">
      <c r="A748" s="15" t="n"/>
      <c r="B748" s="14" t="n"/>
      <c r="C748" s="14" t="n"/>
      <c r="D748" s="14" t="n"/>
      <c r="E748" s="15" t="n"/>
      <c r="F748" s="15" t="n"/>
      <c r="G748" s="15" t="n"/>
      <c r="H748" s="15" t="n"/>
      <c r="I748" s="15" t="n"/>
      <c r="J748" s="12" t="n"/>
      <c r="K748" s="39" t="n"/>
    </row>
    <row r="749">
      <c r="A749" s="15" t="n"/>
      <c r="B749" s="14" t="n"/>
      <c r="C749" s="14" t="n"/>
      <c r="D749" s="14" t="n"/>
      <c r="E749" s="15" t="n"/>
      <c r="F749" s="15" t="n"/>
      <c r="G749" s="15" t="n"/>
      <c r="H749" s="15" t="n"/>
      <c r="I749" s="15" t="n"/>
      <c r="J749" s="12" t="n"/>
      <c r="K749" s="39" t="n"/>
    </row>
    <row r="750">
      <c r="A750" s="15" t="n"/>
      <c r="B750" s="14" t="n"/>
      <c r="C750" s="14" t="n"/>
      <c r="D750" s="14" t="n"/>
      <c r="E750" s="15" t="n"/>
      <c r="F750" s="15" t="n"/>
      <c r="G750" s="15" t="n"/>
      <c r="H750" s="15" t="n"/>
      <c r="I750" s="15" t="n"/>
      <c r="J750" s="12" t="n"/>
      <c r="K750" s="39" t="n"/>
    </row>
    <row r="751">
      <c r="A751" s="15" t="n"/>
      <c r="B751" s="14" t="n"/>
      <c r="C751" s="14" t="n"/>
      <c r="D751" s="14" t="n"/>
      <c r="E751" s="15" t="n"/>
      <c r="F751" s="15" t="n"/>
      <c r="G751" s="15" t="n"/>
      <c r="H751" s="15" t="n"/>
      <c r="I751" s="15" t="n"/>
      <c r="J751" s="12" t="n"/>
      <c r="K751" s="39" t="n"/>
    </row>
    <row r="752">
      <c r="A752" s="15" t="n"/>
      <c r="B752" s="14" t="n"/>
      <c r="C752" s="14" t="n"/>
      <c r="D752" s="14" t="n"/>
      <c r="E752" s="15" t="n"/>
      <c r="F752" s="15" t="n"/>
      <c r="G752" s="15" t="n"/>
      <c r="H752" s="15" t="n"/>
      <c r="I752" s="15" t="n"/>
      <c r="J752" s="12" t="n"/>
      <c r="K752" s="39" t="n"/>
    </row>
    <row r="753">
      <c r="A753" s="15" t="n"/>
      <c r="B753" s="14" t="n"/>
      <c r="C753" s="14" t="n"/>
      <c r="D753" s="14" t="n"/>
      <c r="E753" s="15" t="n"/>
      <c r="F753" s="15" t="n"/>
      <c r="G753" s="15" t="n"/>
      <c r="H753" s="15" t="n"/>
      <c r="I753" s="15" t="n"/>
      <c r="J753" s="12" t="n"/>
      <c r="K753" s="39" t="n"/>
    </row>
    <row r="754">
      <c r="A754" s="15" t="n"/>
      <c r="B754" s="14" t="n"/>
      <c r="C754" s="14" t="n"/>
      <c r="D754" s="14" t="n"/>
      <c r="E754" s="15" t="n"/>
      <c r="F754" s="15" t="n"/>
      <c r="G754" s="15" t="n"/>
      <c r="H754" s="15" t="n"/>
      <c r="I754" s="15" t="n"/>
      <c r="J754" s="12" t="n"/>
      <c r="K754" s="39" t="n"/>
    </row>
    <row r="755">
      <c r="A755" s="15" t="n"/>
      <c r="B755" s="14" t="n"/>
      <c r="C755" s="14" t="n"/>
      <c r="D755" s="14" t="n"/>
      <c r="E755" s="15" t="n"/>
      <c r="F755" s="15" t="n"/>
      <c r="G755" s="15" t="n"/>
      <c r="H755" s="15" t="n"/>
      <c r="I755" s="15" t="n"/>
      <c r="J755" s="12" t="n"/>
      <c r="K755" s="39" t="n"/>
    </row>
    <row r="756">
      <c r="A756" s="15" t="n"/>
      <c r="B756" s="14" t="n"/>
      <c r="C756" s="14" t="n"/>
      <c r="D756" s="14" t="n"/>
      <c r="E756" s="15" t="n"/>
      <c r="F756" s="15" t="n"/>
      <c r="G756" s="15" t="n"/>
      <c r="H756" s="15" t="n"/>
      <c r="I756" s="15" t="n"/>
      <c r="J756" s="12" t="n"/>
      <c r="K756" s="39" t="n"/>
    </row>
    <row r="757">
      <c r="A757" s="15" t="n"/>
      <c r="B757" s="14" t="n"/>
      <c r="C757" s="14" t="n"/>
      <c r="D757" s="14" t="n"/>
      <c r="E757" s="15" t="n"/>
      <c r="F757" s="15" t="n"/>
      <c r="G757" s="15" t="n"/>
      <c r="H757" s="15" t="n"/>
      <c r="I757" s="15" t="n"/>
      <c r="J757" s="12" t="n"/>
      <c r="K757" s="39" t="n"/>
    </row>
    <row r="758">
      <c r="A758" s="15" t="n"/>
      <c r="B758" s="14" t="n"/>
      <c r="C758" s="14" t="n"/>
      <c r="D758" s="14" t="n"/>
      <c r="E758" s="15" t="n"/>
      <c r="F758" s="15" t="n"/>
      <c r="G758" s="15" t="n"/>
      <c r="H758" s="15" t="n"/>
      <c r="I758" s="15" t="n"/>
      <c r="J758" s="12" t="n"/>
      <c r="K758" s="39" t="n"/>
    </row>
    <row r="759">
      <c r="A759" s="15" t="n"/>
      <c r="B759" s="14" t="n"/>
      <c r="C759" s="14" t="n"/>
      <c r="D759" s="14" t="n"/>
      <c r="E759" s="15" t="n"/>
      <c r="F759" s="15" t="n"/>
      <c r="G759" s="15" t="n"/>
      <c r="H759" s="15" t="n"/>
      <c r="I759" s="15" t="n"/>
      <c r="J759" s="12" t="n"/>
      <c r="K759" s="39" t="n"/>
    </row>
    <row r="760">
      <c r="A760" s="15" t="n"/>
      <c r="B760" s="14" t="n"/>
      <c r="C760" s="14" t="n"/>
      <c r="D760" s="14" t="n"/>
      <c r="E760" s="15" t="n"/>
      <c r="F760" s="15" t="n"/>
      <c r="G760" s="15" t="n"/>
      <c r="H760" s="15" t="n"/>
      <c r="I760" s="15" t="n"/>
      <c r="J760" s="12" t="n"/>
      <c r="K760" s="39" t="n"/>
    </row>
    <row r="761">
      <c r="A761" s="15" t="n"/>
      <c r="B761" s="14" t="n"/>
      <c r="C761" s="14" t="n"/>
      <c r="D761" s="14" t="n"/>
      <c r="E761" s="15" t="n"/>
      <c r="F761" s="15" t="n"/>
      <c r="G761" s="15" t="n"/>
      <c r="H761" s="15" t="n"/>
      <c r="I761" s="15" t="n"/>
      <c r="J761" s="12" t="n"/>
      <c r="K761" s="39" t="n"/>
    </row>
    <row r="762">
      <c r="A762" s="15" t="n"/>
      <c r="B762" s="14" t="n"/>
      <c r="C762" s="14" t="n"/>
      <c r="D762" s="14" t="n"/>
      <c r="E762" s="15" t="n"/>
      <c r="F762" s="15" t="n"/>
      <c r="G762" s="15" t="n"/>
      <c r="H762" s="15" t="n"/>
      <c r="I762" s="15" t="n"/>
      <c r="J762" s="12" t="n"/>
      <c r="K762" s="39" t="n"/>
    </row>
    <row r="763">
      <c r="A763" s="15" t="n"/>
      <c r="B763" s="14" t="n"/>
      <c r="C763" s="14" t="n"/>
      <c r="D763" s="14" t="n"/>
      <c r="E763" s="15" t="n"/>
      <c r="F763" s="15" t="n"/>
      <c r="G763" s="15" t="n"/>
      <c r="H763" s="15" t="n"/>
      <c r="I763" s="15" t="n"/>
      <c r="J763" s="12" t="n"/>
      <c r="K763" s="39" t="n"/>
    </row>
    <row r="764">
      <c r="A764" s="15" t="n"/>
      <c r="B764" s="14" t="n"/>
      <c r="C764" s="14" t="n"/>
      <c r="D764" s="14" t="n"/>
      <c r="E764" s="15" t="n"/>
      <c r="F764" s="15" t="n"/>
      <c r="G764" s="15" t="n"/>
      <c r="H764" s="15" t="n"/>
      <c r="I764" s="15" t="n"/>
      <c r="J764" s="12" t="n"/>
      <c r="K764" s="39" t="n"/>
    </row>
    <row r="765">
      <c r="A765" s="15" t="n"/>
      <c r="B765" s="14" t="n"/>
      <c r="C765" s="14" t="n"/>
      <c r="D765" s="14" t="n"/>
      <c r="E765" s="15" t="n"/>
      <c r="F765" s="15" t="n"/>
      <c r="G765" s="15" t="n"/>
      <c r="H765" s="15" t="n"/>
      <c r="I765" s="15" t="n"/>
      <c r="J765" s="12" t="n"/>
      <c r="K765" s="39" t="n"/>
    </row>
    <row r="766">
      <c r="A766" s="15" t="n"/>
      <c r="B766" s="14" t="n"/>
      <c r="C766" s="14" t="n"/>
      <c r="D766" s="14" t="n"/>
      <c r="E766" s="15" t="n"/>
      <c r="F766" s="15" t="n"/>
      <c r="G766" s="15" t="n"/>
      <c r="H766" s="15" t="n"/>
      <c r="I766" s="15" t="n"/>
      <c r="J766" s="12" t="n"/>
      <c r="K766" s="39" t="n"/>
    </row>
    <row r="767">
      <c r="A767" s="15" t="n"/>
      <c r="B767" s="14" t="n"/>
      <c r="C767" s="14" t="n"/>
      <c r="D767" s="14" t="n"/>
      <c r="E767" s="15" t="n"/>
      <c r="F767" s="15" t="n"/>
      <c r="G767" s="15" t="n"/>
      <c r="H767" s="15" t="n"/>
      <c r="I767" s="15" t="n"/>
      <c r="J767" s="12" t="n"/>
      <c r="K767" s="39" t="n"/>
    </row>
    <row r="768">
      <c r="A768" s="15" t="n"/>
      <c r="B768" s="14" t="n"/>
      <c r="C768" s="14" t="n"/>
      <c r="D768" s="14" t="n"/>
      <c r="E768" s="15" t="n"/>
      <c r="F768" s="15" t="n"/>
      <c r="G768" s="15" t="n"/>
      <c r="H768" s="15" t="n"/>
      <c r="I768" s="15" t="n"/>
      <c r="J768" s="12" t="n"/>
      <c r="K768" s="39" t="n"/>
    </row>
    <row r="769">
      <c r="A769" s="15" t="n"/>
      <c r="B769" s="14" t="n"/>
      <c r="C769" s="14" t="n"/>
      <c r="D769" s="14" t="n"/>
      <c r="E769" s="15" t="n"/>
      <c r="F769" s="15" t="n"/>
      <c r="G769" s="15" t="n"/>
      <c r="H769" s="15" t="n"/>
      <c r="I769" s="15" t="n"/>
      <c r="J769" s="12" t="n"/>
      <c r="K769" s="39" t="n"/>
    </row>
    <row r="770">
      <c r="A770" s="15" t="n"/>
      <c r="B770" s="14" t="n"/>
      <c r="C770" s="14" t="n"/>
      <c r="D770" s="14" t="n"/>
      <c r="E770" s="15" t="n"/>
      <c r="F770" s="15" t="n"/>
      <c r="G770" s="15" t="n"/>
      <c r="H770" s="15" t="n"/>
      <c r="I770" s="15" t="n"/>
      <c r="J770" s="12" t="n"/>
      <c r="K770" s="39" t="n"/>
    </row>
    <row r="771">
      <c r="A771" s="15" t="n"/>
      <c r="B771" s="14" t="n"/>
      <c r="C771" s="14" t="n"/>
      <c r="D771" s="14" t="n"/>
      <c r="E771" s="15" t="n"/>
      <c r="F771" s="15" t="n"/>
      <c r="G771" s="15" t="n"/>
      <c r="H771" s="15" t="n"/>
      <c r="I771" s="15" t="n"/>
      <c r="J771" s="12" t="n"/>
      <c r="K771" s="39" t="n"/>
    </row>
    <row r="772">
      <c r="A772" s="15" t="n"/>
      <c r="B772" s="14" t="n"/>
      <c r="C772" s="14" t="n"/>
      <c r="D772" s="14" t="n"/>
      <c r="E772" s="15" t="n"/>
      <c r="F772" s="15" t="n"/>
      <c r="G772" s="15" t="n"/>
      <c r="H772" s="15" t="n"/>
      <c r="I772" s="15" t="n"/>
      <c r="J772" s="12" t="n"/>
      <c r="K772" s="39" t="n"/>
    </row>
    <row r="773">
      <c r="A773" s="15" t="n"/>
      <c r="B773" s="14" t="n"/>
      <c r="C773" s="14" t="n"/>
      <c r="D773" s="14" t="n"/>
      <c r="E773" s="15" t="n"/>
      <c r="F773" s="15" t="n"/>
      <c r="G773" s="15" t="n"/>
      <c r="H773" s="15" t="n"/>
      <c r="I773" s="15" t="n"/>
      <c r="J773" s="12" t="n"/>
      <c r="K773" s="39" t="n"/>
    </row>
    <row r="774">
      <c r="A774" s="15" t="n"/>
      <c r="B774" s="14" t="n"/>
      <c r="C774" s="14" t="n"/>
      <c r="D774" s="14" t="n"/>
      <c r="E774" s="15" t="n"/>
      <c r="F774" s="15" t="n"/>
      <c r="G774" s="15" t="n"/>
      <c r="H774" s="15" t="n"/>
      <c r="I774" s="15" t="n"/>
      <c r="J774" s="12" t="n"/>
      <c r="K774" s="39" t="n"/>
    </row>
    <row r="775">
      <c r="A775" s="15" t="n"/>
      <c r="B775" s="14" t="n"/>
      <c r="C775" s="14" t="n"/>
      <c r="D775" s="14" t="n"/>
      <c r="E775" s="15" t="n"/>
      <c r="F775" s="15" t="n"/>
      <c r="G775" s="15" t="n"/>
      <c r="H775" s="15" t="n"/>
      <c r="I775" s="15" t="n"/>
      <c r="J775" s="12" t="n"/>
      <c r="K775" s="39" t="n"/>
    </row>
    <row r="776">
      <c r="A776" s="15" t="n"/>
      <c r="B776" s="14" t="n"/>
      <c r="C776" s="14" t="n"/>
      <c r="D776" s="14" t="n"/>
      <c r="E776" s="15" t="n"/>
      <c r="F776" s="15" t="n"/>
      <c r="G776" s="15" t="n"/>
      <c r="H776" s="15" t="n"/>
      <c r="I776" s="15" t="n"/>
      <c r="J776" s="12" t="n"/>
      <c r="K776" s="39" t="n"/>
    </row>
    <row r="777">
      <c r="A777" s="15" t="n"/>
      <c r="B777" s="14" t="n"/>
      <c r="C777" s="14" t="n"/>
      <c r="D777" s="14" t="n"/>
      <c r="E777" s="15" t="n"/>
      <c r="F777" s="15" t="n"/>
      <c r="G777" s="15" t="n"/>
      <c r="H777" s="15" t="n"/>
      <c r="I777" s="15" t="n"/>
      <c r="J777" s="12" t="n"/>
      <c r="K777" s="39" t="n"/>
    </row>
    <row r="778">
      <c r="A778" s="15" t="n"/>
      <c r="B778" s="14" t="n"/>
      <c r="C778" s="14" t="n"/>
      <c r="D778" s="14" t="n"/>
      <c r="E778" s="15" t="n"/>
      <c r="F778" s="15" t="n"/>
      <c r="G778" s="15" t="n"/>
      <c r="H778" s="15" t="n"/>
      <c r="I778" s="15" t="n"/>
      <c r="J778" s="12" t="n"/>
      <c r="K778" s="39" t="n"/>
    </row>
    <row r="779">
      <c r="A779" s="15" t="n"/>
      <c r="B779" s="14" t="n"/>
      <c r="C779" s="14" t="n"/>
      <c r="D779" s="14" t="n"/>
      <c r="E779" s="15" t="n"/>
      <c r="F779" s="15" t="n"/>
      <c r="G779" s="15" t="n"/>
      <c r="H779" s="15" t="n"/>
      <c r="I779" s="15" t="n"/>
      <c r="J779" s="12" t="n"/>
      <c r="K779" s="39" t="n"/>
    </row>
    <row r="780">
      <c r="A780" s="15" t="n"/>
      <c r="B780" s="14" t="n"/>
      <c r="C780" s="14" t="n"/>
      <c r="D780" s="14" t="n"/>
      <c r="E780" s="15" t="n"/>
      <c r="F780" s="15" t="n"/>
      <c r="G780" s="15" t="n"/>
      <c r="H780" s="15" t="n"/>
      <c r="I780" s="15" t="n"/>
      <c r="J780" s="12" t="n"/>
      <c r="K780" s="39" t="n"/>
    </row>
    <row r="781">
      <c r="A781" s="15" t="n"/>
      <c r="B781" s="14" t="n"/>
      <c r="C781" s="14" t="n"/>
      <c r="D781" s="14" t="n"/>
      <c r="E781" s="15" t="n"/>
      <c r="F781" s="15" t="n"/>
      <c r="G781" s="15" t="n"/>
      <c r="H781" s="15" t="n"/>
      <c r="I781" s="15" t="n"/>
      <c r="J781" s="12" t="n"/>
      <c r="K781" s="39" t="n"/>
    </row>
    <row r="782">
      <c r="A782" s="15" t="n"/>
      <c r="B782" s="14" t="n"/>
      <c r="C782" s="14" t="n"/>
      <c r="D782" s="14" t="n"/>
      <c r="E782" s="15" t="n"/>
      <c r="F782" s="15" t="n"/>
      <c r="G782" s="15" t="n"/>
      <c r="H782" s="15" t="n"/>
      <c r="I782" s="15" t="n"/>
      <c r="J782" s="12" t="n"/>
      <c r="K782" s="39" t="n"/>
    </row>
    <row r="783">
      <c r="A783" s="15" t="n"/>
      <c r="B783" s="14" t="n"/>
      <c r="C783" s="14" t="n"/>
      <c r="D783" s="14" t="n"/>
      <c r="E783" s="15" t="n"/>
      <c r="F783" s="15" t="n"/>
      <c r="G783" s="15" t="n"/>
      <c r="H783" s="15" t="n"/>
      <c r="I783" s="15" t="n"/>
      <c r="J783" s="12" t="n"/>
      <c r="K783" s="39" t="n"/>
    </row>
    <row r="784">
      <c r="A784" s="15" t="n"/>
      <c r="B784" s="14" t="n"/>
      <c r="C784" s="14" t="n"/>
      <c r="D784" s="14" t="n"/>
      <c r="E784" s="15" t="n"/>
      <c r="F784" s="15" t="n"/>
      <c r="G784" s="15" t="n"/>
      <c r="H784" s="15" t="n"/>
      <c r="I784" s="15" t="n"/>
      <c r="J784" s="12" t="n"/>
      <c r="K784" s="39" t="n"/>
    </row>
    <row r="785">
      <c r="A785" s="15" t="n"/>
      <c r="B785" s="14" t="n"/>
      <c r="C785" s="14" t="n"/>
      <c r="D785" s="14" t="n"/>
      <c r="E785" s="15" t="n"/>
      <c r="F785" s="15" t="n"/>
      <c r="G785" s="15" t="n"/>
      <c r="H785" s="15" t="n"/>
      <c r="I785" s="15" t="n"/>
      <c r="J785" s="12" t="n"/>
      <c r="K785" s="39" t="n"/>
    </row>
    <row r="786">
      <c r="A786" s="15" t="n"/>
      <c r="B786" s="14" t="n"/>
      <c r="C786" s="14" t="n"/>
      <c r="D786" s="14" t="n"/>
      <c r="E786" s="15" t="n"/>
      <c r="F786" s="15" t="n"/>
      <c r="G786" s="15" t="n"/>
      <c r="H786" s="15" t="n"/>
      <c r="I786" s="15" t="n"/>
      <c r="J786" s="12" t="n"/>
      <c r="K786" s="39" t="n"/>
    </row>
    <row r="787">
      <c r="A787" s="15" t="n"/>
      <c r="B787" s="14" t="n"/>
      <c r="C787" s="14" t="n"/>
      <c r="D787" s="14" t="n"/>
      <c r="E787" s="15" t="n"/>
      <c r="F787" s="15" t="n"/>
      <c r="G787" s="15" t="n"/>
      <c r="H787" s="15" t="n"/>
      <c r="I787" s="15" t="n"/>
      <c r="J787" s="12" t="n"/>
      <c r="K787" s="39" t="n"/>
    </row>
    <row r="788">
      <c r="A788" s="15" t="n"/>
      <c r="B788" s="14" t="n"/>
      <c r="C788" s="14" t="n"/>
      <c r="D788" s="14" t="n"/>
      <c r="E788" s="15" t="n"/>
      <c r="F788" s="15" t="n"/>
      <c r="G788" s="15" t="n"/>
      <c r="H788" s="15" t="n"/>
      <c r="I788" s="15" t="n"/>
      <c r="J788" s="12" t="n"/>
      <c r="K788" s="39" t="n"/>
    </row>
    <row r="789">
      <c r="A789" s="15" t="n"/>
      <c r="B789" s="14" t="n"/>
      <c r="C789" s="14" t="n"/>
      <c r="D789" s="14" t="n"/>
      <c r="E789" s="15" t="n"/>
      <c r="F789" s="15" t="n"/>
      <c r="G789" s="15" t="n"/>
      <c r="H789" s="15" t="n"/>
      <c r="I789" s="15" t="n"/>
      <c r="J789" s="12" t="n"/>
      <c r="K789" s="39" t="n"/>
    </row>
    <row r="790">
      <c r="A790" s="15" t="n"/>
      <c r="B790" s="14" t="n"/>
      <c r="C790" s="14" t="n"/>
      <c r="D790" s="14" t="n"/>
      <c r="E790" s="15" t="n"/>
      <c r="F790" s="15" t="n"/>
      <c r="G790" s="15" t="n"/>
      <c r="H790" s="15" t="n"/>
      <c r="I790" s="15" t="n"/>
      <c r="J790" s="12" t="n"/>
      <c r="K790" s="39" t="n"/>
    </row>
    <row r="791">
      <c r="A791" s="15" t="n"/>
      <c r="B791" s="14" t="n"/>
      <c r="C791" s="14" t="n"/>
      <c r="D791" s="14" t="n"/>
      <c r="E791" s="15" t="n"/>
      <c r="F791" s="15" t="n"/>
      <c r="G791" s="15" t="n"/>
      <c r="H791" s="15" t="n"/>
      <c r="I791" s="15" t="n"/>
      <c r="J791" s="12" t="n"/>
      <c r="K791" s="39" t="n"/>
    </row>
    <row r="792">
      <c r="A792" s="15" t="n"/>
      <c r="B792" s="14" t="n"/>
      <c r="C792" s="14" t="n"/>
      <c r="D792" s="14" t="n"/>
      <c r="E792" s="15" t="n"/>
      <c r="F792" s="15" t="n"/>
      <c r="G792" s="15" t="n"/>
      <c r="H792" s="15" t="n"/>
      <c r="I792" s="15" t="n"/>
      <c r="J792" s="12" t="n"/>
      <c r="K792" s="39" t="n"/>
    </row>
    <row r="793">
      <c r="A793" s="15" t="n"/>
      <c r="B793" s="14" t="n"/>
      <c r="C793" s="14" t="n"/>
      <c r="D793" s="14" t="n"/>
      <c r="E793" s="15" t="n"/>
      <c r="F793" s="15" t="n"/>
      <c r="G793" s="15" t="n"/>
      <c r="H793" s="15" t="n"/>
      <c r="I793" s="15" t="n"/>
      <c r="J793" s="12" t="n"/>
      <c r="K793" s="39" t="n"/>
    </row>
    <row r="794">
      <c r="A794" s="15" t="n"/>
      <c r="B794" s="14" t="n"/>
      <c r="C794" s="14" t="n"/>
      <c r="D794" s="14" t="n"/>
      <c r="E794" s="15" t="n"/>
      <c r="F794" s="15" t="n"/>
      <c r="G794" s="15" t="n"/>
      <c r="H794" s="15" t="n"/>
      <c r="I794" s="15" t="n"/>
      <c r="J794" s="12" t="n"/>
      <c r="K794" s="39" t="n"/>
    </row>
    <row r="795">
      <c r="A795" s="15" t="n"/>
      <c r="B795" s="14" t="n"/>
      <c r="C795" s="14" t="n"/>
      <c r="D795" s="14" t="n"/>
      <c r="E795" s="15" t="n"/>
      <c r="F795" s="15" t="n"/>
      <c r="G795" s="15" t="n"/>
      <c r="H795" s="15" t="n"/>
      <c r="I795" s="15" t="n"/>
      <c r="J795" s="12" t="n"/>
      <c r="K795" s="39" t="n"/>
    </row>
    <row r="796">
      <c r="A796" s="15" t="n"/>
      <c r="B796" s="14" t="n"/>
      <c r="C796" s="14" t="n"/>
      <c r="D796" s="14" t="n"/>
      <c r="E796" s="15" t="n"/>
      <c r="F796" s="15" t="n"/>
      <c r="G796" s="15" t="n"/>
      <c r="H796" s="15" t="n"/>
      <c r="I796" s="15" t="n"/>
      <c r="J796" s="12" t="n"/>
      <c r="K796" s="39" t="n"/>
    </row>
    <row r="797">
      <c r="A797" s="15" t="n"/>
      <c r="B797" s="14" t="n"/>
      <c r="C797" s="14" t="n"/>
      <c r="D797" s="14" t="n"/>
      <c r="E797" s="15" t="n"/>
      <c r="F797" s="15" t="n"/>
      <c r="G797" s="15" t="n"/>
      <c r="H797" s="15" t="n"/>
      <c r="I797" s="15" t="n"/>
      <c r="J797" s="12" t="n"/>
      <c r="K797" s="39" t="n"/>
    </row>
    <row r="798">
      <c r="A798" s="15" t="n"/>
      <c r="B798" s="14" t="n"/>
      <c r="C798" s="14" t="n"/>
      <c r="D798" s="14" t="n"/>
      <c r="E798" s="15" t="n"/>
      <c r="F798" s="15" t="n"/>
      <c r="G798" s="15" t="n"/>
      <c r="H798" s="15" t="n"/>
      <c r="I798" s="15" t="n"/>
      <c r="J798" s="12" t="n"/>
      <c r="K798" s="39" t="n"/>
    </row>
    <row r="799">
      <c r="A799" s="15" t="n"/>
      <c r="B799" s="14" t="n"/>
      <c r="C799" s="14" t="n"/>
      <c r="D799" s="14" t="n"/>
      <c r="E799" s="15" t="n"/>
      <c r="F799" s="15" t="n"/>
      <c r="G799" s="15" t="n"/>
      <c r="H799" s="15" t="n"/>
      <c r="I799" s="15" t="n"/>
      <c r="J799" s="12" t="n"/>
      <c r="K799" s="39" t="n"/>
    </row>
    <row r="800">
      <c r="A800" s="15" t="n"/>
      <c r="B800" s="14" t="n"/>
      <c r="C800" s="14" t="n"/>
      <c r="D800" s="14" t="n"/>
      <c r="E800" s="15" t="n"/>
      <c r="F800" s="15" t="n"/>
      <c r="G800" s="15" t="n"/>
      <c r="H800" s="15" t="n"/>
      <c r="I800" s="15" t="n"/>
      <c r="J800" s="12" t="n"/>
      <c r="K800" s="39" t="n"/>
    </row>
    <row r="801">
      <c r="A801" s="15" t="n"/>
      <c r="B801" s="14" t="n"/>
      <c r="C801" s="14" t="n"/>
      <c r="D801" s="14" t="n"/>
      <c r="E801" s="15" t="n"/>
      <c r="F801" s="15" t="n"/>
      <c r="G801" s="15" t="n"/>
      <c r="H801" s="15" t="n"/>
      <c r="I801" s="15" t="n"/>
      <c r="J801" s="12" t="n"/>
      <c r="K801" s="39" t="n"/>
    </row>
    <row r="802">
      <c r="A802" s="15" t="n"/>
      <c r="B802" s="14" t="n"/>
      <c r="C802" s="14" t="n"/>
      <c r="D802" s="14" t="n"/>
      <c r="E802" s="15" t="n"/>
      <c r="F802" s="15" t="n"/>
      <c r="G802" s="15" t="n"/>
      <c r="H802" s="15" t="n"/>
      <c r="I802" s="15" t="n"/>
      <c r="J802" s="12" t="n"/>
      <c r="K802" s="39" t="n"/>
    </row>
    <row r="803">
      <c r="A803" s="15" t="n"/>
      <c r="B803" s="14" t="n"/>
      <c r="C803" s="14" t="n"/>
      <c r="D803" s="14" t="n"/>
      <c r="E803" s="15" t="n"/>
      <c r="F803" s="15" t="n"/>
      <c r="G803" s="15" t="n"/>
      <c r="H803" s="15" t="n"/>
      <c r="I803" s="15" t="n"/>
      <c r="J803" s="12" t="n"/>
      <c r="K803" s="39" t="n"/>
    </row>
    <row r="804">
      <c r="A804" s="15" t="n"/>
      <c r="B804" s="14" t="n"/>
      <c r="C804" s="14" t="n"/>
      <c r="D804" s="14" t="n"/>
      <c r="E804" s="15" t="n"/>
      <c r="F804" s="15" t="n"/>
      <c r="G804" s="15" t="n"/>
      <c r="H804" s="15" t="n"/>
      <c r="I804" s="15" t="n"/>
      <c r="J804" s="12" t="n"/>
      <c r="K804" s="39" t="n"/>
    </row>
    <row r="805">
      <c r="A805" s="15" t="n"/>
      <c r="B805" s="14" t="n"/>
      <c r="C805" s="14" t="n"/>
      <c r="D805" s="14" t="n"/>
      <c r="E805" s="15" t="n"/>
      <c r="F805" s="15" t="n"/>
      <c r="G805" s="15" t="n"/>
      <c r="H805" s="15" t="n"/>
      <c r="I805" s="15" t="n"/>
      <c r="J805" s="12" t="n"/>
      <c r="K805" s="39" t="n"/>
    </row>
    <row r="806">
      <c r="A806" s="15" t="n"/>
      <c r="B806" s="14" t="n"/>
      <c r="C806" s="14" t="n"/>
      <c r="D806" s="14" t="n"/>
      <c r="E806" s="15" t="n"/>
      <c r="F806" s="15" t="n"/>
      <c r="G806" s="15" t="n"/>
      <c r="H806" s="15" t="n"/>
      <c r="I806" s="15" t="n"/>
      <c r="J806" s="12" t="n"/>
      <c r="K806" s="39" t="n"/>
    </row>
    <row r="807">
      <c r="A807" s="15" t="n"/>
      <c r="B807" s="14" t="n"/>
      <c r="C807" s="14" t="n"/>
      <c r="D807" s="14" t="n"/>
      <c r="E807" s="15" t="n"/>
      <c r="F807" s="15" t="n"/>
      <c r="G807" s="15" t="n"/>
      <c r="H807" s="15" t="n"/>
      <c r="I807" s="15" t="n"/>
      <c r="J807" s="12" t="n"/>
      <c r="K807" s="39" t="n"/>
    </row>
    <row r="808">
      <c r="A808" s="15" t="n"/>
      <c r="B808" s="14" t="n"/>
      <c r="C808" s="14" t="n"/>
      <c r="D808" s="14" t="n"/>
      <c r="E808" s="15" t="n"/>
      <c r="F808" s="15" t="n"/>
      <c r="G808" s="15" t="n"/>
      <c r="H808" s="15" t="n"/>
      <c r="I808" s="15" t="n"/>
      <c r="J808" s="12" t="n"/>
      <c r="K808" s="39" t="n"/>
    </row>
    <row r="809">
      <c r="A809" s="15" t="n"/>
      <c r="B809" s="14" t="n"/>
      <c r="C809" s="14" t="n"/>
      <c r="D809" s="14" t="n"/>
      <c r="E809" s="15" t="n"/>
      <c r="F809" s="15" t="n"/>
      <c r="G809" s="15" t="n"/>
      <c r="H809" s="15" t="n"/>
      <c r="I809" s="15" t="n"/>
      <c r="J809" s="12" t="n"/>
      <c r="K809" s="39" t="n"/>
    </row>
    <row r="810">
      <c r="A810" s="15" t="n"/>
      <c r="B810" s="14" t="n"/>
      <c r="C810" s="14" t="n"/>
      <c r="D810" s="14" t="n"/>
      <c r="E810" s="15" t="n"/>
      <c r="F810" s="15" t="n"/>
      <c r="G810" s="15" t="n"/>
      <c r="H810" s="15" t="n"/>
      <c r="I810" s="15" t="n"/>
      <c r="J810" s="12" t="n"/>
      <c r="K810" s="39" t="n"/>
    </row>
    <row r="811">
      <c r="A811" s="15" t="n"/>
      <c r="B811" s="14" t="n"/>
      <c r="C811" s="14" t="n"/>
      <c r="D811" s="14" t="n"/>
      <c r="E811" s="15" t="n"/>
      <c r="F811" s="15" t="n"/>
      <c r="G811" s="15" t="n"/>
      <c r="H811" s="15" t="n"/>
      <c r="I811" s="15" t="n"/>
      <c r="J811" s="12" t="n"/>
      <c r="K811" s="39" t="n"/>
    </row>
    <row r="812">
      <c r="A812" s="15" t="n"/>
      <c r="B812" s="14" t="n"/>
      <c r="C812" s="14" t="n"/>
      <c r="D812" s="14" t="n"/>
      <c r="E812" s="15" t="n"/>
      <c r="F812" s="15" t="n"/>
      <c r="G812" s="15" t="n"/>
      <c r="H812" s="15" t="n"/>
      <c r="I812" s="15" t="n"/>
      <c r="J812" s="12" t="n"/>
      <c r="K812" s="39" t="n"/>
    </row>
    <row r="813">
      <c r="A813" s="15" t="n"/>
      <c r="B813" s="14" t="n"/>
      <c r="C813" s="14" t="n"/>
      <c r="D813" s="14" t="n"/>
      <c r="E813" s="15" t="n"/>
      <c r="F813" s="15" t="n"/>
      <c r="G813" s="15" t="n"/>
      <c r="H813" s="15" t="n"/>
      <c r="I813" s="15" t="n"/>
      <c r="J813" s="12" t="n"/>
      <c r="K813" s="39" t="n"/>
    </row>
    <row r="814">
      <c r="A814" s="15" t="n"/>
      <c r="B814" s="14" t="n"/>
      <c r="C814" s="14" t="n"/>
      <c r="D814" s="14" t="n"/>
      <c r="E814" s="15" t="n"/>
      <c r="F814" s="15" t="n"/>
      <c r="G814" s="15" t="n"/>
      <c r="H814" s="15" t="n"/>
      <c r="I814" s="15" t="n"/>
      <c r="J814" s="12" t="n"/>
      <c r="K814" s="39" t="n"/>
    </row>
    <row r="815">
      <c r="A815" s="15" t="n"/>
      <c r="B815" s="14" t="n"/>
      <c r="C815" s="14" t="n"/>
      <c r="D815" s="14" t="n"/>
      <c r="E815" s="15" t="n"/>
      <c r="F815" s="15" t="n"/>
      <c r="G815" s="15" t="n"/>
      <c r="H815" s="15" t="n"/>
      <c r="I815" s="15" t="n"/>
      <c r="J815" s="12" t="n"/>
      <c r="K815" s="39" t="n"/>
    </row>
    <row r="816">
      <c r="A816" s="15" t="n"/>
      <c r="B816" s="14" t="n"/>
      <c r="C816" s="14" t="n"/>
      <c r="D816" s="14" t="n"/>
      <c r="E816" s="15" t="n"/>
      <c r="F816" s="15" t="n"/>
      <c r="G816" s="15" t="n"/>
      <c r="H816" s="15" t="n"/>
      <c r="I816" s="15" t="n"/>
      <c r="J816" s="12" t="n"/>
      <c r="K816" s="39" t="n"/>
    </row>
    <row r="817">
      <c r="A817" s="15" t="n"/>
      <c r="B817" s="14" t="n"/>
      <c r="C817" s="14" t="n"/>
      <c r="D817" s="14" t="n"/>
      <c r="E817" s="15" t="n"/>
      <c r="F817" s="15" t="n"/>
      <c r="G817" s="15" t="n"/>
      <c r="H817" s="15" t="n"/>
      <c r="I817" s="15" t="n"/>
      <c r="J817" s="12" t="n"/>
      <c r="K817" s="39" t="n"/>
    </row>
    <row r="818">
      <c r="A818" s="15" t="n"/>
      <c r="B818" s="14" t="n"/>
      <c r="C818" s="14" t="n"/>
      <c r="D818" s="14" t="n"/>
      <c r="E818" s="15" t="n"/>
      <c r="F818" s="15" t="n"/>
      <c r="G818" s="15" t="n"/>
      <c r="H818" s="15" t="n"/>
      <c r="I818" s="15" t="n"/>
      <c r="J818" s="12" t="n"/>
      <c r="K818" s="39" t="n"/>
    </row>
    <row r="819">
      <c r="A819" s="15" t="n"/>
      <c r="B819" s="14" t="n"/>
      <c r="C819" s="14" t="n"/>
      <c r="D819" s="14" t="n"/>
      <c r="E819" s="15" t="n"/>
      <c r="F819" s="15" t="n"/>
      <c r="G819" s="15" t="n"/>
      <c r="H819" s="15" t="n"/>
      <c r="I819" s="15" t="n"/>
      <c r="J819" s="12" t="n"/>
      <c r="K819" s="39" t="n"/>
    </row>
    <row r="820">
      <c r="A820" s="15" t="n"/>
      <c r="B820" s="14" t="n"/>
      <c r="C820" s="14" t="n"/>
      <c r="D820" s="14" t="n"/>
      <c r="E820" s="15" t="n"/>
      <c r="F820" s="15" t="n"/>
      <c r="G820" s="15" t="n"/>
      <c r="H820" s="15" t="n"/>
      <c r="I820" s="15" t="n"/>
      <c r="J820" s="12" t="n"/>
      <c r="K820" s="39" t="n"/>
    </row>
    <row r="821">
      <c r="A821" s="15" t="n"/>
      <c r="B821" s="14" t="n"/>
      <c r="C821" s="14" t="n"/>
      <c r="D821" s="14" t="n"/>
      <c r="E821" s="15" t="n"/>
      <c r="F821" s="15" t="n"/>
      <c r="G821" s="15" t="n"/>
      <c r="H821" s="15" t="n"/>
      <c r="I821" s="15" t="n"/>
      <c r="J821" s="12" t="n"/>
      <c r="K821" s="39" t="n"/>
    </row>
    <row r="822">
      <c r="A822" s="15" t="n"/>
      <c r="B822" s="14" t="n"/>
      <c r="C822" s="14" t="n"/>
      <c r="D822" s="14" t="n"/>
      <c r="E822" s="15" t="n"/>
      <c r="F822" s="15" t="n"/>
      <c r="G822" s="15" t="n"/>
      <c r="H822" s="15" t="n"/>
      <c r="I822" s="15" t="n"/>
      <c r="J822" s="12" t="n"/>
      <c r="K822" s="39" t="n"/>
    </row>
    <row r="823">
      <c r="A823" s="15" t="n"/>
      <c r="B823" s="14" t="n"/>
      <c r="C823" s="14" t="n"/>
      <c r="D823" s="14" t="n"/>
      <c r="E823" s="15" t="n"/>
      <c r="F823" s="15" t="n"/>
      <c r="G823" s="15" t="n"/>
      <c r="H823" s="15" t="n"/>
      <c r="I823" s="15" t="n"/>
      <c r="J823" s="12" t="n"/>
      <c r="K823" s="39" t="n"/>
    </row>
    <row r="824">
      <c r="A824" s="15" t="n"/>
      <c r="B824" s="14" t="n"/>
      <c r="C824" s="14" t="n"/>
      <c r="D824" s="14" t="n"/>
      <c r="E824" s="15" t="n"/>
      <c r="F824" s="15" t="n"/>
      <c r="G824" s="15" t="n"/>
      <c r="H824" s="15" t="n"/>
      <c r="I824" s="15" t="n"/>
      <c r="J824" s="12" t="n"/>
      <c r="K824" s="39" t="n"/>
    </row>
    <row r="825">
      <c r="A825" s="15" t="n"/>
      <c r="B825" s="14" t="n"/>
      <c r="C825" s="14" t="n"/>
      <c r="D825" s="14" t="n"/>
      <c r="E825" s="15" t="n"/>
      <c r="F825" s="15" t="n"/>
      <c r="G825" s="15" t="n"/>
      <c r="H825" s="15" t="n"/>
      <c r="I825" s="15" t="n"/>
      <c r="J825" s="12" t="n"/>
      <c r="K825" s="39" t="n"/>
    </row>
    <row r="826">
      <c r="A826" s="15" t="n"/>
      <c r="B826" s="14" t="n"/>
      <c r="C826" s="14" t="n"/>
      <c r="D826" s="14" t="n"/>
      <c r="E826" s="15" t="n"/>
      <c r="F826" s="15" t="n"/>
      <c r="G826" s="15" t="n"/>
      <c r="H826" s="15" t="n"/>
      <c r="I826" s="15" t="n"/>
      <c r="J826" s="12" t="n"/>
      <c r="K826" s="39" t="n"/>
    </row>
    <row r="827">
      <c r="A827" s="15" t="n"/>
      <c r="B827" s="14" t="n"/>
      <c r="C827" s="14" t="n"/>
      <c r="D827" s="14" t="n"/>
      <c r="E827" s="15" t="n"/>
      <c r="F827" s="15" t="n"/>
      <c r="G827" s="15" t="n"/>
      <c r="H827" s="15" t="n"/>
      <c r="I827" s="15" t="n"/>
      <c r="J827" s="12" t="n"/>
      <c r="K827" s="39" t="n"/>
    </row>
    <row r="828">
      <c r="A828" s="15" t="n"/>
      <c r="B828" s="14" t="n"/>
      <c r="C828" s="14" t="n"/>
      <c r="D828" s="14" t="n"/>
      <c r="E828" s="15" t="n"/>
      <c r="F828" s="15" t="n"/>
      <c r="G828" s="15" t="n"/>
      <c r="H828" s="15" t="n"/>
      <c r="I828" s="15" t="n"/>
      <c r="J828" s="12" t="n"/>
      <c r="K828" s="39" t="n"/>
    </row>
    <row r="829">
      <c r="A829" s="15" t="n"/>
      <c r="B829" s="14" t="n"/>
      <c r="C829" s="14" t="n"/>
      <c r="D829" s="14" t="n"/>
      <c r="E829" s="15" t="n"/>
      <c r="F829" s="15" t="n"/>
      <c r="G829" s="15" t="n"/>
      <c r="H829" s="15" t="n"/>
      <c r="I829" s="15" t="n"/>
      <c r="J829" s="12" t="n"/>
      <c r="K829" s="39" t="n"/>
    </row>
    <row r="830">
      <c r="A830" s="15" t="n"/>
      <c r="B830" s="14" t="n"/>
      <c r="C830" s="14" t="n"/>
      <c r="D830" s="14" t="n"/>
      <c r="E830" s="15" t="n"/>
      <c r="F830" s="15" t="n"/>
      <c r="G830" s="15" t="n"/>
      <c r="H830" s="15" t="n"/>
      <c r="I830" s="15" t="n"/>
      <c r="J830" s="12" t="n"/>
      <c r="K830" s="39" t="n"/>
    </row>
    <row r="831">
      <c r="A831" s="15" t="n"/>
      <c r="B831" s="14" t="n"/>
      <c r="C831" s="14" t="n"/>
      <c r="D831" s="14" t="n"/>
      <c r="E831" s="15" t="n"/>
      <c r="F831" s="15" t="n"/>
      <c r="G831" s="15" t="n"/>
      <c r="H831" s="15" t="n"/>
      <c r="I831" s="15" t="n"/>
      <c r="J831" s="12" t="n"/>
      <c r="K831" s="39" t="n"/>
    </row>
    <row r="832">
      <c r="A832" s="15" t="n"/>
      <c r="B832" s="14" t="n"/>
      <c r="C832" s="14" t="n"/>
      <c r="D832" s="14" t="n"/>
      <c r="E832" s="15" t="n"/>
      <c r="F832" s="15" t="n"/>
      <c r="G832" s="15" t="n"/>
      <c r="H832" s="15" t="n"/>
      <c r="I832" s="15" t="n"/>
      <c r="J832" s="12" t="n"/>
      <c r="K832" s="39" t="n"/>
    </row>
    <row r="833">
      <c r="A833" s="15" t="n"/>
      <c r="B833" s="14" t="n"/>
      <c r="C833" s="14" t="n"/>
      <c r="D833" s="14" t="n"/>
      <c r="E833" s="15" t="n"/>
      <c r="F833" s="15" t="n"/>
      <c r="G833" s="15" t="n"/>
      <c r="H833" s="15" t="n"/>
      <c r="I833" s="15" t="n"/>
      <c r="J833" s="12" t="n"/>
      <c r="K833" s="39" t="n"/>
    </row>
    <row r="834">
      <c r="A834" s="15" t="n"/>
      <c r="B834" s="14" t="n"/>
      <c r="C834" s="14" t="n"/>
      <c r="D834" s="14" t="n"/>
      <c r="E834" s="15" t="n"/>
      <c r="F834" s="15" t="n"/>
      <c r="G834" s="15" t="n"/>
      <c r="H834" s="15" t="n"/>
      <c r="I834" s="15" t="n"/>
      <c r="J834" s="12" t="n"/>
      <c r="K834" s="39" t="n"/>
    </row>
    <row r="835">
      <c r="A835" s="15" t="n"/>
      <c r="B835" s="14" t="n"/>
      <c r="C835" s="14" t="n"/>
      <c r="D835" s="14" t="n"/>
      <c r="E835" s="15" t="n"/>
      <c r="F835" s="15" t="n"/>
      <c r="G835" s="15" t="n"/>
      <c r="H835" s="15" t="n"/>
      <c r="I835" s="15" t="n"/>
      <c r="J835" s="12" t="n"/>
      <c r="K835" s="39" t="n"/>
    </row>
    <row r="836">
      <c r="A836" s="15" t="n"/>
      <c r="B836" s="14" t="n"/>
      <c r="C836" s="14" t="n"/>
      <c r="D836" s="14" t="n"/>
      <c r="E836" s="15" t="n"/>
      <c r="F836" s="15" t="n"/>
      <c r="G836" s="15" t="n"/>
      <c r="H836" s="15" t="n"/>
      <c r="I836" s="15" t="n"/>
      <c r="J836" s="12" t="n"/>
      <c r="K836" s="39" t="n"/>
    </row>
    <row r="837">
      <c r="A837" s="15" t="n"/>
      <c r="B837" s="14" t="n"/>
      <c r="C837" s="14" t="n"/>
      <c r="D837" s="14" t="n"/>
      <c r="E837" s="15" t="n"/>
      <c r="F837" s="15" t="n"/>
      <c r="G837" s="15" t="n"/>
      <c r="H837" s="15" t="n"/>
      <c r="I837" s="15" t="n"/>
      <c r="J837" s="12" t="n"/>
      <c r="K837" s="39" t="n"/>
    </row>
    <row r="838">
      <c r="A838" s="15" t="n"/>
      <c r="B838" s="14" t="n"/>
      <c r="C838" s="14" t="n"/>
      <c r="D838" s="14" t="n"/>
      <c r="E838" s="15" t="n"/>
      <c r="F838" s="15" t="n"/>
      <c r="G838" s="15" t="n"/>
      <c r="H838" s="15" t="n"/>
      <c r="I838" s="15" t="n"/>
      <c r="J838" s="12" t="n"/>
      <c r="K838" s="39" t="n"/>
    </row>
    <row r="839">
      <c r="A839" s="15" t="n"/>
      <c r="B839" s="14" t="n"/>
      <c r="C839" s="14" t="n"/>
      <c r="D839" s="14" t="n"/>
      <c r="E839" s="15" t="n"/>
      <c r="F839" s="15" t="n"/>
      <c r="G839" s="15" t="n"/>
      <c r="H839" s="15" t="n"/>
      <c r="I839" s="15" t="n"/>
      <c r="J839" s="12" t="n"/>
      <c r="K839" s="39" t="n"/>
    </row>
    <row r="840">
      <c r="A840" s="15" t="n"/>
      <c r="B840" s="14" t="n"/>
      <c r="C840" s="14" t="n"/>
      <c r="D840" s="14" t="n"/>
      <c r="E840" s="15" t="n"/>
      <c r="F840" s="15" t="n"/>
      <c r="G840" s="15" t="n"/>
      <c r="H840" s="15" t="n"/>
      <c r="I840" s="15" t="n"/>
      <c r="J840" s="12" t="n"/>
      <c r="K840" s="39" t="n"/>
    </row>
    <row r="841">
      <c r="A841" s="15" t="n"/>
      <c r="B841" s="14" t="n"/>
      <c r="C841" s="14" t="n"/>
      <c r="D841" s="14" t="n"/>
      <c r="E841" s="15" t="n"/>
      <c r="F841" s="15" t="n"/>
      <c r="G841" s="15" t="n"/>
      <c r="H841" s="15" t="n"/>
      <c r="I841" s="15" t="n"/>
      <c r="J841" s="12" t="n"/>
      <c r="K841" s="39" t="n"/>
    </row>
    <row r="842">
      <c r="A842" s="15" t="n"/>
      <c r="B842" s="14" t="n"/>
      <c r="C842" s="14" t="n"/>
      <c r="D842" s="14" t="n"/>
      <c r="E842" s="15" t="n"/>
      <c r="F842" s="15" t="n"/>
      <c r="G842" s="15" t="n"/>
      <c r="H842" s="15" t="n"/>
      <c r="I842" s="15" t="n"/>
      <c r="J842" s="12" t="n"/>
      <c r="K842" s="39" t="n"/>
    </row>
    <row r="843">
      <c r="A843" s="15" t="n"/>
      <c r="B843" s="14" t="n"/>
      <c r="C843" s="14" t="n"/>
      <c r="D843" s="14" t="n"/>
      <c r="E843" s="15" t="n"/>
      <c r="F843" s="15" t="n"/>
      <c r="G843" s="15" t="n"/>
      <c r="H843" s="15" t="n"/>
      <c r="I843" s="15" t="n"/>
      <c r="J843" s="12" t="n"/>
      <c r="K843" s="39" t="n"/>
    </row>
    <row r="844">
      <c r="A844" s="15" t="n"/>
      <c r="B844" s="14" t="n"/>
      <c r="C844" s="14" t="n"/>
      <c r="D844" s="14" t="n"/>
      <c r="E844" s="15" t="n"/>
      <c r="F844" s="15" t="n"/>
      <c r="G844" s="15" t="n"/>
      <c r="H844" s="15" t="n"/>
      <c r="I844" s="15" t="n"/>
      <c r="J844" s="12" t="n"/>
      <c r="K844" s="39" t="n"/>
    </row>
    <row r="845">
      <c r="A845" s="15" t="n"/>
      <c r="B845" s="14" t="n"/>
      <c r="C845" s="14" t="n"/>
      <c r="D845" s="14" t="n"/>
      <c r="E845" s="15" t="n"/>
      <c r="F845" s="15" t="n"/>
      <c r="G845" s="15" t="n"/>
      <c r="H845" s="15" t="n"/>
      <c r="I845" s="15" t="n"/>
      <c r="J845" s="12" t="n"/>
      <c r="K845" s="39" t="n"/>
    </row>
    <row r="846">
      <c r="A846" s="15" t="n"/>
      <c r="B846" s="14" t="n"/>
      <c r="C846" s="14" t="n"/>
      <c r="D846" s="14" t="n"/>
      <c r="E846" s="15" t="n"/>
      <c r="F846" s="15" t="n"/>
      <c r="G846" s="15" t="n"/>
      <c r="H846" s="15" t="n"/>
      <c r="I846" s="15" t="n"/>
      <c r="J846" s="12" t="n"/>
      <c r="K846" s="39" t="n"/>
    </row>
    <row r="847">
      <c r="A847" s="15" t="n"/>
      <c r="B847" s="14" t="n"/>
      <c r="C847" s="14" t="n"/>
      <c r="D847" s="14" t="n"/>
      <c r="E847" s="15" t="n"/>
      <c r="F847" s="15" t="n"/>
      <c r="G847" s="15" t="n"/>
      <c r="H847" s="15" t="n"/>
      <c r="I847" s="15" t="n"/>
      <c r="J847" s="12" t="n"/>
      <c r="K847" s="39" t="n"/>
    </row>
    <row r="848">
      <c r="A848" s="15" t="n"/>
      <c r="B848" s="14" t="n"/>
      <c r="C848" s="14" t="n"/>
      <c r="D848" s="14" t="n"/>
      <c r="E848" s="15" t="n"/>
      <c r="F848" s="15" t="n"/>
      <c r="G848" s="15" t="n"/>
      <c r="H848" s="15" t="n"/>
      <c r="I848" s="15" t="n"/>
      <c r="J848" s="12" t="n"/>
      <c r="K848" s="39" t="n"/>
    </row>
    <row r="849">
      <c r="A849" s="15" t="n"/>
      <c r="B849" s="14" t="n"/>
      <c r="C849" s="14" t="n"/>
      <c r="D849" s="14" t="n"/>
      <c r="E849" s="15" t="n"/>
      <c r="F849" s="15" t="n"/>
      <c r="G849" s="15" t="n"/>
      <c r="H849" s="15" t="n"/>
      <c r="I849" s="15" t="n"/>
      <c r="J849" s="12" t="n"/>
      <c r="K849" s="39" t="n"/>
    </row>
    <row r="850">
      <c r="A850" s="15" t="n"/>
      <c r="B850" s="14" t="n"/>
      <c r="C850" s="14" t="n"/>
      <c r="D850" s="14" t="n"/>
      <c r="E850" s="15" t="n"/>
      <c r="F850" s="15" t="n"/>
      <c r="G850" s="15" t="n"/>
      <c r="H850" s="15" t="n"/>
      <c r="I850" s="15" t="n"/>
      <c r="J850" s="12" t="n"/>
      <c r="K850" s="39" t="n"/>
    </row>
    <row r="851">
      <c r="A851" s="15" t="n"/>
      <c r="B851" s="14" t="n"/>
      <c r="C851" s="14" t="n"/>
      <c r="D851" s="14" t="n"/>
      <c r="E851" s="15" t="n"/>
      <c r="F851" s="15" t="n"/>
      <c r="G851" s="15" t="n"/>
      <c r="H851" s="15" t="n"/>
      <c r="I851" s="15" t="n"/>
      <c r="J851" s="12" t="n"/>
      <c r="K851" s="39" t="n"/>
    </row>
    <row r="852">
      <c r="A852" s="15" t="n"/>
      <c r="B852" s="14" t="n"/>
      <c r="C852" s="14" t="n"/>
      <c r="D852" s="14" t="n"/>
      <c r="E852" s="15" t="n"/>
      <c r="F852" s="15" t="n"/>
      <c r="G852" s="15" t="n"/>
      <c r="H852" s="15" t="n"/>
      <c r="I852" s="15" t="n"/>
      <c r="J852" s="12" t="n"/>
      <c r="K852" s="39" t="n"/>
    </row>
    <row r="853">
      <c r="A853" s="15" t="n"/>
      <c r="B853" s="14" t="n"/>
      <c r="C853" s="14" t="n"/>
      <c r="D853" s="14" t="n"/>
      <c r="E853" s="15" t="n"/>
      <c r="F853" s="15" t="n"/>
      <c r="G853" s="15" t="n"/>
      <c r="H853" s="15" t="n"/>
      <c r="I853" s="15" t="n"/>
      <c r="J853" s="12" t="n"/>
      <c r="K853" s="39" t="n"/>
    </row>
    <row r="854">
      <c r="A854" s="15" t="n"/>
      <c r="B854" s="14" t="n"/>
      <c r="C854" s="14" t="n"/>
      <c r="D854" s="14" t="n"/>
      <c r="E854" s="15" t="n"/>
      <c r="F854" s="15" t="n"/>
      <c r="G854" s="15" t="n"/>
      <c r="H854" s="15" t="n"/>
      <c r="I854" s="15" t="n"/>
      <c r="J854" s="12" t="n"/>
      <c r="K854" s="39" t="n"/>
    </row>
    <row r="855">
      <c r="A855" s="15" t="n"/>
      <c r="B855" s="14" t="n"/>
      <c r="C855" s="14" t="n"/>
      <c r="D855" s="14" t="n"/>
      <c r="E855" s="15" t="n"/>
      <c r="F855" s="15" t="n"/>
      <c r="G855" s="15" t="n"/>
      <c r="H855" s="15" t="n"/>
      <c r="I855" s="15" t="n"/>
      <c r="J855" s="12" t="n"/>
      <c r="K855" s="39" t="n"/>
    </row>
    <row r="856">
      <c r="A856" s="15" t="n"/>
      <c r="B856" s="14" t="n"/>
      <c r="C856" s="14" t="n"/>
      <c r="D856" s="14" t="n"/>
      <c r="E856" s="15" t="n"/>
      <c r="F856" s="15" t="n"/>
      <c r="G856" s="15" t="n"/>
      <c r="H856" s="15" t="n"/>
      <c r="I856" s="15" t="n"/>
      <c r="J856" s="12" t="n"/>
      <c r="K856" s="39" t="n"/>
    </row>
    <row r="857">
      <c r="A857" s="15" t="n"/>
      <c r="B857" s="14" t="n"/>
      <c r="C857" s="14" t="n"/>
      <c r="D857" s="14" t="n"/>
      <c r="E857" s="15" t="n"/>
      <c r="F857" s="15" t="n"/>
      <c r="G857" s="15" t="n"/>
      <c r="H857" s="15" t="n"/>
      <c r="I857" s="15" t="n"/>
      <c r="J857" s="12" t="n"/>
      <c r="K857" s="39" t="n"/>
    </row>
    <row r="858">
      <c r="A858" s="15" t="n"/>
      <c r="B858" s="14" t="n"/>
      <c r="C858" s="14" t="n"/>
      <c r="D858" s="14" t="n"/>
      <c r="E858" s="15" t="n"/>
      <c r="F858" s="15" t="n"/>
      <c r="G858" s="15" t="n"/>
      <c r="H858" s="15" t="n"/>
      <c r="I858" s="15" t="n"/>
      <c r="J858" s="12" t="n"/>
      <c r="K858" s="39" t="n"/>
    </row>
    <row r="859">
      <c r="A859" s="15" t="n"/>
      <c r="B859" s="14" t="n"/>
      <c r="C859" s="14" t="n"/>
      <c r="D859" s="14" t="n"/>
      <c r="E859" s="15" t="n"/>
      <c r="F859" s="15" t="n"/>
      <c r="G859" s="15" t="n"/>
      <c r="H859" s="15" t="n"/>
      <c r="I859" s="15" t="n"/>
      <c r="J859" s="12" t="n"/>
      <c r="K859" s="39" t="n"/>
    </row>
    <row r="860">
      <c r="A860" s="15" t="n"/>
      <c r="B860" s="14" t="n"/>
      <c r="C860" s="14" t="n"/>
      <c r="D860" s="14" t="n"/>
      <c r="E860" s="15" t="n"/>
      <c r="F860" s="15" t="n"/>
      <c r="G860" s="15" t="n"/>
      <c r="H860" s="15" t="n"/>
      <c r="I860" s="15" t="n"/>
      <c r="J860" s="12" t="n"/>
      <c r="K860" s="39" t="n"/>
    </row>
    <row r="861">
      <c r="A861" s="15" t="n"/>
      <c r="B861" s="14" t="n"/>
      <c r="C861" s="14" t="n"/>
      <c r="D861" s="14" t="n"/>
      <c r="E861" s="15" t="n"/>
      <c r="F861" s="15" t="n"/>
      <c r="G861" s="15" t="n"/>
      <c r="H861" s="15" t="n"/>
      <c r="I861" s="15" t="n"/>
      <c r="J861" s="12" t="n"/>
      <c r="K861" s="39" t="n"/>
    </row>
    <row r="862">
      <c r="A862" s="15" t="n"/>
      <c r="B862" s="14" t="n"/>
      <c r="C862" s="14" t="n"/>
      <c r="D862" s="14" t="n"/>
      <c r="E862" s="15" t="n"/>
      <c r="F862" s="15" t="n"/>
      <c r="G862" s="15" t="n"/>
      <c r="H862" s="15" t="n"/>
      <c r="I862" s="15" t="n"/>
      <c r="J862" s="12" t="n"/>
      <c r="K862" s="39" t="n"/>
    </row>
    <row r="863">
      <c r="A863" s="15" t="n"/>
      <c r="B863" s="14" t="n"/>
      <c r="C863" s="14" t="n"/>
      <c r="D863" s="14" t="n"/>
      <c r="E863" s="15" t="n"/>
      <c r="F863" s="15" t="n"/>
      <c r="G863" s="15" t="n"/>
      <c r="H863" s="15" t="n"/>
      <c r="I863" s="15" t="n"/>
      <c r="J863" s="12" t="n"/>
      <c r="K863" s="39" t="n"/>
    </row>
    <row r="864">
      <c r="A864" s="15" t="n"/>
      <c r="B864" s="14" t="n"/>
      <c r="C864" s="14" t="n"/>
      <c r="D864" s="14" t="n"/>
      <c r="E864" s="15" t="n"/>
      <c r="F864" s="15" t="n"/>
      <c r="G864" s="15" t="n"/>
      <c r="H864" s="15" t="n"/>
      <c r="I864" s="15" t="n"/>
      <c r="J864" s="12" t="n"/>
      <c r="K864" s="39" t="n"/>
    </row>
    <row r="865">
      <c r="A865" s="15" t="n"/>
      <c r="B865" s="14" t="n"/>
      <c r="C865" s="14" t="n"/>
      <c r="D865" s="14" t="n"/>
      <c r="E865" s="15" t="n"/>
      <c r="F865" s="15" t="n"/>
      <c r="G865" s="15" t="n"/>
      <c r="H865" s="15" t="n"/>
      <c r="I865" s="15" t="n"/>
      <c r="J865" s="12" t="n"/>
      <c r="K865" s="39" t="n"/>
    </row>
    <row r="866">
      <c r="A866" s="15" t="n"/>
      <c r="B866" s="14" t="n"/>
      <c r="C866" s="14" t="n"/>
      <c r="D866" s="14" t="n"/>
      <c r="E866" s="15" t="n"/>
      <c r="F866" s="15" t="n"/>
      <c r="G866" s="15" t="n"/>
      <c r="H866" s="15" t="n"/>
      <c r="I866" s="15" t="n"/>
      <c r="J866" s="12" t="n"/>
      <c r="K866" s="39" t="n"/>
    </row>
    <row r="867">
      <c r="A867" s="15" t="n"/>
      <c r="B867" s="14" t="n"/>
      <c r="C867" s="14" t="n"/>
      <c r="D867" s="14" t="n"/>
      <c r="E867" s="15" t="n"/>
      <c r="F867" s="15" t="n"/>
      <c r="G867" s="15" t="n"/>
      <c r="H867" s="15" t="n"/>
      <c r="I867" s="15" t="n"/>
      <c r="J867" s="12" t="n"/>
      <c r="K867" s="39" t="n"/>
    </row>
    <row r="868">
      <c r="A868" s="15" t="n"/>
      <c r="B868" s="14" t="n"/>
      <c r="C868" s="14" t="n"/>
      <c r="D868" s="14" t="n"/>
      <c r="E868" s="15" t="n"/>
      <c r="F868" s="15" t="n"/>
      <c r="G868" s="15" t="n"/>
      <c r="H868" s="15" t="n"/>
      <c r="I868" s="15" t="n"/>
      <c r="J868" s="12" t="n"/>
      <c r="K868" s="39" t="n"/>
    </row>
    <row r="869">
      <c r="A869" s="15" t="n"/>
      <c r="B869" s="14" t="n"/>
      <c r="C869" s="14" t="n"/>
      <c r="D869" s="14" t="n"/>
      <c r="E869" s="15" t="n"/>
      <c r="F869" s="15" t="n"/>
      <c r="G869" s="15" t="n"/>
      <c r="H869" s="15" t="n"/>
      <c r="I869" s="15" t="n"/>
      <c r="J869" s="12" t="n"/>
      <c r="K869" s="39" t="n"/>
    </row>
    <row r="870">
      <c r="A870" s="15" t="n"/>
      <c r="B870" s="14" t="n"/>
      <c r="C870" s="14" t="n"/>
      <c r="D870" s="14" t="n"/>
      <c r="E870" s="15" t="n"/>
      <c r="F870" s="15" t="n"/>
      <c r="G870" s="15" t="n"/>
      <c r="H870" s="15" t="n"/>
      <c r="I870" s="15" t="n"/>
      <c r="J870" s="12" t="n"/>
      <c r="K870" s="39" t="n"/>
    </row>
    <row r="871">
      <c r="A871" s="15" t="n"/>
      <c r="B871" s="14" t="n"/>
      <c r="C871" s="14" t="n"/>
      <c r="D871" s="14" t="n"/>
      <c r="E871" s="15" t="n"/>
      <c r="F871" s="15" t="n"/>
      <c r="G871" s="15" t="n"/>
      <c r="H871" s="15" t="n"/>
      <c r="I871" s="15" t="n"/>
      <c r="J871" s="12" t="n"/>
      <c r="K871" s="39" t="n"/>
    </row>
    <row r="872">
      <c r="A872" s="15" t="n"/>
      <c r="B872" s="14" t="n"/>
      <c r="C872" s="14" t="n"/>
      <c r="D872" s="14" t="n"/>
      <c r="E872" s="15" t="n"/>
      <c r="F872" s="15" t="n"/>
      <c r="G872" s="15" t="n"/>
      <c r="H872" s="15" t="n"/>
      <c r="I872" s="15" t="n"/>
      <c r="J872" s="12" t="n"/>
      <c r="K872" s="39" t="n"/>
    </row>
    <row r="873">
      <c r="A873" s="15" t="n"/>
      <c r="B873" s="14" t="n"/>
      <c r="C873" s="14" t="n"/>
      <c r="D873" s="14" t="n"/>
      <c r="E873" s="15" t="n"/>
      <c r="F873" s="15" t="n"/>
      <c r="G873" s="15" t="n"/>
      <c r="H873" s="15" t="n"/>
      <c r="I873" s="15" t="n"/>
      <c r="J873" s="12" t="n"/>
      <c r="K873" s="39" t="n"/>
    </row>
    <row r="874">
      <c r="A874" s="15" t="n"/>
      <c r="B874" s="14" t="n"/>
      <c r="C874" s="14" t="n"/>
      <c r="D874" s="14" t="n"/>
      <c r="E874" s="15" t="n"/>
      <c r="F874" s="15" t="n"/>
      <c r="G874" s="15" t="n"/>
      <c r="H874" s="15" t="n"/>
      <c r="I874" s="15" t="n"/>
      <c r="J874" s="12" t="n"/>
      <c r="K874" s="39" t="n"/>
    </row>
    <row r="875">
      <c r="A875" s="15" t="n"/>
      <c r="B875" s="14" t="n"/>
      <c r="C875" s="14" t="n"/>
      <c r="D875" s="14" t="n"/>
      <c r="E875" s="15" t="n"/>
      <c r="F875" s="15" t="n"/>
      <c r="G875" s="15" t="n"/>
      <c r="H875" s="15" t="n"/>
      <c r="I875" s="15" t="n"/>
      <c r="J875" s="12" t="n"/>
      <c r="K875" s="39" t="n"/>
    </row>
    <row r="876">
      <c r="A876" s="15" t="n"/>
      <c r="B876" s="14" t="n"/>
      <c r="C876" s="14" t="n"/>
      <c r="D876" s="14" t="n"/>
      <c r="E876" s="15" t="n"/>
      <c r="F876" s="15" t="n"/>
      <c r="G876" s="15" t="n"/>
      <c r="H876" s="15" t="n"/>
      <c r="I876" s="15" t="n"/>
      <c r="J876" s="12" t="n"/>
      <c r="K876" s="39" t="n"/>
    </row>
    <row r="877">
      <c r="A877" s="15" t="n"/>
      <c r="B877" s="14" t="n"/>
      <c r="C877" s="14" t="n"/>
      <c r="D877" s="14" t="n"/>
      <c r="E877" s="15" t="n"/>
      <c r="F877" s="15" t="n"/>
      <c r="G877" s="15" t="n"/>
      <c r="H877" s="15" t="n"/>
      <c r="I877" s="15" t="n"/>
      <c r="J877" s="12" t="n"/>
      <c r="K877" s="39" t="n"/>
    </row>
    <row r="878">
      <c r="A878" s="15" t="n"/>
      <c r="B878" s="14" t="n"/>
      <c r="C878" s="14" t="n"/>
      <c r="D878" s="14" t="n"/>
      <c r="E878" s="15" t="n"/>
      <c r="F878" s="15" t="n"/>
      <c r="G878" s="15" t="n"/>
      <c r="H878" s="15" t="n"/>
      <c r="I878" s="15" t="n"/>
      <c r="J878" s="12" t="n"/>
      <c r="K878" s="39" t="n"/>
    </row>
    <row r="879">
      <c r="A879" s="15" t="n"/>
      <c r="B879" s="14" t="n"/>
      <c r="C879" s="14" t="n"/>
      <c r="D879" s="14" t="n"/>
      <c r="E879" s="15" t="n"/>
      <c r="F879" s="15" t="n"/>
      <c r="G879" s="15" t="n"/>
      <c r="H879" s="15" t="n"/>
      <c r="I879" s="15" t="n"/>
      <c r="J879" s="12" t="n"/>
      <c r="K879" s="39" t="n"/>
    </row>
    <row r="880">
      <c r="A880" s="15" t="n"/>
      <c r="B880" s="14" t="n"/>
      <c r="C880" s="14" t="n"/>
      <c r="D880" s="14" t="n"/>
      <c r="E880" s="15" t="n"/>
      <c r="F880" s="15" t="n"/>
      <c r="G880" s="15" t="n"/>
      <c r="H880" s="15" t="n"/>
      <c r="I880" s="15" t="n"/>
      <c r="J880" s="12" t="n"/>
      <c r="K880" s="39" t="n"/>
    </row>
    <row r="881">
      <c r="A881" s="15" t="n"/>
      <c r="B881" s="14" t="n"/>
      <c r="C881" s="14" t="n"/>
      <c r="D881" s="14" t="n"/>
      <c r="E881" s="15" t="n"/>
      <c r="F881" s="15" t="n"/>
      <c r="G881" s="15" t="n"/>
      <c r="H881" s="15" t="n"/>
      <c r="I881" s="15" t="n"/>
      <c r="J881" s="12" t="n"/>
      <c r="K881" s="39" t="n"/>
    </row>
    <row r="882">
      <c r="A882" s="15" t="n"/>
      <c r="B882" s="14" t="n"/>
      <c r="C882" s="14" t="n"/>
      <c r="D882" s="14" t="n"/>
      <c r="E882" s="15" t="n"/>
      <c r="F882" s="15" t="n"/>
      <c r="G882" s="15" t="n"/>
      <c r="H882" s="15" t="n"/>
      <c r="I882" s="15" t="n"/>
      <c r="J882" s="12" t="n"/>
      <c r="K882" s="39" t="n"/>
    </row>
    <row r="883">
      <c r="A883" s="15" t="n"/>
      <c r="B883" s="14" t="n"/>
      <c r="C883" s="14" t="n"/>
      <c r="D883" s="14" t="n"/>
      <c r="E883" s="15" t="n"/>
      <c r="F883" s="15" t="n"/>
      <c r="G883" s="15" t="n"/>
      <c r="H883" s="15" t="n"/>
      <c r="I883" s="15" t="n"/>
      <c r="J883" s="12" t="n"/>
      <c r="K883" s="39" t="n"/>
    </row>
    <row r="884">
      <c r="A884" s="15" t="n"/>
      <c r="B884" s="14" t="n"/>
      <c r="C884" s="14" t="n"/>
      <c r="D884" s="14" t="n"/>
      <c r="E884" s="15" t="n"/>
      <c r="F884" s="15" t="n"/>
      <c r="G884" s="15" t="n"/>
      <c r="H884" s="15" t="n"/>
      <c r="I884" s="15" t="n"/>
      <c r="J884" s="12" t="n"/>
      <c r="K884" s="39" t="n"/>
    </row>
    <row r="885">
      <c r="A885" s="15" t="n"/>
      <c r="B885" s="14" t="n"/>
      <c r="C885" s="14" t="n"/>
      <c r="D885" s="14" t="n"/>
      <c r="E885" s="15" t="n"/>
      <c r="F885" s="15" t="n"/>
      <c r="G885" s="15" t="n"/>
      <c r="H885" s="15" t="n"/>
      <c r="I885" s="15" t="n"/>
      <c r="J885" s="12" t="n"/>
      <c r="K885" s="39" t="n"/>
    </row>
    <row r="886">
      <c r="A886" s="15" t="n"/>
      <c r="B886" s="14" t="n"/>
      <c r="C886" s="14" t="n"/>
      <c r="D886" s="14" t="n"/>
      <c r="E886" s="15" t="n"/>
      <c r="F886" s="15" t="n"/>
      <c r="G886" s="15" t="n"/>
      <c r="H886" s="15" t="n"/>
      <c r="I886" s="15" t="n"/>
      <c r="J886" s="12" t="n"/>
      <c r="K886" s="39" t="n"/>
    </row>
    <row r="887">
      <c r="A887" s="15" t="n"/>
      <c r="B887" s="14" t="n"/>
      <c r="C887" s="14" t="n"/>
      <c r="D887" s="14" t="n"/>
      <c r="E887" s="15" t="n"/>
      <c r="F887" s="15" t="n"/>
      <c r="G887" s="15" t="n"/>
      <c r="H887" s="15" t="n"/>
      <c r="I887" s="15" t="n"/>
      <c r="J887" s="12" t="n"/>
      <c r="K887" s="39" t="n"/>
    </row>
    <row r="888">
      <c r="A888" s="15" t="n"/>
      <c r="B888" s="14" t="n"/>
      <c r="C888" s="14" t="n"/>
      <c r="D888" s="14" t="n"/>
      <c r="E888" s="15" t="n"/>
      <c r="F888" s="15" t="n"/>
      <c r="G888" s="15" t="n"/>
      <c r="H888" s="15" t="n"/>
      <c r="I888" s="15" t="n"/>
      <c r="J888" s="12" t="n"/>
      <c r="K888" s="39" t="n"/>
    </row>
    <row r="889">
      <c r="A889" s="15" t="n"/>
      <c r="B889" s="14" t="n"/>
      <c r="C889" s="14" t="n"/>
      <c r="D889" s="14" t="n"/>
      <c r="E889" s="15" t="n"/>
      <c r="F889" s="15" t="n"/>
      <c r="G889" s="15" t="n"/>
      <c r="H889" s="15" t="n"/>
      <c r="I889" s="15" t="n"/>
      <c r="J889" s="12" t="n"/>
      <c r="K889" s="39" t="n"/>
    </row>
    <row r="890">
      <c r="A890" s="15" t="n"/>
      <c r="B890" s="14" t="n"/>
      <c r="C890" s="14" t="n"/>
      <c r="D890" s="14" t="n"/>
      <c r="E890" s="15" t="n"/>
      <c r="F890" s="15" t="n"/>
      <c r="G890" s="15" t="n"/>
      <c r="H890" s="15" t="n"/>
      <c r="I890" s="15" t="n"/>
      <c r="J890" s="12" t="n"/>
      <c r="K890" s="39" t="n"/>
    </row>
    <row r="891">
      <c r="A891" s="15" t="n"/>
      <c r="B891" s="14" t="n"/>
      <c r="C891" s="14" t="n"/>
      <c r="D891" s="14" t="n"/>
      <c r="E891" s="15" t="n"/>
      <c r="F891" s="15" t="n"/>
      <c r="G891" s="15" t="n"/>
      <c r="H891" s="15" t="n"/>
      <c r="I891" s="15" t="n"/>
      <c r="J891" s="12" t="n"/>
      <c r="K891" s="39" t="n"/>
    </row>
    <row r="892">
      <c r="A892" s="15" t="n"/>
      <c r="B892" s="14" t="n"/>
      <c r="C892" s="14" t="n"/>
      <c r="D892" s="14" t="n"/>
      <c r="E892" s="15" t="n"/>
      <c r="F892" s="15" t="n"/>
      <c r="G892" s="15" t="n"/>
      <c r="H892" s="15" t="n"/>
      <c r="I892" s="15" t="n"/>
      <c r="J892" s="12" t="n"/>
      <c r="K892" s="39" t="n"/>
    </row>
    <row r="893">
      <c r="A893" s="15" t="n"/>
      <c r="B893" s="14" t="n"/>
      <c r="C893" s="14" t="n"/>
      <c r="D893" s="14" t="n"/>
      <c r="E893" s="15" t="n"/>
      <c r="F893" s="15" t="n"/>
      <c r="G893" s="15" t="n"/>
      <c r="H893" s="15" t="n"/>
      <c r="I893" s="15" t="n"/>
      <c r="J893" s="12" t="n"/>
      <c r="K893" s="39" t="n"/>
    </row>
    <row r="894">
      <c r="A894" s="15" t="n"/>
      <c r="B894" s="14" t="n"/>
      <c r="C894" s="14" t="n"/>
      <c r="D894" s="14" t="n"/>
      <c r="E894" s="15" t="n"/>
      <c r="F894" s="15" t="n"/>
      <c r="G894" s="15" t="n"/>
      <c r="H894" s="15" t="n"/>
      <c r="I894" s="15" t="n"/>
      <c r="J894" s="12" t="n"/>
      <c r="K894" s="39" t="n"/>
    </row>
    <row r="895">
      <c r="A895" s="15" t="n"/>
      <c r="B895" s="14" t="n"/>
      <c r="C895" s="14" t="n"/>
      <c r="D895" s="14" t="n"/>
      <c r="E895" s="15" t="n"/>
      <c r="F895" s="15" t="n"/>
      <c r="G895" s="15" t="n"/>
      <c r="H895" s="15" t="n"/>
      <c r="I895" s="15" t="n"/>
      <c r="J895" s="12" t="n"/>
      <c r="K895" s="39" t="n"/>
    </row>
    <row r="896">
      <c r="A896" s="15" t="n"/>
      <c r="B896" s="14" t="n"/>
      <c r="C896" s="14" t="n"/>
      <c r="D896" s="14" t="n"/>
      <c r="E896" s="15" t="n"/>
      <c r="F896" s="15" t="n"/>
      <c r="G896" s="15" t="n"/>
      <c r="H896" s="15" t="n"/>
      <c r="I896" s="15" t="n"/>
      <c r="J896" s="12" t="n"/>
      <c r="K896" s="39" t="n"/>
    </row>
    <row r="897">
      <c r="A897" s="15" t="n"/>
      <c r="B897" s="14" t="n"/>
      <c r="C897" s="14" t="n"/>
      <c r="D897" s="14" t="n"/>
      <c r="E897" s="15" t="n"/>
      <c r="F897" s="15" t="n"/>
      <c r="G897" s="15" t="n"/>
      <c r="H897" s="15" t="n"/>
      <c r="I897" s="15" t="n"/>
      <c r="J897" s="12" t="n"/>
      <c r="K897" s="39" t="n"/>
    </row>
    <row r="898">
      <c r="A898" s="15" t="n"/>
      <c r="B898" s="14" t="n"/>
      <c r="C898" s="14" t="n"/>
      <c r="D898" s="14" t="n"/>
      <c r="E898" s="15" t="n"/>
      <c r="F898" s="15" t="n"/>
      <c r="G898" s="15" t="n"/>
      <c r="H898" s="15" t="n"/>
      <c r="I898" s="15" t="n"/>
      <c r="J898" s="12" t="n"/>
      <c r="K898" s="39" t="n"/>
    </row>
    <row r="899">
      <c r="A899" s="15" t="n"/>
      <c r="B899" s="14" t="n"/>
      <c r="C899" s="14" t="n"/>
      <c r="D899" s="14" t="n"/>
      <c r="E899" s="15" t="n"/>
      <c r="F899" s="15" t="n"/>
      <c r="G899" s="15" t="n"/>
      <c r="H899" s="15" t="n"/>
      <c r="I899" s="15" t="n"/>
      <c r="J899" s="12" t="n"/>
      <c r="K899" s="39" t="n"/>
    </row>
    <row r="900">
      <c r="A900" s="15" t="n"/>
      <c r="B900" s="14" t="n"/>
      <c r="C900" s="14" t="n"/>
      <c r="D900" s="14" t="n"/>
      <c r="E900" s="15" t="n"/>
      <c r="F900" s="15" t="n"/>
      <c r="G900" s="15" t="n"/>
      <c r="H900" s="15" t="n"/>
      <c r="I900" s="15" t="n"/>
      <c r="J900" s="12" t="n"/>
      <c r="K900" s="39" t="n"/>
    </row>
    <row r="901">
      <c r="A901" s="15" t="n"/>
      <c r="B901" s="14" t="n"/>
      <c r="C901" s="14" t="n"/>
      <c r="D901" s="14" t="n"/>
      <c r="E901" s="15" t="n"/>
      <c r="F901" s="15" t="n"/>
      <c r="G901" s="15" t="n"/>
      <c r="H901" s="15" t="n"/>
      <c r="I901" s="15" t="n"/>
      <c r="J901" s="12" t="n"/>
      <c r="K901" s="39" t="n"/>
    </row>
    <row r="902">
      <c r="A902" s="15" t="n"/>
      <c r="B902" s="14" t="n"/>
      <c r="C902" s="14" t="n"/>
      <c r="D902" s="14" t="n"/>
      <c r="E902" s="15" t="n"/>
      <c r="F902" s="15" t="n"/>
      <c r="G902" s="15" t="n"/>
      <c r="H902" s="15" t="n"/>
      <c r="I902" s="15" t="n"/>
      <c r="J902" s="12" t="n"/>
      <c r="K902" s="39" t="n"/>
    </row>
    <row r="903">
      <c r="A903" s="15" t="n"/>
      <c r="B903" s="14" t="n"/>
      <c r="C903" s="14" t="n"/>
      <c r="D903" s="14" t="n"/>
      <c r="E903" s="15" t="n"/>
      <c r="F903" s="15" t="n"/>
      <c r="G903" s="15" t="n"/>
      <c r="H903" s="15" t="n"/>
      <c r="I903" s="15" t="n"/>
      <c r="J903" s="12" t="n"/>
      <c r="K903" s="39" t="n"/>
    </row>
    <row r="904">
      <c r="A904" s="15" t="n"/>
      <c r="B904" s="14" t="n"/>
      <c r="C904" s="14" t="n"/>
      <c r="D904" s="14" t="n"/>
      <c r="E904" s="15" t="n"/>
      <c r="F904" s="15" t="n"/>
      <c r="G904" s="15" t="n"/>
      <c r="H904" s="15" t="n"/>
      <c r="I904" s="15" t="n"/>
      <c r="J904" s="12" t="n"/>
      <c r="K904" s="39" t="n"/>
    </row>
    <row r="905">
      <c r="A905" s="15" t="n"/>
      <c r="B905" s="14" t="n"/>
      <c r="C905" s="14" t="n"/>
      <c r="D905" s="14" t="n"/>
      <c r="E905" s="15" t="n"/>
      <c r="F905" s="15" t="n"/>
      <c r="G905" s="15" t="n"/>
      <c r="H905" s="15" t="n"/>
      <c r="I905" s="15" t="n"/>
      <c r="J905" s="12" t="n"/>
      <c r="K905" s="39" t="n"/>
    </row>
    <row r="906">
      <c r="A906" s="15" t="n"/>
      <c r="B906" s="14" t="n"/>
      <c r="C906" s="14" t="n"/>
      <c r="D906" s="14" t="n"/>
      <c r="E906" s="15" t="n"/>
      <c r="F906" s="15" t="n"/>
      <c r="G906" s="15" t="n"/>
      <c r="H906" s="15" t="n"/>
      <c r="I906" s="15" t="n"/>
      <c r="J906" s="12" t="n"/>
      <c r="K906" s="39" t="n"/>
    </row>
    <row r="907">
      <c r="A907" s="15" t="n"/>
      <c r="B907" s="14" t="n"/>
      <c r="C907" s="14" t="n"/>
      <c r="D907" s="14" t="n"/>
      <c r="E907" s="15" t="n"/>
      <c r="F907" s="15" t="n"/>
      <c r="G907" s="15" t="n"/>
      <c r="H907" s="15" t="n"/>
      <c r="I907" s="15" t="n"/>
      <c r="J907" s="12" t="n"/>
      <c r="K907" s="39" t="n"/>
    </row>
    <row r="908">
      <c r="A908" s="15" t="n"/>
      <c r="B908" s="14" t="n"/>
      <c r="C908" s="14" t="n"/>
      <c r="D908" s="14" t="n"/>
      <c r="E908" s="15" t="n"/>
      <c r="F908" s="15" t="n"/>
      <c r="G908" s="15" t="n"/>
      <c r="H908" s="15" t="n"/>
      <c r="I908" s="15" t="n"/>
      <c r="J908" s="12" t="n"/>
      <c r="K908" s="39" t="n"/>
    </row>
    <row r="909">
      <c r="A909" s="15" t="n"/>
      <c r="B909" s="14" t="n"/>
      <c r="C909" s="14" t="n"/>
      <c r="D909" s="14" t="n"/>
      <c r="E909" s="15" t="n"/>
      <c r="F909" s="15" t="n"/>
      <c r="G909" s="15" t="n"/>
      <c r="H909" s="15" t="n"/>
      <c r="I909" s="15" t="n"/>
      <c r="J909" s="12" t="n"/>
      <c r="K909" s="39" t="n"/>
    </row>
    <row r="910">
      <c r="A910" s="15" t="n"/>
      <c r="B910" s="14" t="n"/>
      <c r="C910" s="14" t="n"/>
      <c r="D910" s="14" t="n"/>
      <c r="E910" s="15" t="n"/>
      <c r="F910" s="15" t="n"/>
      <c r="G910" s="15" t="n"/>
      <c r="H910" s="15" t="n"/>
      <c r="I910" s="15" t="n"/>
      <c r="J910" s="12" t="n"/>
      <c r="K910" s="39" t="n"/>
    </row>
    <row r="911">
      <c r="A911" s="15" t="n"/>
      <c r="B911" s="14" t="n"/>
      <c r="C911" s="14" t="n"/>
      <c r="D911" s="14" t="n"/>
      <c r="E911" s="15" t="n"/>
      <c r="F911" s="15" t="n"/>
      <c r="G911" s="15" t="n"/>
      <c r="H911" s="15" t="n"/>
      <c r="I911" s="15" t="n"/>
      <c r="J911" s="12" t="n"/>
      <c r="K911" s="39" t="n"/>
    </row>
    <row r="912">
      <c r="A912" s="15" t="n"/>
      <c r="B912" s="14" t="n"/>
      <c r="C912" s="14" t="n"/>
      <c r="D912" s="14" t="n"/>
      <c r="E912" s="15" t="n"/>
      <c r="F912" s="15" t="n"/>
      <c r="G912" s="15" t="n"/>
      <c r="H912" s="15" t="n"/>
      <c r="I912" s="15" t="n"/>
      <c r="J912" s="12" t="n"/>
      <c r="K912" s="39" t="n"/>
    </row>
    <row r="913">
      <c r="A913" s="15" t="n"/>
      <c r="B913" s="14" t="n"/>
      <c r="C913" s="14" t="n"/>
      <c r="D913" s="14" t="n"/>
      <c r="E913" s="15" t="n"/>
      <c r="F913" s="15" t="n"/>
      <c r="G913" s="15" t="n"/>
      <c r="H913" s="15" t="n"/>
      <c r="I913" s="15" t="n"/>
      <c r="J913" s="12" t="n"/>
      <c r="K913" s="39" t="n"/>
    </row>
    <row r="914">
      <c r="A914" s="15" t="n"/>
      <c r="B914" s="14" t="n"/>
      <c r="C914" s="14" t="n"/>
      <c r="D914" s="14" t="n"/>
      <c r="E914" s="15" t="n"/>
      <c r="F914" s="15" t="n"/>
      <c r="G914" s="15" t="n"/>
      <c r="H914" s="15" t="n"/>
      <c r="I914" s="15" t="n"/>
      <c r="J914" s="12" t="n"/>
      <c r="K914" s="39" t="n"/>
    </row>
    <row r="915">
      <c r="A915" s="15" t="n"/>
      <c r="B915" s="14" t="n"/>
      <c r="C915" s="14" t="n"/>
      <c r="D915" s="14" t="n"/>
      <c r="E915" s="15" t="n"/>
      <c r="F915" s="15" t="n"/>
      <c r="G915" s="15" t="n"/>
      <c r="H915" s="15" t="n"/>
      <c r="I915" s="15" t="n"/>
      <c r="J915" s="12" t="n"/>
      <c r="K915" s="39" t="n"/>
    </row>
    <row r="916">
      <c r="A916" s="15" t="n"/>
      <c r="B916" s="14" t="n"/>
      <c r="C916" s="14" t="n"/>
      <c r="D916" s="14" t="n"/>
      <c r="E916" s="15" t="n"/>
      <c r="F916" s="15" t="n"/>
      <c r="G916" s="15" t="n"/>
      <c r="H916" s="15" t="n"/>
      <c r="I916" s="15" t="n"/>
      <c r="J916" s="12" t="n"/>
      <c r="K916" s="39" t="n"/>
    </row>
    <row r="917">
      <c r="A917" s="15" t="n"/>
      <c r="B917" s="14" t="n"/>
      <c r="C917" s="14" t="n"/>
      <c r="D917" s="14" t="n"/>
      <c r="E917" s="15" t="n"/>
      <c r="F917" s="15" t="n"/>
      <c r="G917" s="15" t="n"/>
      <c r="H917" s="15" t="n"/>
      <c r="I917" s="15" t="n"/>
      <c r="J917" s="12" t="n"/>
      <c r="K917" s="39" t="n"/>
    </row>
    <row r="918">
      <c r="A918" s="15" t="n"/>
      <c r="B918" s="14" t="n"/>
      <c r="C918" s="14" t="n"/>
      <c r="D918" s="14" t="n"/>
      <c r="E918" s="15" t="n"/>
      <c r="F918" s="15" t="n"/>
      <c r="G918" s="15" t="n"/>
      <c r="H918" s="15" t="n"/>
      <c r="I918" s="15" t="n"/>
      <c r="J918" s="12" t="n"/>
      <c r="K918" s="39" t="n"/>
    </row>
    <row r="919">
      <c r="A919" s="15" t="n"/>
      <c r="B919" s="14" t="n"/>
      <c r="C919" s="14" t="n"/>
      <c r="D919" s="14" t="n"/>
      <c r="E919" s="15" t="n"/>
      <c r="F919" s="15" t="n"/>
      <c r="G919" s="15" t="n"/>
      <c r="H919" s="15" t="n"/>
      <c r="I919" s="15" t="n"/>
      <c r="J919" s="12" t="n"/>
      <c r="K919" s="39" t="n"/>
    </row>
    <row r="920">
      <c r="A920" s="15" t="n"/>
      <c r="B920" s="14" t="n"/>
      <c r="C920" s="14" t="n"/>
      <c r="D920" s="14" t="n"/>
      <c r="E920" s="15" t="n"/>
      <c r="F920" s="15" t="n"/>
      <c r="G920" s="15" t="n"/>
      <c r="H920" s="15" t="n"/>
      <c r="I920" s="15" t="n"/>
      <c r="J920" s="12" t="n"/>
      <c r="K920" s="39" t="n"/>
    </row>
    <row r="921">
      <c r="A921" s="15" t="n"/>
      <c r="B921" s="14" t="n"/>
      <c r="C921" s="14" t="n"/>
      <c r="D921" s="14" t="n"/>
      <c r="E921" s="15" t="n"/>
      <c r="F921" s="15" t="n"/>
      <c r="G921" s="15" t="n"/>
      <c r="H921" s="15" t="n"/>
      <c r="I921" s="15" t="n"/>
      <c r="J921" s="12" t="n"/>
      <c r="K921" s="39" t="n"/>
    </row>
    <row r="922">
      <c r="A922" s="15" t="n"/>
      <c r="B922" s="14" t="n"/>
      <c r="C922" s="14" t="n"/>
      <c r="D922" s="14" t="n"/>
      <c r="E922" s="15" t="n"/>
      <c r="F922" s="15" t="n"/>
      <c r="G922" s="15" t="n"/>
      <c r="H922" s="15" t="n"/>
      <c r="I922" s="15" t="n"/>
      <c r="J922" s="12" t="n"/>
      <c r="K922" s="39" t="n"/>
    </row>
    <row r="923">
      <c r="A923" s="15" t="n"/>
      <c r="B923" s="14" t="n"/>
      <c r="C923" s="14" t="n"/>
      <c r="D923" s="14" t="n"/>
      <c r="E923" s="15" t="n"/>
      <c r="F923" s="15" t="n"/>
      <c r="G923" s="15" t="n"/>
      <c r="H923" s="15" t="n"/>
      <c r="I923" s="15" t="n"/>
      <c r="J923" s="12" t="n"/>
      <c r="K923" s="39" t="n"/>
    </row>
    <row r="924">
      <c r="A924" s="15" t="n"/>
      <c r="B924" s="14" t="n"/>
      <c r="C924" s="14" t="n"/>
      <c r="D924" s="14" t="n"/>
      <c r="E924" s="15" t="n"/>
      <c r="F924" s="15" t="n"/>
      <c r="G924" s="15" t="n"/>
      <c r="H924" s="15" t="n"/>
      <c r="I924" s="15" t="n"/>
      <c r="J924" s="12" t="n"/>
      <c r="K924" s="39" t="n"/>
    </row>
    <row r="925">
      <c r="A925" s="15" t="n"/>
      <c r="B925" s="14" t="n"/>
      <c r="C925" s="14" t="n"/>
      <c r="D925" s="14" t="n"/>
      <c r="E925" s="15" t="n"/>
      <c r="F925" s="15" t="n"/>
      <c r="G925" s="15" t="n"/>
      <c r="H925" s="15" t="n"/>
      <c r="I925" s="15" t="n"/>
      <c r="J925" s="12" t="n"/>
      <c r="K925" s="39" t="n"/>
    </row>
    <row r="926">
      <c r="A926" s="15" t="n"/>
      <c r="B926" s="14" t="n"/>
      <c r="C926" s="14" t="n"/>
      <c r="D926" s="14" t="n"/>
      <c r="E926" s="15" t="n"/>
      <c r="F926" s="15" t="n"/>
      <c r="G926" s="15" t="n"/>
      <c r="H926" s="15" t="n"/>
      <c r="I926" s="15" t="n"/>
      <c r="J926" s="12" t="n"/>
      <c r="K926" s="39" t="n"/>
    </row>
    <row r="927">
      <c r="A927" s="15" t="n"/>
      <c r="B927" s="14" t="n"/>
      <c r="C927" s="14" t="n"/>
      <c r="D927" s="14" t="n"/>
      <c r="E927" s="15" t="n"/>
      <c r="F927" s="15" t="n"/>
      <c r="G927" s="15" t="n"/>
      <c r="H927" s="15" t="n"/>
      <c r="I927" s="15" t="n"/>
      <c r="J927" s="12" t="n"/>
      <c r="K927" s="39" t="n"/>
    </row>
    <row r="928">
      <c r="A928" s="15" t="n"/>
      <c r="B928" s="14" t="n"/>
      <c r="C928" s="14" t="n"/>
      <c r="D928" s="14" t="n"/>
      <c r="E928" s="15" t="n"/>
      <c r="F928" s="15" t="n"/>
      <c r="G928" s="15" t="n"/>
      <c r="H928" s="15" t="n"/>
      <c r="I928" s="15" t="n"/>
      <c r="J928" s="12" t="n"/>
      <c r="K928" s="39" t="n"/>
    </row>
    <row r="929">
      <c r="A929" s="15" t="n"/>
      <c r="B929" s="14" t="n"/>
      <c r="C929" s="14" t="n"/>
      <c r="D929" s="14" t="n"/>
      <c r="E929" s="15" t="n"/>
      <c r="F929" s="15" t="n"/>
      <c r="G929" s="15" t="n"/>
      <c r="H929" s="15" t="n"/>
      <c r="I929" s="15" t="n"/>
      <c r="J929" s="12" t="n"/>
      <c r="K929" s="39" t="n"/>
    </row>
    <row r="930">
      <c r="A930" s="15" t="n"/>
      <c r="B930" s="14" t="n"/>
      <c r="C930" s="14" t="n"/>
      <c r="D930" s="14" t="n"/>
      <c r="E930" s="15" t="n"/>
      <c r="F930" s="15" t="n"/>
      <c r="G930" s="15" t="n"/>
      <c r="H930" s="15" t="n"/>
      <c r="I930" s="15" t="n"/>
      <c r="J930" s="12" t="n"/>
      <c r="K930" s="39" t="n"/>
    </row>
    <row r="931">
      <c r="A931" s="15" t="n"/>
      <c r="B931" s="14" t="n"/>
      <c r="C931" s="14" t="n"/>
      <c r="D931" s="14" t="n"/>
      <c r="E931" s="15" t="n"/>
      <c r="F931" s="15" t="n"/>
      <c r="G931" s="15" t="n"/>
      <c r="H931" s="15" t="n"/>
      <c r="I931" s="15" t="n"/>
      <c r="J931" s="12" t="n"/>
      <c r="K931" s="39" t="n"/>
    </row>
    <row r="932">
      <c r="A932" s="15" t="n"/>
      <c r="B932" s="14" t="n"/>
      <c r="C932" s="14" t="n"/>
      <c r="D932" s="14" t="n"/>
      <c r="E932" s="15" t="n"/>
      <c r="F932" s="15" t="n"/>
      <c r="G932" s="15" t="n"/>
      <c r="H932" s="15" t="n"/>
      <c r="I932" s="15" t="n"/>
      <c r="J932" s="12" t="n"/>
      <c r="K932" s="39" t="n"/>
    </row>
    <row r="933">
      <c r="A933" s="15" t="n"/>
      <c r="B933" s="14" t="n"/>
      <c r="C933" s="14" t="n"/>
      <c r="D933" s="14" t="n"/>
      <c r="E933" s="15" t="n"/>
      <c r="F933" s="15" t="n"/>
      <c r="G933" s="15" t="n"/>
      <c r="H933" s="15" t="n"/>
      <c r="I933" s="15" t="n"/>
      <c r="J933" s="12" t="n"/>
      <c r="K933" s="39" t="n"/>
    </row>
    <row r="934">
      <c r="A934" s="15" t="n"/>
      <c r="B934" s="14" t="n"/>
      <c r="C934" s="14" t="n"/>
      <c r="D934" s="14" t="n"/>
      <c r="E934" s="15" t="n"/>
      <c r="F934" s="15" t="n"/>
      <c r="G934" s="15" t="n"/>
      <c r="H934" s="15" t="n"/>
      <c r="I934" s="15" t="n"/>
      <c r="J934" s="12" t="n"/>
      <c r="K934" s="39" t="n"/>
    </row>
    <row r="935">
      <c r="A935" s="15" t="n"/>
      <c r="B935" s="14" t="n"/>
      <c r="C935" s="14" t="n"/>
      <c r="D935" s="14" t="n"/>
      <c r="E935" s="15" t="n"/>
      <c r="F935" s="15" t="n"/>
      <c r="G935" s="15" t="n"/>
      <c r="H935" s="15" t="n"/>
      <c r="I935" s="15" t="n"/>
      <c r="J935" s="12" t="n"/>
      <c r="K935" s="39" t="n"/>
    </row>
    <row r="936">
      <c r="A936" s="15" t="n"/>
      <c r="B936" s="14" t="n"/>
      <c r="C936" s="14" t="n"/>
      <c r="D936" s="14" t="n"/>
      <c r="E936" s="15" t="n"/>
      <c r="F936" s="15" t="n"/>
      <c r="G936" s="15" t="n"/>
      <c r="H936" s="15" t="n"/>
      <c r="I936" s="15" t="n"/>
      <c r="J936" s="12" t="n"/>
      <c r="K936" s="39" t="n"/>
    </row>
    <row r="937">
      <c r="A937" s="15" t="n"/>
      <c r="B937" s="14" t="n"/>
      <c r="C937" s="14" t="n"/>
      <c r="D937" s="14" t="n"/>
      <c r="E937" s="15" t="n"/>
      <c r="F937" s="15" t="n"/>
      <c r="G937" s="15" t="n"/>
      <c r="H937" s="15" t="n"/>
      <c r="I937" s="15" t="n"/>
      <c r="J937" s="12" t="n"/>
      <c r="K937" s="39" t="n"/>
    </row>
    <row r="938">
      <c r="A938" s="15" t="n"/>
      <c r="B938" s="14" t="n"/>
      <c r="C938" s="14" t="n"/>
      <c r="D938" s="14" t="n"/>
      <c r="E938" s="15" t="n"/>
      <c r="F938" s="15" t="n"/>
      <c r="G938" s="15" t="n"/>
      <c r="H938" s="15" t="n"/>
      <c r="I938" s="15" t="n"/>
      <c r="J938" s="12" t="n"/>
      <c r="K938" s="39" t="n"/>
    </row>
    <row r="939">
      <c r="A939" s="15" t="n"/>
      <c r="B939" s="14" t="n"/>
      <c r="C939" s="14" t="n"/>
      <c r="D939" s="14" t="n"/>
      <c r="E939" s="15" t="n"/>
      <c r="F939" s="15" t="n"/>
      <c r="G939" s="15" t="n"/>
      <c r="H939" s="15" t="n"/>
      <c r="I939" s="15" t="n"/>
      <c r="J939" s="12" t="n"/>
      <c r="K939" s="39" t="n"/>
    </row>
    <row r="940">
      <c r="A940" s="15" t="n"/>
      <c r="B940" s="14" t="n"/>
      <c r="C940" s="14" t="n"/>
      <c r="D940" s="14" t="n"/>
      <c r="E940" s="15" t="n"/>
      <c r="F940" s="15" t="n"/>
      <c r="G940" s="15" t="n"/>
      <c r="H940" s="15" t="n"/>
      <c r="I940" s="15" t="n"/>
      <c r="J940" s="12" t="n"/>
      <c r="K940" s="39" t="n"/>
    </row>
    <row r="941">
      <c r="A941" s="15" t="n"/>
      <c r="B941" s="14" t="n"/>
      <c r="C941" s="14" t="n"/>
      <c r="D941" s="14" t="n"/>
      <c r="E941" s="15" t="n"/>
      <c r="F941" s="15" t="n"/>
      <c r="G941" s="15" t="n"/>
      <c r="H941" s="15" t="n"/>
      <c r="I941" s="15" t="n"/>
      <c r="J941" s="12" t="n"/>
      <c r="K941" s="39" t="n"/>
    </row>
    <row r="942">
      <c r="A942" s="15" t="n"/>
      <c r="B942" s="14" t="n"/>
      <c r="C942" s="14" t="n"/>
      <c r="D942" s="14" t="n"/>
      <c r="E942" s="15" t="n"/>
      <c r="F942" s="15" t="n"/>
      <c r="G942" s="15" t="n"/>
      <c r="H942" s="15" t="n"/>
      <c r="I942" s="15" t="n"/>
      <c r="J942" s="12" t="n"/>
      <c r="K942" s="39" t="n"/>
    </row>
    <row r="943">
      <c r="A943" s="15" t="n"/>
      <c r="B943" s="14" t="n"/>
      <c r="C943" s="14" t="n"/>
      <c r="D943" s="14" t="n"/>
      <c r="E943" s="15" t="n"/>
      <c r="F943" s="15" t="n"/>
      <c r="G943" s="15" t="n"/>
      <c r="H943" s="15" t="n"/>
      <c r="I943" s="15" t="n"/>
      <c r="J943" s="12" t="n"/>
      <c r="K943" s="39" t="n"/>
    </row>
    <row r="944">
      <c r="A944" s="15" t="n"/>
      <c r="B944" s="14" t="n"/>
      <c r="C944" s="14" t="n"/>
      <c r="D944" s="14" t="n"/>
      <c r="E944" s="15" t="n"/>
      <c r="F944" s="15" t="n"/>
      <c r="G944" s="15" t="n"/>
      <c r="H944" s="15" t="n"/>
      <c r="I944" s="15" t="n"/>
      <c r="J944" s="12" t="n"/>
      <c r="K944" s="39" t="n"/>
    </row>
    <row r="945">
      <c r="A945" s="15" t="n"/>
      <c r="B945" s="14" t="n"/>
      <c r="C945" s="14" t="n"/>
      <c r="D945" s="14" t="n"/>
      <c r="E945" s="15" t="n"/>
      <c r="F945" s="15" t="n"/>
      <c r="G945" s="15" t="n"/>
      <c r="H945" s="15" t="n"/>
      <c r="I945" s="15" t="n"/>
      <c r="J945" s="12" t="n"/>
      <c r="K945" s="39" t="n"/>
    </row>
    <row r="946">
      <c r="A946" s="15" t="n"/>
      <c r="B946" s="14" t="n"/>
      <c r="C946" s="14" t="n"/>
      <c r="D946" s="14" t="n"/>
      <c r="E946" s="15" t="n"/>
      <c r="F946" s="15" t="n"/>
      <c r="G946" s="15" t="n"/>
      <c r="H946" s="15" t="n"/>
      <c r="I946" s="15" t="n"/>
      <c r="J946" s="12" t="n"/>
      <c r="K946" s="39" t="n"/>
    </row>
    <row r="947">
      <c r="A947" s="15" t="n"/>
      <c r="B947" s="14" t="n"/>
      <c r="C947" s="14" t="n"/>
      <c r="D947" s="14" t="n"/>
      <c r="E947" s="15" t="n"/>
      <c r="F947" s="15" t="n"/>
      <c r="G947" s="15" t="n"/>
      <c r="H947" s="15" t="n"/>
      <c r="I947" s="15" t="n"/>
      <c r="J947" s="12" t="n"/>
      <c r="K947" s="39" t="n"/>
    </row>
    <row r="948">
      <c r="A948" s="15" t="n"/>
      <c r="B948" s="14" t="n"/>
      <c r="C948" s="14" t="n"/>
      <c r="D948" s="14" t="n"/>
      <c r="E948" s="15" t="n"/>
      <c r="F948" s="15" t="n"/>
      <c r="G948" s="15" t="n"/>
      <c r="H948" s="15" t="n"/>
      <c r="I948" s="15" t="n"/>
      <c r="J948" s="12" t="n"/>
      <c r="K948" s="39" t="n"/>
    </row>
    <row r="949">
      <c r="A949" s="15" t="n"/>
      <c r="B949" s="14" t="n"/>
      <c r="C949" s="14" t="n"/>
      <c r="D949" s="14" t="n"/>
      <c r="E949" s="15" t="n"/>
      <c r="F949" s="15" t="n"/>
      <c r="G949" s="15" t="n"/>
      <c r="H949" s="15" t="n"/>
      <c r="I949" s="15" t="n"/>
      <c r="J949" s="12" t="n"/>
      <c r="K949" s="39" t="n"/>
    </row>
    <row r="950">
      <c r="A950" s="15" t="n"/>
      <c r="B950" s="14" t="n"/>
      <c r="C950" s="14" t="n"/>
      <c r="D950" s="14" t="n"/>
      <c r="E950" s="15" t="n"/>
      <c r="F950" s="15" t="n"/>
      <c r="G950" s="15" t="n"/>
      <c r="H950" s="15" t="n"/>
      <c r="I950" s="15" t="n"/>
      <c r="J950" s="12" t="n"/>
      <c r="K950" s="39" t="n"/>
    </row>
    <row r="951">
      <c r="A951" s="15" t="n"/>
      <c r="B951" s="14" t="n"/>
      <c r="C951" s="14" t="n"/>
      <c r="D951" s="14" t="n"/>
      <c r="E951" s="15" t="n"/>
      <c r="F951" s="15" t="n"/>
      <c r="G951" s="15" t="n"/>
      <c r="H951" s="15" t="n"/>
      <c r="I951" s="15" t="n"/>
      <c r="J951" s="12" t="n"/>
      <c r="K951" s="39" t="n"/>
    </row>
    <row r="952">
      <c r="A952" s="15" t="n"/>
      <c r="B952" s="14" t="n"/>
      <c r="C952" s="14" t="n"/>
      <c r="D952" s="14" t="n"/>
      <c r="E952" s="15" t="n"/>
      <c r="F952" s="15" t="n"/>
      <c r="G952" s="15" t="n"/>
      <c r="H952" s="15" t="n"/>
      <c r="I952" s="15" t="n"/>
      <c r="J952" s="12" t="n"/>
      <c r="K952" s="39" t="n"/>
    </row>
    <row r="953">
      <c r="A953" s="15" t="n"/>
      <c r="B953" s="14" t="n"/>
      <c r="C953" s="14" t="n"/>
      <c r="D953" s="14" t="n"/>
      <c r="E953" s="15" t="n"/>
      <c r="F953" s="15" t="n"/>
      <c r="G953" s="15" t="n"/>
      <c r="H953" s="15" t="n"/>
      <c r="I953" s="15" t="n"/>
      <c r="J953" s="12" t="n"/>
      <c r="K953" s="39" t="n"/>
    </row>
    <row r="954">
      <c r="A954" s="15" t="n"/>
      <c r="B954" s="14" t="n"/>
      <c r="C954" s="14" t="n"/>
      <c r="D954" s="14" t="n"/>
      <c r="E954" s="15" t="n"/>
      <c r="F954" s="15" t="n"/>
      <c r="G954" s="15" t="n"/>
      <c r="H954" s="15" t="n"/>
      <c r="I954" s="15" t="n"/>
      <c r="J954" s="12" t="n"/>
      <c r="K954" s="39" t="n"/>
    </row>
    <row r="955">
      <c r="A955" s="15" t="n"/>
      <c r="B955" s="14" t="n"/>
      <c r="C955" s="14" t="n"/>
      <c r="D955" s="14" t="n"/>
      <c r="E955" s="15" t="n"/>
      <c r="F955" s="15" t="n"/>
      <c r="G955" s="15" t="n"/>
      <c r="H955" s="15" t="n"/>
      <c r="I955" s="15" t="n"/>
      <c r="J955" s="12" t="n"/>
      <c r="K955" s="39" t="n"/>
    </row>
    <row r="956">
      <c r="A956" s="15" t="n"/>
      <c r="B956" s="14" t="n"/>
      <c r="C956" s="14" t="n"/>
      <c r="D956" s="14" t="n"/>
      <c r="E956" s="15" t="n"/>
      <c r="F956" s="15" t="n"/>
      <c r="G956" s="15" t="n"/>
      <c r="H956" s="15" t="n"/>
      <c r="I956" s="15" t="n"/>
      <c r="J956" s="12" t="n"/>
      <c r="K956" s="39" t="n"/>
    </row>
    <row r="957">
      <c r="A957" s="15" t="n"/>
      <c r="B957" s="14" t="n"/>
      <c r="C957" s="14" t="n"/>
      <c r="D957" s="14" t="n"/>
      <c r="E957" s="15" t="n"/>
      <c r="F957" s="15" t="n"/>
      <c r="G957" s="15" t="n"/>
      <c r="H957" s="15" t="n"/>
      <c r="I957" s="15" t="n"/>
      <c r="J957" s="12" t="n"/>
      <c r="K957" s="39" t="n"/>
    </row>
    <row r="958">
      <c r="A958" s="15" t="n"/>
      <c r="B958" s="14" t="n"/>
      <c r="C958" s="14" t="n"/>
      <c r="D958" s="14" t="n"/>
      <c r="E958" s="15" t="n"/>
      <c r="F958" s="15" t="n"/>
      <c r="G958" s="15" t="n"/>
      <c r="H958" s="15" t="n"/>
      <c r="I958" s="15" t="n"/>
      <c r="J958" s="12" t="n"/>
      <c r="K958" s="39" t="n"/>
    </row>
    <row r="959">
      <c r="A959" s="15" t="n"/>
      <c r="B959" s="14" t="n"/>
      <c r="C959" s="14" t="n"/>
      <c r="D959" s="14" t="n"/>
      <c r="E959" s="15" t="n"/>
      <c r="F959" s="15" t="n"/>
      <c r="G959" s="15" t="n"/>
      <c r="H959" s="15" t="n"/>
      <c r="I959" s="15" t="n"/>
      <c r="J959" s="12" t="n"/>
      <c r="K959" s="39" t="n"/>
    </row>
    <row r="960">
      <c r="A960" s="15" t="n"/>
      <c r="B960" s="14" t="n"/>
      <c r="C960" s="14" t="n"/>
      <c r="D960" s="14" t="n"/>
      <c r="E960" s="15" t="n"/>
      <c r="F960" s="15" t="n"/>
      <c r="G960" s="15" t="n"/>
      <c r="H960" s="15" t="n"/>
      <c r="I960" s="15" t="n"/>
      <c r="J960" s="12" t="n"/>
      <c r="K960" s="39" t="n"/>
    </row>
    <row r="961">
      <c r="A961" s="15" t="n"/>
      <c r="B961" s="14" t="n"/>
      <c r="C961" s="14" t="n"/>
      <c r="D961" s="14" t="n"/>
      <c r="E961" s="15" t="n"/>
      <c r="F961" s="15" t="n"/>
      <c r="G961" s="15" t="n"/>
      <c r="H961" s="15" t="n"/>
      <c r="I961" s="15" t="n"/>
      <c r="J961" s="12" t="n"/>
      <c r="K961" s="39" t="n"/>
    </row>
    <row r="962">
      <c r="A962" s="15" t="n"/>
      <c r="B962" s="14" t="n"/>
      <c r="C962" s="14" t="n"/>
      <c r="D962" s="14" t="n"/>
      <c r="E962" s="15" t="n"/>
      <c r="F962" s="15" t="n"/>
      <c r="G962" s="15" t="n"/>
      <c r="H962" s="15" t="n"/>
      <c r="I962" s="15" t="n"/>
      <c r="J962" s="12" t="n"/>
      <c r="K962" s="39" t="n"/>
    </row>
    <row r="963">
      <c r="A963" s="15" t="n"/>
      <c r="B963" s="14" t="n"/>
      <c r="C963" s="14" t="n"/>
      <c r="D963" s="14" t="n"/>
      <c r="E963" s="15" t="n"/>
      <c r="F963" s="15" t="n"/>
      <c r="G963" s="15" t="n"/>
      <c r="H963" s="15" t="n"/>
      <c r="I963" s="15" t="n"/>
      <c r="J963" s="12" t="n"/>
      <c r="K963" s="39" t="n"/>
    </row>
    <row r="964">
      <c r="A964" s="15" t="n"/>
      <c r="B964" s="14" t="n"/>
      <c r="C964" s="14" t="n"/>
      <c r="D964" s="14" t="n"/>
      <c r="E964" s="15" t="n"/>
      <c r="F964" s="15" t="n"/>
      <c r="G964" s="15" t="n"/>
      <c r="H964" s="15" t="n"/>
      <c r="I964" s="15" t="n"/>
      <c r="J964" s="12" t="n"/>
      <c r="K964" s="39" t="n"/>
    </row>
    <row r="965">
      <c r="A965" s="15" t="n"/>
      <c r="B965" s="14" t="n"/>
      <c r="C965" s="14" t="n"/>
      <c r="D965" s="14" t="n"/>
      <c r="E965" s="15" t="n"/>
      <c r="F965" s="15" t="n"/>
      <c r="G965" s="15" t="n"/>
      <c r="H965" s="15" t="n"/>
      <c r="I965" s="15" t="n"/>
      <c r="J965" s="12" t="n"/>
      <c r="K965" s="39" t="n"/>
    </row>
    <row r="966">
      <c r="A966" s="15" t="n"/>
      <c r="B966" s="14" t="n"/>
      <c r="C966" s="14" t="n"/>
      <c r="D966" s="14" t="n"/>
      <c r="E966" s="15" t="n"/>
      <c r="F966" s="15" t="n"/>
      <c r="G966" s="15" t="n"/>
      <c r="H966" s="15" t="n"/>
      <c r="I966" s="15" t="n"/>
      <c r="J966" s="12" t="n"/>
      <c r="K966" s="39" t="n"/>
    </row>
    <row r="967">
      <c r="A967" s="15" t="n"/>
      <c r="B967" s="14" t="n"/>
      <c r="C967" s="14" t="n"/>
      <c r="D967" s="14" t="n"/>
      <c r="E967" s="15" t="n"/>
      <c r="F967" s="15" t="n"/>
      <c r="G967" s="15" t="n"/>
      <c r="H967" s="15" t="n"/>
      <c r="I967" s="15" t="n"/>
      <c r="J967" s="12" t="n"/>
      <c r="K967" s="39" t="n"/>
    </row>
    <row r="968">
      <c r="A968" s="15" t="n"/>
      <c r="B968" s="14" t="n"/>
      <c r="C968" s="14" t="n"/>
      <c r="D968" s="14" t="n"/>
      <c r="E968" s="15" t="n"/>
      <c r="F968" s="15" t="n"/>
      <c r="G968" s="15" t="n"/>
      <c r="H968" s="15" t="n"/>
      <c r="I968" s="15" t="n"/>
      <c r="J968" s="12" t="n"/>
      <c r="K968" s="39" t="n"/>
    </row>
    <row r="969">
      <c r="A969" s="15" t="n"/>
      <c r="B969" s="14" t="n"/>
      <c r="C969" s="14" t="n"/>
      <c r="D969" s="14" t="n"/>
      <c r="E969" s="15" t="n"/>
      <c r="F969" s="15" t="n"/>
      <c r="G969" s="15" t="n"/>
      <c r="H969" s="15" t="n"/>
      <c r="I969" s="15" t="n"/>
      <c r="J969" s="12" t="n"/>
      <c r="K969" s="39" t="n"/>
    </row>
    <row r="970">
      <c r="A970" s="15" t="n"/>
      <c r="B970" s="14" t="n"/>
      <c r="C970" s="14" t="n"/>
      <c r="D970" s="14" t="n"/>
      <c r="E970" s="15" t="n"/>
      <c r="F970" s="15" t="n"/>
      <c r="G970" s="15" t="n"/>
      <c r="H970" s="15" t="n"/>
      <c r="I970" s="15" t="n"/>
      <c r="J970" s="12" t="n"/>
      <c r="K970" s="39" t="n"/>
    </row>
    <row r="971">
      <c r="A971" s="15" t="n"/>
      <c r="B971" s="14" t="n"/>
      <c r="C971" s="14" t="n"/>
      <c r="D971" s="14" t="n"/>
      <c r="E971" s="15" t="n"/>
      <c r="F971" s="15" t="n"/>
      <c r="G971" s="15" t="n"/>
      <c r="H971" s="15" t="n"/>
      <c r="I971" s="15" t="n"/>
      <c r="J971" s="12" t="n"/>
      <c r="K971" s="39" t="n"/>
    </row>
    <row r="972">
      <c r="A972" s="15" t="n"/>
      <c r="B972" s="14" t="n"/>
      <c r="C972" s="14" t="n"/>
      <c r="D972" s="14" t="n"/>
      <c r="E972" s="15" t="n"/>
      <c r="F972" s="15" t="n"/>
      <c r="G972" s="15" t="n"/>
      <c r="H972" s="15" t="n"/>
      <c r="I972" s="15" t="n"/>
      <c r="J972" s="12" t="n"/>
      <c r="K972" s="39" t="n"/>
    </row>
    <row r="973">
      <c r="A973" s="15" t="n"/>
      <c r="B973" s="14" t="n"/>
      <c r="C973" s="14" t="n"/>
      <c r="D973" s="14" t="n"/>
      <c r="E973" s="15" t="n"/>
      <c r="F973" s="15" t="n"/>
      <c r="G973" s="15" t="n"/>
      <c r="H973" s="15" t="n"/>
      <c r="I973" s="15" t="n"/>
      <c r="J973" s="12" t="n"/>
      <c r="K973" s="39" t="n"/>
    </row>
    <row r="974">
      <c r="A974" s="15" t="n"/>
      <c r="B974" s="14" t="n"/>
      <c r="C974" s="14" t="n"/>
      <c r="D974" s="14" t="n"/>
      <c r="E974" s="15" t="n"/>
      <c r="F974" s="15" t="n"/>
      <c r="G974" s="15" t="n"/>
      <c r="H974" s="15" t="n"/>
      <c r="I974" s="15" t="n"/>
      <c r="J974" s="12" t="n"/>
      <c r="K974" s="39" t="n"/>
    </row>
    <row r="975">
      <c r="A975" s="15" t="n"/>
      <c r="B975" s="14" t="n"/>
      <c r="C975" s="14" t="n"/>
      <c r="D975" s="14" t="n"/>
      <c r="E975" s="15" t="n"/>
      <c r="F975" s="15" t="n"/>
      <c r="G975" s="15" t="n"/>
      <c r="H975" s="15" t="n"/>
      <c r="I975" s="15" t="n"/>
      <c r="J975" s="12" t="n"/>
      <c r="K975" s="39" t="n"/>
    </row>
    <row r="976">
      <c r="A976" s="15" t="n"/>
      <c r="B976" s="14" t="n"/>
      <c r="C976" s="14" t="n"/>
      <c r="D976" s="14" t="n"/>
      <c r="E976" s="15" t="n"/>
      <c r="F976" s="15" t="n"/>
      <c r="G976" s="15" t="n"/>
      <c r="H976" s="15" t="n"/>
      <c r="I976" s="15" t="n"/>
      <c r="J976" s="12" t="n"/>
      <c r="K976" s="39" t="n"/>
    </row>
    <row r="977">
      <c r="A977" s="15" t="n"/>
      <c r="B977" s="14" t="n"/>
      <c r="C977" s="14" t="n"/>
      <c r="D977" s="14" t="n"/>
      <c r="E977" s="15" t="n"/>
      <c r="F977" s="15" t="n"/>
      <c r="G977" s="15" t="n"/>
      <c r="H977" s="15" t="n"/>
      <c r="I977" s="15" t="n"/>
      <c r="J977" s="12" t="n"/>
      <c r="K977" s="39" t="n"/>
    </row>
    <row r="978">
      <c r="A978" s="15" t="n"/>
      <c r="B978" s="14" t="n"/>
      <c r="C978" s="14" t="n"/>
      <c r="D978" s="14" t="n"/>
      <c r="E978" s="15" t="n"/>
      <c r="F978" s="15" t="n"/>
      <c r="G978" s="15" t="n"/>
      <c r="H978" s="15" t="n"/>
      <c r="I978" s="15" t="n"/>
      <c r="J978" s="12" t="n"/>
      <c r="K978" s="39" t="n"/>
    </row>
    <row r="979">
      <c r="A979" s="15" t="n"/>
      <c r="B979" s="14" t="n"/>
      <c r="C979" s="14" t="n"/>
      <c r="D979" s="14" t="n"/>
      <c r="E979" s="15" t="n"/>
      <c r="F979" s="15" t="n"/>
      <c r="G979" s="15" t="n"/>
      <c r="H979" s="15" t="n"/>
      <c r="I979" s="15" t="n"/>
      <c r="J979" s="12" t="n"/>
      <c r="K979" s="39" t="n"/>
    </row>
    <row r="980">
      <c r="A980" s="15" t="n"/>
      <c r="B980" s="14" t="n"/>
      <c r="C980" s="14" t="n"/>
      <c r="D980" s="14" t="n"/>
      <c r="E980" s="15" t="n"/>
      <c r="F980" s="15" t="n"/>
      <c r="G980" s="15" t="n"/>
      <c r="H980" s="15" t="n"/>
      <c r="I980" s="15" t="n"/>
      <c r="J980" s="12" t="n"/>
      <c r="K980" s="39" t="n"/>
    </row>
    <row r="981">
      <c r="A981" s="15" t="n"/>
      <c r="B981" s="14" t="n"/>
      <c r="C981" s="14" t="n"/>
      <c r="D981" s="14" t="n"/>
      <c r="E981" s="15" t="n"/>
      <c r="F981" s="15" t="n"/>
      <c r="G981" s="15" t="n"/>
      <c r="H981" s="15" t="n"/>
      <c r="I981" s="15" t="n"/>
      <c r="J981" s="12" t="n"/>
      <c r="K981" s="39" t="n"/>
    </row>
    <row r="982">
      <c r="A982" s="15" t="n"/>
      <c r="B982" s="14" t="n"/>
      <c r="C982" s="14" t="n"/>
      <c r="D982" s="14" t="n"/>
      <c r="E982" s="15" t="n"/>
      <c r="F982" s="15" t="n"/>
      <c r="G982" s="15" t="n"/>
      <c r="H982" s="15" t="n"/>
      <c r="I982" s="15" t="n"/>
      <c r="J982" s="12" t="n"/>
      <c r="K982" s="39" t="n"/>
    </row>
    <row r="983">
      <c r="A983" s="15" t="n"/>
      <c r="B983" s="14" t="n"/>
      <c r="C983" s="14" t="n"/>
      <c r="D983" s="14" t="n"/>
      <c r="E983" s="15" t="n"/>
      <c r="F983" s="15" t="n"/>
      <c r="G983" s="15" t="n"/>
      <c r="H983" s="15" t="n"/>
      <c r="I983" s="15" t="n"/>
      <c r="J983" s="12" t="n"/>
      <c r="K983" s="39" t="n"/>
    </row>
    <row r="984">
      <c r="A984" s="15" t="n"/>
      <c r="B984" s="14" t="n"/>
      <c r="C984" s="14" t="n"/>
      <c r="D984" s="14" t="n"/>
      <c r="E984" s="15" t="n"/>
      <c r="F984" s="15" t="n"/>
      <c r="G984" s="15" t="n"/>
      <c r="H984" s="15" t="n"/>
      <c r="I984" s="15" t="n"/>
      <c r="J984" s="12" t="n"/>
      <c r="K984" s="39" t="n"/>
    </row>
    <row r="985">
      <c r="A985" s="15" t="n"/>
      <c r="B985" s="14" t="n"/>
      <c r="C985" s="14" t="n"/>
      <c r="D985" s="14" t="n"/>
      <c r="E985" s="15" t="n"/>
      <c r="F985" s="15" t="n"/>
      <c r="G985" s="15" t="n"/>
      <c r="H985" s="15" t="n"/>
      <c r="I985" s="15" t="n"/>
      <c r="J985" s="12" t="n"/>
      <c r="K985" s="39" t="n"/>
    </row>
    <row r="986">
      <c r="A986" s="15" t="n"/>
      <c r="B986" s="14" t="n"/>
      <c r="C986" s="14" t="n"/>
      <c r="D986" s="14" t="n"/>
      <c r="E986" s="15" t="n"/>
      <c r="F986" s="15" t="n"/>
      <c r="G986" s="15" t="n"/>
      <c r="H986" s="15" t="n"/>
      <c r="I986" s="15" t="n"/>
      <c r="J986" s="12" t="n"/>
      <c r="K986" s="39" t="n"/>
    </row>
    <row r="987">
      <c r="A987" s="15" t="n"/>
      <c r="B987" s="14" t="n"/>
      <c r="C987" s="14" t="n"/>
      <c r="D987" s="14" t="n"/>
      <c r="E987" s="15" t="n"/>
      <c r="F987" s="15" t="n"/>
      <c r="G987" s="15" t="n"/>
      <c r="H987" s="15" t="n"/>
      <c r="I987" s="15" t="n"/>
      <c r="J987" s="12" t="n"/>
      <c r="K987" s="39" t="n"/>
    </row>
    <row r="988">
      <c r="A988" s="15" t="n"/>
      <c r="B988" s="14" t="n"/>
      <c r="C988" s="14" t="n"/>
      <c r="D988" s="14" t="n"/>
      <c r="E988" s="15" t="n"/>
      <c r="F988" s="15" t="n"/>
      <c r="G988" s="15" t="n"/>
      <c r="H988" s="15" t="n"/>
      <c r="I988" s="15" t="n"/>
      <c r="J988" s="12" t="n"/>
      <c r="K988" s="39" t="n"/>
    </row>
    <row r="989">
      <c r="A989" s="15" t="n"/>
      <c r="B989" s="14" t="n"/>
      <c r="C989" s="14" t="n"/>
      <c r="D989" s="14" t="n"/>
      <c r="E989" s="15" t="n"/>
      <c r="F989" s="15" t="n"/>
      <c r="G989" s="15" t="n"/>
      <c r="H989" s="15" t="n"/>
      <c r="I989" s="15" t="n"/>
      <c r="J989" s="12" t="n"/>
      <c r="K989" s="39" t="n"/>
    </row>
    <row r="990">
      <c r="A990" s="15" t="n"/>
      <c r="B990" s="14" t="n"/>
      <c r="C990" s="14" t="n"/>
      <c r="D990" s="14" t="n"/>
      <c r="E990" s="15" t="n"/>
      <c r="F990" s="15" t="n"/>
      <c r="G990" s="15" t="n"/>
      <c r="H990" s="15" t="n"/>
      <c r="I990" s="15" t="n"/>
      <c r="J990" s="12" t="n"/>
      <c r="K990" s="39" t="n"/>
    </row>
    <row r="991">
      <c r="A991" s="15" t="n"/>
      <c r="B991" s="14" t="n"/>
      <c r="C991" s="14" t="n"/>
      <c r="D991" s="14" t="n"/>
      <c r="E991" s="15" t="n"/>
      <c r="F991" s="15" t="n"/>
      <c r="G991" s="15" t="n"/>
      <c r="H991" s="15" t="n"/>
      <c r="I991" s="15" t="n"/>
      <c r="J991" s="12" t="n"/>
      <c r="K991" s="39" t="n"/>
    </row>
    <row r="992">
      <c r="A992" s="15" t="n"/>
      <c r="B992" s="14" t="n"/>
      <c r="C992" s="14" t="n"/>
      <c r="D992" s="14" t="n"/>
      <c r="E992" s="15" t="n"/>
      <c r="F992" s="15" t="n"/>
      <c r="G992" s="15" t="n"/>
      <c r="H992" s="15" t="n"/>
      <c r="I992" s="15" t="n"/>
      <c r="J992" s="12" t="n"/>
      <c r="K992" s="39" t="n"/>
    </row>
    <row r="993">
      <c r="A993" s="15" t="n"/>
      <c r="B993" s="14" t="n"/>
      <c r="C993" s="14" t="n"/>
      <c r="D993" s="14" t="n"/>
      <c r="E993" s="15" t="n"/>
      <c r="F993" s="15" t="n"/>
      <c r="G993" s="15" t="n"/>
      <c r="H993" s="15" t="n"/>
      <c r="I993" s="15" t="n"/>
      <c r="J993" s="12" t="n"/>
      <c r="K993" s="39" t="n"/>
    </row>
    <row r="994">
      <c r="A994" s="15" t="n"/>
      <c r="B994" s="14" t="n"/>
      <c r="C994" s="14" t="n"/>
      <c r="D994" s="14" t="n"/>
      <c r="E994" s="15" t="n"/>
      <c r="F994" s="15" t="n"/>
      <c r="G994" s="15" t="n"/>
      <c r="H994" s="15" t="n"/>
      <c r="I994" s="15" t="n"/>
      <c r="J994" s="12" t="n"/>
      <c r="K994" s="39" t="n"/>
    </row>
    <row r="995">
      <c r="A995" s="15" t="n"/>
      <c r="B995" s="14" t="n"/>
      <c r="C995" s="14" t="n"/>
      <c r="D995" s="14" t="n"/>
      <c r="E995" s="15" t="n"/>
      <c r="F995" s="15" t="n"/>
      <c r="G995" s="15" t="n"/>
      <c r="H995" s="15" t="n"/>
      <c r="I995" s="15" t="n"/>
      <c r="J995" s="12" t="n"/>
      <c r="K995" s="39" t="n"/>
    </row>
    <row r="996">
      <c r="A996" s="15" t="n"/>
      <c r="B996" s="14" t="n"/>
      <c r="C996" s="14" t="n"/>
      <c r="D996" s="14" t="n"/>
      <c r="E996" s="15" t="n"/>
      <c r="F996" s="15" t="n"/>
      <c r="G996" s="15" t="n"/>
      <c r="H996" s="15" t="n"/>
      <c r="I996" s="15" t="n"/>
      <c r="J996" s="12" t="n"/>
      <c r="K996" s="39" t="n"/>
    </row>
    <row r="997">
      <c r="A997" s="15" t="n"/>
      <c r="B997" s="14" t="n"/>
      <c r="C997" s="14" t="n"/>
      <c r="D997" s="14" t="n"/>
      <c r="E997" s="15" t="n"/>
      <c r="F997" s="15" t="n"/>
      <c r="G997" s="15" t="n"/>
      <c r="H997" s="15" t="n"/>
      <c r="I997" s="15" t="n"/>
      <c r="J997" s="12" t="n"/>
      <c r="K997" s="39" t="n"/>
    </row>
    <row r="998">
      <c r="A998" s="15" t="n"/>
      <c r="B998" s="14" t="n"/>
      <c r="C998" s="14" t="n"/>
      <c r="D998" s="14" t="n"/>
      <c r="E998" s="15" t="n"/>
      <c r="F998" s="15" t="n"/>
      <c r="G998" s="15" t="n"/>
      <c r="H998" s="15" t="n"/>
      <c r="I998" s="15" t="n"/>
      <c r="J998" s="12" t="n"/>
      <c r="K998" s="39" t="n"/>
    </row>
    <row r="999">
      <c r="A999" s="15" t="n"/>
      <c r="B999" s="14" t="n"/>
      <c r="C999" s="14" t="n"/>
      <c r="D999" s="14" t="n"/>
      <c r="E999" s="15" t="n"/>
      <c r="F999" s="15" t="n"/>
      <c r="G999" s="15" t="n"/>
      <c r="H999" s="15" t="n"/>
      <c r="I999" s="15" t="n"/>
      <c r="J999" s="12" t="n"/>
      <c r="K999" s="39" t="n"/>
    </row>
    <row r="1000">
      <c r="A1000" s="15" t="n"/>
      <c r="B1000" s="14" t="n"/>
      <c r="C1000" s="14" t="n"/>
      <c r="D1000" s="14" t="n"/>
      <c r="E1000" s="15" t="n"/>
      <c r="F1000" s="15" t="n"/>
      <c r="G1000" s="15" t="n"/>
      <c r="H1000" s="15" t="n"/>
      <c r="I1000" s="15" t="n"/>
      <c r="J1000" s="12" t="n"/>
      <c r="K1000" s="39" t="n"/>
    </row>
    <row r="1001">
      <c r="A1001" s="15" t="n"/>
      <c r="B1001" s="14" t="n"/>
      <c r="C1001" s="14" t="n"/>
      <c r="D1001" s="14" t="n"/>
      <c r="E1001" s="15" t="n"/>
      <c r="F1001" s="15" t="n"/>
      <c r="G1001" s="15" t="n"/>
      <c r="H1001" s="15" t="n"/>
      <c r="I1001" s="15" t="n"/>
      <c r="J1001" s="12" t="n"/>
      <c r="K1001" s="39" t="n"/>
    </row>
    <row r="1002">
      <c r="A1002" s="15" t="n"/>
      <c r="B1002" s="14" t="n"/>
      <c r="C1002" s="14" t="n"/>
      <c r="D1002" s="14" t="n"/>
      <c r="E1002" s="15" t="n"/>
      <c r="F1002" s="15" t="n"/>
      <c r="G1002" s="15" t="n"/>
      <c r="H1002" s="15" t="n"/>
      <c r="I1002" s="15" t="n"/>
      <c r="J1002" s="12" t="n"/>
      <c r="K1002" s="39" t="n"/>
    </row>
    <row r="1003">
      <c r="A1003" s="15" t="n"/>
      <c r="B1003" s="14" t="n"/>
      <c r="C1003" s="14" t="n"/>
      <c r="D1003" s="14" t="n"/>
      <c r="E1003" s="15" t="n"/>
      <c r="F1003" s="15" t="n"/>
      <c r="G1003" s="15" t="n"/>
      <c r="H1003" s="15" t="n"/>
      <c r="I1003" s="15" t="n"/>
      <c r="J1003" s="12" t="n"/>
      <c r="K1003" s="39" t="n"/>
    </row>
    <row r="1004">
      <c r="A1004" s="15" t="n"/>
      <c r="B1004" s="14" t="n"/>
      <c r="C1004" s="14" t="n"/>
      <c r="D1004" s="14" t="n"/>
      <c r="E1004" s="15" t="n"/>
      <c r="F1004" s="15" t="n"/>
      <c r="G1004" s="15" t="n"/>
      <c r="H1004" s="15" t="n"/>
      <c r="I1004" s="15" t="n"/>
      <c r="J1004" s="12" t="n"/>
      <c r="K1004" s="39" t="n"/>
    </row>
    <row r="1005">
      <c r="A1005" s="15" t="n"/>
      <c r="B1005" s="14" t="n"/>
      <c r="C1005" s="14" t="n"/>
      <c r="D1005" s="14" t="n"/>
      <c r="E1005" s="15" t="n"/>
      <c r="F1005" s="15" t="n"/>
      <c r="G1005" s="15" t="n"/>
      <c r="H1005" s="15" t="n"/>
      <c r="I1005" s="15" t="n"/>
      <c r="J1005" s="12" t="n"/>
      <c r="K1005" s="39" t="n"/>
    </row>
  </sheetData>
  <mergeCells count="2">
    <mergeCell ref="D3:E3"/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zoomScale="110" workbookViewId="0">
      <selection activeCell="A1" sqref="A1"/>
    </sheetView>
  </sheetViews>
  <sheetFormatPr baseColWidth="8" defaultRowHeight="15"/>
  <cols>
    <col width="48" customWidth="1" min="1" max="1"/>
    <col width="22" customWidth="1" min="2" max="2"/>
    <col width="22" customWidth="1" min="3" max="3"/>
    <col width="16" customWidth="1" min="4" max="4"/>
  </cols>
  <sheetData>
    <row r="1" ht="20" customHeight="1">
      <c r="A1" s="3" t="inlineStr">
        <is>
          <t>Economic Kill Conditions (structural non-viability triggers)</t>
        </is>
      </c>
      <c r="B1" s="36" t="n"/>
      <c r="C1" s="36" t="n"/>
      <c r="D1" s="37" t="n"/>
    </row>
    <row r="2">
      <c r="A2" s="7" t="inlineStr">
        <is>
          <t>Condition</t>
        </is>
      </c>
      <c r="B2" s="7" t="inlineStr">
        <is>
          <t>Value</t>
        </is>
      </c>
      <c r="C2" s="7" t="inlineStr">
        <is>
          <t>Threshold</t>
        </is>
      </c>
      <c r="D2" s="7" t="inlineStr">
        <is>
          <t>Status</t>
        </is>
      </c>
    </row>
    <row r="3">
      <c r="A3" s="8" t="inlineStr">
        <is>
          <t>CM per cycle ≤ 0</t>
        </is>
      </c>
      <c r="B3" s="39">
        <f>UnitEconomics!$B$33</f>
        <v/>
      </c>
      <c r="C3" s="8" t="inlineStr">
        <is>
          <t>≤ 0</t>
        </is>
      </c>
      <c r="D3" s="35">
        <f>IF(B3&lt;=0,"KILL","OK")</f>
        <v/>
      </c>
    </row>
    <row r="4">
      <c r="A4" s="8" t="inlineStr">
        <is>
          <t>Economic CM per cycle ≤ 0</t>
        </is>
      </c>
      <c r="B4" s="39">
        <f>UnitEconomics!$B$35</f>
        <v/>
      </c>
      <c r="C4" s="8" t="inlineStr">
        <is>
          <t>≤ 0</t>
        </is>
      </c>
      <c r="D4" s="35">
        <f>IF(B4&lt;=0,"KILL","OK")</f>
        <v/>
      </c>
    </row>
    <row r="5">
      <c r="A5" s="8" t="inlineStr">
        <is>
          <t>Inventory multiple exceeds threshold</t>
        </is>
      </c>
      <c r="B5" s="12">
        <f>Scale!$B$12</f>
        <v/>
      </c>
      <c r="C5" s="8" t="inlineStr">
        <is>
          <t>&gt; Inputs!$C$53</t>
        </is>
      </c>
      <c r="D5" s="35">
        <f>IF(B5&gt;Inputs!$C$53,"KILL","OK")</f>
        <v/>
      </c>
    </row>
    <row r="6">
      <c r="A6" s="8" t="inlineStr">
        <is>
          <t>Logistics+ops share exceeds threshold</t>
        </is>
      </c>
      <c r="B6" s="12">
        <f>IF(UnitEconomics!$B$18=0,1,(UnitEconomics!$B$19+UnitEconomics!$B$20+UnitEconomics!$B$21+UnitEconomics!$B$22+UnitEconomics!$B$23+UnitEconomics!$B$24)/UnitEconomics!$B$18)</f>
        <v/>
      </c>
      <c r="C6" s="8" t="inlineStr">
        <is>
          <t>&gt; Inputs!$C$54</t>
        </is>
      </c>
      <c r="D6" s="35">
        <f>IF(B6&gt;Inputs!$C$54,"KILL","OK")</f>
        <v/>
      </c>
    </row>
    <row r="7">
      <c r="A7" s="8" t="inlineStr">
        <is>
          <t>Replacement share exceeds threshold</t>
        </is>
      </c>
      <c r="B7" s="12">
        <f>IF(UnitEconomics!$B$18=0,1,(UnitEconomics!$B$27+UnitEconomics!$B$28+UnitEconomics!$B$29)/UnitEconomics!$B$18)</f>
        <v/>
      </c>
      <c r="C7" s="8" t="inlineStr">
        <is>
          <t>&gt; Inputs!$C$55</t>
        </is>
      </c>
      <c r="D7" s="35">
        <f>IF(B7&gt;Inputs!$C$55,"KILL","OK")</f>
        <v/>
      </c>
    </row>
    <row r="8">
      <c r="A8" s="8" t="inlineStr">
        <is>
          <t>Monte Carlo Pr(CM&lt;0) exceeds threshold</t>
        </is>
      </c>
      <c r="B8" s="12">
        <f>MonteCarlo!$E$8</f>
        <v/>
      </c>
      <c r="C8" s="8" t="inlineStr">
        <is>
          <t>&gt; Inputs!$C$57</t>
        </is>
      </c>
      <c r="D8" s="35">
        <f>IF(B8&gt;Inputs!$C$57,"KILL","OK")</f>
        <v/>
      </c>
    </row>
    <row r="9">
      <c r="A9" s="8" t="inlineStr">
        <is>
          <t>Trajectory cash-out occurs within horizon</t>
        </is>
      </c>
      <c r="B9" s="15">
        <f>IF(Trajectory!$E$4&lt;0,1,0)</f>
        <v/>
      </c>
    </row>
    <row r="10">
      <c r="A10" s="8" t="inlineStr">
        <is>
          <t>Trajectory min fulfill rate &lt; MIN_FULFILL_RATE</t>
        </is>
      </c>
      <c r="B10" s="15">
        <f>IF(Trajectory!$E$6&lt;Inputs!$C$56,1,0)</f>
        <v/>
      </c>
    </row>
    <row r="11">
      <c r="A11" s="8" t="inlineStr">
        <is>
          <t>Trajectory max inventory multiple exceeds threshold</t>
        </is>
      </c>
      <c r="B11" s="14">
        <f>Trajectory!$E$8</f>
        <v/>
      </c>
    </row>
    <row r="12">
      <c r="A12" s="8" t="inlineStr">
        <is>
          <t>Trajectory max inventory multiple &gt; MAX_INVENTORY_MULTIPLE</t>
        </is>
      </c>
      <c r="B12" s="15">
        <f>IF(Trajectory!$E$8&gt;Inputs!$C$53,1,0)</f>
        <v/>
      </c>
    </row>
    <row r="13">
      <c r="A13" s="8" t="inlineStr">
        <is>
          <t>Trajectory min fulfill rate (value)</t>
        </is>
      </c>
      <c r="B13" s="12">
        <f>Trajectory!$E$6</f>
        <v/>
      </c>
    </row>
  </sheetData>
  <mergeCells count="1">
    <mergeCell ref="A1:D1"/>
  </mergeCells>
  <conditionalFormatting sqref="D3:D8">
    <cfRule type="expression" priority="1" dxfId="0">
      <formula>=$D3="KILL"</formula>
    </cfRule>
    <cfRule type="expression" priority="2" dxfId="1">
      <formula>=$D3="OK"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2025-12-22T21:47:09Z</dcterms:created>
  <dcterms:modified xmlns:dcterms="http://purl.org/dc/terms/" xmlns:xsi="http://www.w3.org/2001/XMLSchema-instance" xsi:type="dcterms:W3CDTF">2025-12-22T23:18:11Z</dcterms:modified>
</cp:coreProperties>
</file>